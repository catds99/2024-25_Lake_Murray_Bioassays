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795f5e3347afba5/Desktop/Dissertation/Lake_Murray/2024-25_Lake_Murray_Bioassays/Combined_Bioassays/"/>
    </mc:Choice>
  </mc:AlternateContent>
  <xr:revisionPtr revIDLastSave="5" documentId="8_{195D1360-DEFE-4582-A940-FAF8740FBF85}" xr6:coauthVersionLast="47" xr6:coauthVersionMax="47" xr10:uidLastSave="{F20265B0-8955-47C2-B534-AC083FE57F47}"/>
  <bookViews>
    <workbookView xWindow="-28920" yWindow="-120" windowWidth="29040" windowHeight="15720" activeTab="2" xr2:uid="{00000000-000D-0000-FFFF-FFFF00000000}"/>
  </bookViews>
  <sheets>
    <sheet name="Coefficients" sheetId="1" r:id="rId1"/>
    <sheet name="Internal Standard" sheetId="2" r:id="rId2"/>
    <sheet name="Peak Areas" sheetId="3" r:id="rId3"/>
    <sheet name="ug_liter" sheetId="4" r:id="rId4"/>
    <sheet name="Detection Limi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6" i="4" l="1"/>
  <c r="B16" i="4"/>
  <c r="C16" i="4"/>
  <c r="D16" i="4"/>
  <c r="E16" i="4"/>
  <c r="F16" i="4"/>
  <c r="H16" i="4"/>
  <c r="G16" i="4" s="1"/>
  <c r="I16" i="4"/>
  <c r="J16" i="4"/>
  <c r="L16" i="4"/>
  <c r="M16" i="4"/>
  <c r="N16" i="4"/>
  <c r="O16" i="4"/>
  <c r="P16" i="4"/>
  <c r="Q16" i="4"/>
  <c r="R16" i="4"/>
  <c r="S16" i="4"/>
  <c r="T16" i="4"/>
  <c r="U16" i="4"/>
  <c r="V16" i="4"/>
  <c r="Y16" i="4"/>
  <c r="AB16" i="4"/>
  <c r="AC16" i="4"/>
  <c r="AD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F17" i="4"/>
  <c r="AG17" i="4"/>
  <c r="AH17" i="4"/>
  <c r="A18" i="4"/>
  <c r="B18" i="4"/>
  <c r="C18" i="4"/>
  <c r="D18" i="4"/>
  <c r="E18" i="4"/>
  <c r="F18" i="4"/>
  <c r="G18" i="4"/>
  <c r="J18" i="4" s="1"/>
  <c r="H18" i="4"/>
  <c r="I18" i="4"/>
  <c r="K18" i="4"/>
  <c r="L18" i="4"/>
  <c r="M18" i="4"/>
  <c r="N18" i="4"/>
  <c r="O18" i="4"/>
  <c r="P18" i="4"/>
  <c r="S18" i="4"/>
  <c r="T18" i="4"/>
  <c r="U18" i="4"/>
  <c r="V18" i="4"/>
  <c r="W18" i="4"/>
  <c r="X18" i="4"/>
  <c r="AB18" i="4"/>
  <c r="AC18" i="4"/>
  <c r="AD18" i="4"/>
  <c r="AF18" i="4"/>
  <c r="A19" i="4"/>
  <c r="B19" i="4"/>
  <c r="C19" i="4"/>
  <c r="D19" i="4"/>
  <c r="E19" i="4"/>
  <c r="F19" i="4"/>
  <c r="H19" i="4"/>
  <c r="G19" i="4" s="1"/>
  <c r="J19" i="4" s="1"/>
  <c r="I19" i="4"/>
  <c r="K19" i="4"/>
  <c r="L19" i="4"/>
  <c r="N19" i="4"/>
  <c r="P19" i="4"/>
  <c r="Q19" i="4"/>
  <c r="U19" i="4"/>
  <c r="W19" i="4"/>
  <c r="A20" i="4"/>
  <c r="B20" i="4"/>
  <c r="C20" i="4"/>
  <c r="D20" i="4"/>
  <c r="E20" i="4"/>
  <c r="F20" i="4"/>
  <c r="G20" i="4"/>
  <c r="H20" i="4"/>
  <c r="I20" i="4"/>
  <c r="L20" i="4"/>
  <c r="M20" i="4"/>
  <c r="O20" i="4"/>
  <c r="P20" i="4"/>
  <c r="Q20" i="4"/>
  <c r="U20" i="4"/>
  <c r="V20" i="4"/>
  <c r="Y20" i="4"/>
  <c r="AD20" i="4"/>
  <c r="A21" i="4"/>
  <c r="B21" i="4"/>
  <c r="C21" i="4"/>
  <c r="D21" i="4"/>
  <c r="E21" i="4"/>
  <c r="F21" i="4"/>
  <c r="H21" i="4"/>
  <c r="G21" i="4" s="1"/>
  <c r="I21" i="4"/>
  <c r="J21" i="4"/>
  <c r="L21" i="4"/>
  <c r="M21" i="4"/>
  <c r="N21" i="4"/>
  <c r="P21" i="4"/>
  <c r="W21" i="4"/>
  <c r="AC21" i="4"/>
  <c r="AF21" i="4"/>
  <c r="A22" i="4"/>
  <c r="B22" i="4"/>
  <c r="C22" i="4"/>
  <c r="D22" i="4"/>
  <c r="E22" i="4"/>
  <c r="F22" i="4"/>
  <c r="H22" i="4"/>
  <c r="G22" i="4" s="1"/>
  <c r="I22" i="4"/>
  <c r="L22" i="4"/>
  <c r="N22" i="4"/>
  <c r="P22" i="4"/>
  <c r="T22" i="4"/>
  <c r="U22" i="4"/>
  <c r="V22" i="4"/>
  <c r="W22" i="4"/>
  <c r="X22" i="4"/>
  <c r="AA22" i="4"/>
  <c r="AB22" i="4"/>
  <c r="AC22" i="4"/>
  <c r="AD22" i="4"/>
  <c r="AF22" i="4"/>
  <c r="A23" i="4"/>
  <c r="B23" i="4"/>
  <c r="C23" i="4"/>
  <c r="D23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V23" i="4"/>
  <c r="W23" i="4"/>
  <c r="Z23" i="4"/>
  <c r="AD23" i="4"/>
  <c r="A24" i="4"/>
  <c r="B24" i="4"/>
  <c r="C24" i="4"/>
  <c r="D24" i="4"/>
  <c r="E24" i="4"/>
  <c r="F24" i="4"/>
  <c r="G24" i="4"/>
  <c r="S24" i="4" s="1"/>
  <c r="H24" i="4"/>
  <c r="I24" i="4"/>
  <c r="J24" i="4"/>
  <c r="K24" i="4"/>
  <c r="L24" i="4"/>
  <c r="M24" i="4"/>
  <c r="N24" i="4"/>
  <c r="O24" i="4"/>
  <c r="P24" i="4"/>
  <c r="Q24" i="4"/>
  <c r="R24" i="4"/>
  <c r="U24" i="4"/>
  <c r="V24" i="4"/>
  <c r="W24" i="4"/>
  <c r="X24" i="4"/>
  <c r="Y24" i="4"/>
  <c r="Z24" i="4"/>
  <c r="AA24" i="4"/>
  <c r="AB24" i="4"/>
  <c r="AC24" i="4"/>
  <c r="AD24" i="4"/>
  <c r="AF24" i="4"/>
  <c r="AG24" i="4"/>
  <c r="AH24" i="4"/>
  <c r="A25" i="4"/>
  <c r="B25" i="4"/>
  <c r="C25" i="4"/>
  <c r="D25" i="4"/>
  <c r="E25" i="4"/>
  <c r="F25" i="4"/>
  <c r="G25" i="4"/>
  <c r="Z25" i="4" s="1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AA25" i="4"/>
  <c r="AB25" i="4"/>
  <c r="AC25" i="4"/>
  <c r="AD25" i="4"/>
  <c r="AF25" i="4"/>
  <c r="AG25" i="4"/>
  <c r="AH25" i="4"/>
  <c r="A26" i="4"/>
  <c r="B26" i="4"/>
  <c r="C26" i="4"/>
  <c r="D26" i="4"/>
  <c r="E26" i="4"/>
  <c r="F26" i="4"/>
  <c r="H26" i="4"/>
  <c r="G26" i="4" s="1"/>
  <c r="I26" i="4"/>
  <c r="L26" i="4"/>
  <c r="N26" i="4"/>
  <c r="P26" i="4"/>
  <c r="Q26" i="4"/>
  <c r="W26" i="4"/>
  <c r="A27" i="4"/>
  <c r="B27" i="4"/>
  <c r="C27" i="4"/>
  <c r="D27" i="4"/>
  <c r="E27" i="4"/>
  <c r="F27" i="4"/>
  <c r="G27" i="4"/>
  <c r="J27" i="4" s="1"/>
  <c r="H27" i="4"/>
  <c r="I27" i="4"/>
  <c r="K27" i="4"/>
  <c r="L27" i="4"/>
  <c r="N27" i="4"/>
  <c r="P27" i="4"/>
  <c r="S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H28" i="4" s="1"/>
  <c r="AA28" i="4"/>
  <c r="AB28" i="4"/>
  <c r="AC28" i="4"/>
  <c r="AD28" i="4"/>
  <c r="AF28" i="4"/>
  <c r="AG28" i="4" s="1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P29" i="4"/>
  <c r="R29" i="4"/>
  <c r="Z29" i="4"/>
  <c r="AB29" i="4"/>
  <c r="AD29" i="4"/>
  <c r="AF29" i="4"/>
  <c r="A30" i="4"/>
  <c r="B30" i="4"/>
  <c r="C30" i="4"/>
  <c r="D30" i="4"/>
  <c r="E30" i="4"/>
  <c r="F30" i="4"/>
  <c r="H30" i="4"/>
  <c r="G30" i="4" s="1"/>
  <c r="I30" i="4"/>
  <c r="L30" i="4"/>
  <c r="N30" i="4"/>
  <c r="P30" i="4"/>
  <c r="R30" i="4"/>
  <c r="S30" i="4"/>
  <c r="T30" i="4"/>
  <c r="Y30" i="4"/>
  <c r="Z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R31" i="4"/>
  <c r="S31" i="4"/>
  <c r="T31" i="4"/>
  <c r="W31" i="4"/>
  <c r="X31" i="4"/>
  <c r="AD31" i="4"/>
  <c r="A32" i="4"/>
  <c r="B32" i="4"/>
  <c r="C32" i="4"/>
  <c r="D32" i="4"/>
  <c r="E32" i="4"/>
  <c r="F32" i="4"/>
  <c r="G32" i="4"/>
  <c r="H32" i="4"/>
  <c r="I32" i="4"/>
  <c r="J32" i="4"/>
  <c r="L32" i="4"/>
  <c r="N32" i="4"/>
  <c r="P32" i="4"/>
  <c r="AC32" i="4"/>
  <c r="A33" i="4"/>
  <c r="B33" i="4"/>
  <c r="C33" i="4"/>
  <c r="D33" i="4"/>
  <c r="E33" i="4"/>
  <c r="F33" i="4"/>
  <c r="G33" i="4"/>
  <c r="H33" i="4"/>
  <c r="I33" i="4"/>
  <c r="L33" i="4"/>
  <c r="M33" i="4"/>
  <c r="N33" i="4"/>
  <c r="P33" i="4"/>
  <c r="Q33" i="4"/>
  <c r="AA33" i="4"/>
  <c r="AB33" i="4"/>
  <c r="AC33" i="4"/>
  <c r="A34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H34" i="4" s="1"/>
  <c r="AA34" i="4"/>
  <c r="AB34" i="4"/>
  <c r="AC34" i="4"/>
  <c r="AD34" i="4"/>
  <c r="AF34" i="4"/>
  <c r="AG34" i="4" s="1"/>
  <c r="A35" i="4"/>
  <c r="B35" i="4"/>
  <c r="C35" i="4"/>
  <c r="D35" i="4"/>
  <c r="E35" i="4"/>
  <c r="F35" i="4"/>
  <c r="G35" i="4"/>
  <c r="H35" i="4"/>
  <c r="I35" i="4"/>
  <c r="J35" i="4"/>
  <c r="L35" i="4"/>
  <c r="M35" i="4"/>
  <c r="N35" i="4"/>
  <c r="P35" i="4"/>
  <c r="T35" i="4"/>
  <c r="AC35" i="4"/>
  <c r="A36" i="4"/>
  <c r="B36" i="4"/>
  <c r="C36" i="4"/>
  <c r="D36" i="4"/>
  <c r="E36" i="4"/>
  <c r="F36" i="4"/>
  <c r="G36" i="4"/>
  <c r="H36" i="4"/>
  <c r="I36" i="4"/>
  <c r="J36" i="4"/>
  <c r="L36" i="4"/>
  <c r="M36" i="4"/>
  <c r="N36" i="4"/>
  <c r="O36" i="4"/>
  <c r="P36" i="4"/>
  <c r="R36" i="4"/>
  <c r="T36" i="4"/>
  <c r="U36" i="4"/>
  <c r="V36" i="4"/>
  <c r="Z36" i="4"/>
  <c r="AA36" i="4"/>
  <c r="AC36" i="4"/>
  <c r="AD36" i="4"/>
  <c r="A37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H37" i="4" s="1"/>
  <c r="AA37" i="4"/>
  <c r="AB37" i="4"/>
  <c r="AC37" i="4"/>
  <c r="AD37" i="4"/>
  <c r="AF37" i="4"/>
  <c r="AG37" i="4"/>
  <c r="A38" i="4"/>
  <c r="B38" i="4"/>
  <c r="C38" i="4"/>
  <c r="D38" i="4"/>
  <c r="E38" i="4"/>
  <c r="F38" i="4"/>
  <c r="H38" i="4"/>
  <c r="G38" i="4" s="1"/>
  <c r="I38" i="4"/>
  <c r="L38" i="4"/>
  <c r="N38" i="4"/>
  <c r="P38" i="4"/>
  <c r="A39" i="4"/>
  <c r="B39" i="4"/>
  <c r="C39" i="4"/>
  <c r="D39" i="4"/>
  <c r="E39" i="4"/>
  <c r="F39" i="4"/>
  <c r="G39" i="4"/>
  <c r="J39" i="4" s="1"/>
  <c r="H39" i="4"/>
  <c r="I39" i="4"/>
  <c r="K39" i="4"/>
  <c r="L39" i="4"/>
  <c r="N39" i="4"/>
  <c r="O39" i="4"/>
  <c r="P39" i="4"/>
  <c r="A40" i="4"/>
  <c r="B40" i="4"/>
  <c r="C40" i="4"/>
  <c r="D40" i="4"/>
  <c r="E40" i="4"/>
  <c r="F40" i="4"/>
  <c r="G40" i="4"/>
  <c r="H40" i="4"/>
  <c r="I40" i="4"/>
  <c r="L40" i="4"/>
  <c r="N40" i="4"/>
  <c r="P40" i="4"/>
  <c r="AC40" i="4"/>
  <c r="A41" i="4"/>
  <c r="B41" i="4"/>
  <c r="C41" i="4"/>
  <c r="D41" i="4"/>
  <c r="E41" i="4"/>
  <c r="F41" i="4"/>
  <c r="H41" i="4"/>
  <c r="G41" i="4" s="1"/>
  <c r="I41" i="4"/>
  <c r="J41" i="4"/>
  <c r="L41" i="4"/>
  <c r="N41" i="4"/>
  <c r="O41" i="4"/>
  <c r="P41" i="4"/>
  <c r="Q41" i="4"/>
  <c r="T41" i="4"/>
  <c r="U41" i="4"/>
  <c r="V41" i="4"/>
  <c r="W41" i="4"/>
  <c r="X41" i="4"/>
  <c r="Y41" i="4"/>
  <c r="AB41" i="4"/>
  <c r="AC41" i="4"/>
  <c r="AF41" i="4"/>
  <c r="A42" i="4"/>
  <c r="B42" i="4"/>
  <c r="C42" i="4"/>
  <c r="D42" i="4"/>
  <c r="E42" i="4"/>
  <c r="F42" i="4"/>
  <c r="H42" i="4"/>
  <c r="G42" i="4" s="1"/>
  <c r="I42" i="4"/>
  <c r="L42" i="4"/>
  <c r="N42" i="4"/>
  <c r="P42" i="4"/>
  <c r="V42" i="4"/>
  <c r="X42" i="4"/>
  <c r="AD42" i="4"/>
  <c r="A43" i="4"/>
  <c r="B43" i="4"/>
  <c r="C43" i="4"/>
  <c r="D43" i="4"/>
  <c r="E43" i="4"/>
  <c r="F43" i="4"/>
  <c r="G43" i="4"/>
  <c r="H43" i="4"/>
  <c r="I43" i="4"/>
  <c r="J43" i="4"/>
  <c r="L43" i="4"/>
  <c r="N43" i="4"/>
  <c r="P43" i="4"/>
  <c r="AC43" i="4"/>
  <c r="A44" i="4"/>
  <c r="B44" i="4"/>
  <c r="C44" i="4"/>
  <c r="D44" i="4"/>
  <c r="E44" i="4"/>
  <c r="F44" i="4"/>
  <c r="H44" i="4"/>
  <c r="G44" i="4" s="1"/>
  <c r="I44" i="4"/>
  <c r="J44" i="4"/>
  <c r="K44" i="4"/>
  <c r="L44" i="4"/>
  <c r="M44" i="4"/>
  <c r="N44" i="4"/>
  <c r="O44" i="4"/>
  <c r="P44" i="4"/>
  <c r="Q44" i="4"/>
  <c r="R44" i="4"/>
  <c r="U44" i="4"/>
  <c r="V44" i="4"/>
  <c r="X44" i="4"/>
  <c r="Y44" i="4"/>
  <c r="Z44" i="4"/>
  <c r="AC44" i="4"/>
  <c r="AF44" i="4"/>
  <c r="A45" i="4"/>
  <c r="B45" i="4"/>
  <c r="C45" i="4"/>
  <c r="D45" i="4"/>
  <c r="E45" i="4"/>
  <c r="F45" i="4"/>
  <c r="H45" i="4"/>
  <c r="G45" i="4" s="1"/>
  <c r="J45" i="4" s="1"/>
  <c r="I45" i="4"/>
  <c r="K45" i="4"/>
  <c r="L45" i="4"/>
  <c r="N45" i="4"/>
  <c r="P45" i="4"/>
  <c r="Q45" i="4"/>
  <c r="R45" i="4"/>
  <c r="T45" i="4"/>
  <c r="V45" i="4"/>
  <c r="W45" i="4"/>
  <c r="X45" i="4"/>
  <c r="Y45" i="4"/>
  <c r="AC45" i="4"/>
  <c r="AD45" i="4"/>
  <c r="A46" i="4"/>
  <c r="B46" i="4"/>
  <c r="C46" i="4"/>
  <c r="D46" i="4"/>
  <c r="E46" i="4"/>
  <c r="F46" i="4"/>
  <c r="G46" i="4"/>
  <c r="H46" i="4"/>
  <c r="I46" i="4"/>
  <c r="K46" i="4"/>
  <c r="L46" i="4"/>
  <c r="N46" i="4"/>
  <c r="O46" i="4"/>
  <c r="P46" i="4"/>
  <c r="R46" i="4"/>
  <c r="S46" i="4"/>
  <c r="X46" i="4"/>
  <c r="AA46" i="4"/>
  <c r="AD46" i="4"/>
  <c r="A47" i="4"/>
  <c r="B47" i="4"/>
  <c r="C47" i="4"/>
  <c r="D47" i="4"/>
  <c r="E47" i="4"/>
  <c r="F47" i="4"/>
  <c r="G47" i="4"/>
  <c r="J47" i="4" s="1"/>
  <c r="H47" i="4"/>
  <c r="I47" i="4"/>
  <c r="K47" i="4"/>
  <c r="L47" i="4"/>
  <c r="N47" i="4"/>
  <c r="P47" i="4"/>
  <c r="R47" i="4"/>
  <c r="V47" i="4"/>
  <c r="X47" i="4"/>
  <c r="Z47" i="4"/>
  <c r="AC47" i="4"/>
  <c r="A48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H48" i="4" s="1"/>
  <c r="AA48" i="4"/>
  <c r="AB48" i="4"/>
  <c r="AC48" i="4"/>
  <c r="AD48" i="4"/>
  <c r="AF48" i="4"/>
  <c r="AG48" i="4"/>
  <c r="A49" i="4"/>
  <c r="B49" i="4"/>
  <c r="C49" i="4"/>
  <c r="D49" i="4"/>
  <c r="E49" i="4"/>
  <c r="F49" i="4"/>
  <c r="G49" i="4"/>
  <c r="H49" i="4"/>
  <c r="I49" i="4"/>
  <c r="J49" i="4"/>
  <c r="L49" i="4"/>
  <c r="N49" i="4"/>
  <c r="P49" i="4"/>
  <c r="R49" i="4"/>
  <c r="U49" i="4"/>
  <c r="X49" i="4"/>
  <c r="Y49" i="4"/>
  <c r="Z49" i="4"/>
  <c r="AA49" i="4"/>
  <c r="AG49" i="4" s="1"/>
  <c r="AC49" i="4"/>
  <c r="AD49" i="4"/>
  <c r="AF49" i="4"/>
  <c r="A50" i="4"/>
  <c r="B50" i="4"/>
  <c r="C50" i="4"/>
  <c r="D50" i="4"/>
  <c r="E50" i="4"/>
  <c r="F50" i="4"/>
  <c r="G50" i="4"/>
  <c r="H50" i="4"/>
  <c r="I50" i="4"/>
  <c r="K50" i="4"/>
  <c r="L50" i="4"/>
  <c r="M50" i="4"/>
  <c r="N50" i="4"/>
  <c r="O50" i="4"/>
  <c r="P50" i="4"/>
  <c r="Q50" i="4"/>
  <c r="R50" i="4"/>
  <c r="S50" i="4"/>
  <c r="T50" i="4"/>
  <c r="W50" i="4"/>
  <c r="Z50" i="4"/>
  <c r="AA50" i="4"/>
  <c r="A51" i="4"/>
  <c r="B51" i="4"/>
  <c r="C51" i="4"/>
  <c r="D51" i="4"/>
  <c r="E51" i="4"/>
  <c r="F51" i="4"/>
  <c r="G51" i="4"/>
  <c r="K51" i="4" s="1"/>
  <c r="H51" i="4"/>
  <c r="I51" i="4"/>
  <c r="J51" i="4"/>
  <c r="L51" i="4"/>
  <c r="N51" i="4"/>
  <c r="O51" i="4"/>
  <c r="P51" i="4"/>
  <c r="AC51" i="4"/>
  <c r="AD51" i="4"/>
  <c r="AF51" i="4"/>
  <c r="A52" i="4"/>
  <c r="B52" i="4"/>
  <c r="C52" i="4"/>
  <c r="D52" i="4"/>
  <c r="E52" i="4"/>
  <c r="F52" i="4"/>
  <c r="H52" i="4"/>
  <c r="G52" i="4" s="1"/>
  <c r="T52" i="4" s="1"/>
  <c r="I52" i="4"/>
  <c r="J52" i="4"/>
  <c r="L52" i="4"/>
  <c r="N52" i="4"/>
  <c r="P52" i="4"/>
  <c r="U52" i="4"/>
  <c r="AA52" i="4"/>
  <c r="AB52" i="4"/>
  <c r="AC52" i="4"/>
  <c r="AF52" i="4"/>
  <c r="A53" i="4"/>
  <c r="B53" i="4"/>
  <c r="C53" i="4"/>
  <c r="D53" i="4"/>
  <c r="E53" i="4"/>
  <c r="F53" i="4"/>
  <c r="G53" i="4"/>
  <c r="M53" i="4" s="1"/>
  <c r="H53" i="4"/>
  <c r="I53" i="4"/>
  <c r="L53" i="4"/>
  <c r="O53" i="4"/>
  <c r="P53" i="4"/>
  <c r="Q53" i="4"/>
  <c r="R53" i="4"/>
  <c r="T53" i="4"/>
  <c r="X53" i="4"/>
  <c r="Y53" i="4"/>
  <c r="Z53" i="4"/>
  <c r="AA53" i="4"/>
  <c r="AB53" i="4"/>
  <c r="AC53" i="4"/>
  <c r="A54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F54" i="4"/>
  <c r="A55" i="4"/>
  <c r="B55" i="4"/>
  <c r="C55" i="4"/>
  <c r="D55" i="4"/>
  <c r="E55" i="4"/>
  <c r="F55" i="4"/>
  <c r="G55" i="4"/>
  <c r="H55" i="4"/>
  <c r="L55" i="4"/>
  <c r="P55" i="4"/>
  <c r="AC55" i="4"/>
  <c r="A56" i="4"/>
  <c r="B56" i="4"/>
  <c r="C56" i="4"/>
  <c r="D56" i="4"/>
  <c r="E56" i="4"/>
  <c r="F56" i="4"/>
  <c r="H56" i="4"/>
  <c r="G56" i="4" s="1"/>
  <c r="J56" i="4" s="1"/>
  <c r="L56" i="4"/>
  <c r="O56" i="4"/>
  <c r="P56" i="4"/>
  <c r="Q56" i="4"/>
  <c r="R56" i="4"/>
  <c r="S56" i="4"/>
  <c r="T56" i="4"/>
  <c r="V56" i="4"/>
  <c r="Z56" i="4"/>
  <c r="AC56" i="4"/>
  <c r="A57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F57" i="4"/>
  <c r="AG57" i="4"/>
  <c r="AH57" i="4"/>
  <c r="A58" i="4"/>
  <c r="B58" i="4"/>
  <c r="C58" i="4"/>
  <c r="D58" i="4"/>
  <c r="E58" i="4"/>
  <c r="F58" i="4"/>
  <c r="G58" i="4"/>
  <c r="J58" i="4" s="1"/>
  <c r="H58" i="4"/>
  <c r="L58" i="4"/>
  <c r="P58" i="4"/>
  <c r="U58" i="4"/>
  <c r="V58" i="4"/>
  <c r="AA58" i="4"/>
  <c r="AB58" i="4"/>
  <c r="A59" i="4"/>
  <c r="B59" i="4"/>
  <c r="C59" i="4"/>
  <c r="D59" i="4"/>
  <c r="E59" i="4"/>
  <c r="F59" i="4"/>
  <c r="G59" i="4"/>
  <c r="H59" i="4"/>
  <c r="L59" i="4"/>
  <c r="P59" i="4"/>
  <c r="A60" i="4"/>
  <c r="B60" i="4"/>
  <c r="C60" i="4"/>
  <c r="D60" i="4"/>
  <c r="E60" i="4"/>
  <c r="F60" i="4"/>
  <c r="G60" i="4"/>
  <c r="H60" i="4"/>
  <c r="I60" i="4"/>
  <c r="J60" i="4"/>
  <c r="L60" i="4"/>
  <c r="M60" i="4"/>
  <c r="N60" i="4"/>
  <c r="O60" i="4"/>
  <c r="P60" i="4"/>
  <c r="Q60" i="4"/>
  <c r="R60" i="4"/>
  <c r="T60" i="4"/>
  <c r="U60" i="4"/>
  <c r="V60" i="4"/>
  <c r="W60" i="4"/>
  <c r="Y60" i="4"/>
  <c r="Z60" i="4"/>
  <c r="AA60" i="4"/>
  <c r="AB60" i="4"/>
  <c r="AC60" i="4"/>
  <c r="AD60" i="4"/>
  <c r="A61" i="4"/>
  <c r="B61" i="4"/>
  <c r="C61" i="4"/>
  <c r="D61" i="4"/>
  <c r="E61" i="4"/>
  <c r="F61" i="4"/>
  <c r="G61" i="4"/>
  <c r="H61" i="4"/>
  <c r="I61" i="4"/>
  <c r="J61" i="4"/>
  <c r="K61" i="4"/>
  <c r="L61" i="4"/>
  <c r="N61" i="4"/>
  <c r="O61" i="4"/>
  <c r="P61" i="4"/>
  <c r="Q61" i="4"/>
  <c r="W61" i="4"/>
  <c r="A62" i="4"/>
  <c r="B62" i="4"/>
  <c r="C62" i="4"/>
  <c r="D62" i="4"/>
  <c r="E62" i="4"/>
  <c r="F62" i="4"/>
  <c r="G62" i="4"/>
  <c r="H62" i="4"/>
  <c r="L62" i="4"/>
  <c r="P62" i="4"/>
  <c r="A63" i="4"/>
  <c r="B63" i="4"/>
  <c r="C63" i="4"/>
  <c r="D63" i="4"/>
  <c r="E63" i="4"/>
  <c r="F63" i="4"/>
  <c r="H63" i="4"/>
  <c r="G63" i="4" s="1"/>
  <c r="AD63" i="4" s="1"/>
  <c r="L63" i="4"/>
  <c r="P63" i="4"/>
  <c r="Y63" i="4"/>
  <c r="AB63" i="4"/>
  <c r="AC63" i="4"/>
  <c r="AF63" i="4"/>
  <c r="A64" i="4"/>
  <c r="B64" i="4"/>
  <c r="C64" i="4"/>
  <c r="D64" i="4"/>
  <c r="E64" i="4"/>
  <c r="F64" i="4"/>
  <c r="H64" i="4"/>
  <c r="G64" i="4" s="1"/>
  <c r="U64" i="4" s="1"/>
  <c r="L64" i="4"/>
  <c r="P64" i="4"/>
  <c r="R64" i="4"/>
  <c r="X64" i="4"/>
  <c r="AC64" i="4"/>
  <c r="AF64" i="4"/>
  <c r="A65" i="4"/>
  <c r="B65" i="4"/>
  <c r="C65" i="4"/>
  <c r="D65" i="4"/>
  <c r="E65" i="4"/>
  <c r="F65" i="4"/>
  <c r="H65" i="4"/>
  <c r="G65" i="4" s="1"/>
  <c r="K65" i="4" s="1"/>
  <c r="L65" i="4"/>
  <c r="M65" i="4"/>
  <c r="P65" i="4"/>
  <c r="S65" i="4"/>
  <c r="X65" i="4"/>
  <c r="AB65" i="4"/>
  <c r="AD65" i="4"/>
  <c r="A66" i="4"/>
  <c r="B66" i="4"/>
  <c r="C66" i="4"/>
  <c r="D66" i="4"/>
  <c r="E66" i="4"/>
  <c r="F66" i="4"/>
  <c r="H66" i="4"/>
  <c r="G66" i="4" s="1"/>
  <c r="J66" i="4" s="1"/>
  <c r="K66" i="4"/>
  <c r="L66" i="4"/>
  <c r="P66" i="4"/>
  <c r="R66" i="4"/>
  <c r="W66" i="4"/>
  <c r="Y66" i="4"/>
  <c r="AC66" i="4"/>
  <c r="A67" i="4"/>
  <c r="B67" i="4"/>
  <c r="C67" i="4"/>
  <c r="D67" i="4"/>
  <c r="E67" i="4"/>
  <c r="F67" i="4"/>
  <c r="G67" i="4"/>
  <c r="H67" i="4"/>
  <c r="K67" i="4"/>
  <c r="L67" i="4"/>
  <c r="P67" i="4"/>
  <c r="U67" i="4"/>
  <c r="AF67" i="4"/>
  <c r="A68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H68" i="4" s="1"/>
  <c r="AA68" i="4"/>
  <c r="AB68" i="4"/>
  <c r="AC68" i="4"/>
  <c r="AD68" i="4"/>
  <c r="AF68" i="4"/>
  <c r="AG68" i="4" s="1"/>
  <c r="A69" i="4"/>
  <c r="B69" i="4"/>
  <c r="C69" i="4"/>
  <c r="D69" i="4"/>
  <c r="E69" i="4"/>
  <c r="F69" i="4"/>
  <c r="H69" i="4"/>
  <c r="G69" i="4" s="1"/>
  <c r="L69" i="4"/>
  <c r="P69" i="4"/>
  <c r="AC69" i="4"/>
  <c r="A70" i="4"/>
  <c r="B70" i="4"/>
  <c r="C70" i="4"/>
  <c r="D70" i="4"/>
  <c r="E70" i="4"/>
  <c r="F70" i="4"/>
  <c r="G70" i="4"/>
  <c r="H70" i="4"/>
  <c r="J70" i="4"/>
  <c r="L70" i="4"/>
  <c r="M70" i="4"/>
  <c r="N70" i="4"/>
  <c r="P70" i="4"/>
  <c r="S70" i="4"/>
  <c r="W70" i="4"/>
  <c r="AB70" i="4"/>
  <c r="AC70" i="4"/>
  <c r="A71" i="4"/>
  <c r="B71" i="4"/>
  <c r="C71" i="4"/>
  <c r="D71" i="4"/>
  <c r="E71" i="4"/>
  <c r="F71" i="4"/>
  <c r="G71" i="4"/>
  <c r="J71" i="4" s="1"/>
  <c r="H71" i="4"/>
  <c r="L71" i="4"/>
  <c r="P71" i="4"/>
  <c r="R71" i="4"/>
  <c r="U71" i="4"/>
  <c r="X71" i="4"/>
  <c r="Y71" i="4"/>
  <c r="AC71" i="4"/>
  <c r="AD71" i="4"/>
  <c r="A72" i="4"/>
  <c r="B72" i="4"/>
  <c r="C72" i="4"/>
  <c r="D72" i="4"/>
  <c r="E72" i="4"/>
  <c r="F72" i="4"/>
  <c r="H72" i="4"/>
  <c r="G72" i="4" s="1"/>
  <c r="I72" i="4"/>
  <c r="J72" i="4"/>
  <c r="K72" i="4"/>
  <c r="L72" i="4"/>
  <c r="M72" i="4"/>
  <c r="N72" i="4"/>
  <c r="P72" i="4"/>
  <c r="Q72" i="4"/>
  <c r="R72" i="4"/>
  <c r="T72" i="4"/>
  <c r="V72" i="4"/>
  <c r="Y72" i="4"/>
  <c r="AB72" i="4"/>
  <c r="AC72" i="4"/>
  <c r="AF72" i="4"/>
  <c r="A73" i="4"/>
  <c r="B73" i="4"/>
  <c r="C73" i="4"/>
  <c r="D73" i="4"/>
  <c r="E73" i="4"/>
  <c r="F73" i="4"/>
  <c r="G73" i="4"/>
  <c r="H73" i="4"/>
  <c r="L73" i="4"/>
  <c r="P73" i="4"/>
  <c r="R73" i="4"/>
  <c r="Z73" i="4"/>
  <c r="AC73" i="4"/>
  <c r="A74" i="4"/>
  <c r="B74" i="4"/>
  <c r="C74" i="4"/>
  <c r="D74" i="4"/>
  <c r="E74" i="4"/>
  <c r="F74" i="4"/>
  <c r="G74" i="4"/>
  <c r="O74" i="4" s="1"/>
  <c r="H74" i="4"/>
  <c r="L74" i="4"/>
  <c r="P74" i="4"/>
  <c r="AC74" i="4"/>
  <c r="AD74" i="4"/>
  <c r="A75" i="4"/>
  <c r="B75" i="4"/>
  <c r="C75" i="4"/>
  <c r="D75" i="4"/>
  <c r="E75" i="4"/>
  <c r="F75" i="4"/>
  <c r="G75" i="4"/>
  <c r="H75" i="4"/>
  <c r="K75" i="4"/>
  <c r="L75" i="4"/>
  <c r="P75" i="4"/>
  <c r="AC75" i="4"/>
  <c r="A76" i="4"/>
  <c r="B76" i="4"/>
  <c r="C76" i="4"/>
  <c r="D76" i="4"/>
  <c r="E76" i="4"/>
  <c r="F76" i="4"/>
  <c r="G76" i="4"/>
  <c r="H76" i="4"/>
  <c r="L76" i="4"/>
  <c r="P76" i="4"/>
  <c r="R76" i="4"/>
  <c r="U76" i="4"/>
  <c r="Z76" i="4"/>
  <c r="AC76" i="4"/>
  <c r="A77" i="4"/>
  <c r="B77" i="4"/>
  <c r="C77" i="4"/>
  <c r="D77" i="4"/>
  <c r="E77" i="4"/>
  <c r="F77" i="4"/>
  <c r="G77" i="4"/>
  <c r="I77" i="4" s="1"/>
  <c r="H77" i="4"/>
  <c r="L77" i="4"/>
  <c r="M77" i="4"/>
  <c r="O77" i="4"/>
  <c r="P77" i="4"/>
  <c r="Q77" i="4"/>
  <c r="S77" i="4"/>
  <c r="T77" i="4"/>
  <c r="W77" i="4"/>
  <c r="Y77" i="4"/>
  <c r="AA77" i="4"/>
  <c r="AC77" i="4"/>
  <c r="A78" i="4"/>
  <c r="B78" i="4"/>
  <c r="C78" i="4"/>
  <c r="D78" i="4"/>
  <c r="E78" i="4"/>
  <c r="F78" i="4"/>
  <c r="H78" i="4"/>
  <c r="G78" i="4" s="1"/>
  <c r="K78" i="4" s="1"/>
  <c r="L78" i="4"/>
  <c r="N78" i="4"/>
  <c r="P78" i="4"/>
  <c r="R78" i="4"/>
  <c r="AA78" i="4"/>
  <c r="AC78" i="4"/>
  <c r="AF78" i="4"/>
  <c r="A79" i="4"/>
  <c r="B79" i="4"/>
  <c r="C79" i="4"/>
  <c r="D79" i="4"/>
  <c r="E79" i="4"/>
  <c r="F79" i="4"/>
  <c r="H79" i="4"/>
  <c r="G79" i="4" s="1"/>
  <c r="K79" i="4"/>
  <c r="L79" i="4"/>
  <c r="M79" i="4"/>
  <c r="N79" i="4"/>
  <c r="O79" i="4"/>
  <c r="P79" i="4"/>
  <c r="U79" i="4"/>
  <c r="AC79" i="4"/>
  <c r="A80" i="4"/>
  <c r="B80" i="4"/>
  <c r="C80" i="4"/>
  <c r="D80" i="4"/>
  <c r="E80" i="4"/>
  <c r="F80" i="4"/>
  <c r="H80" i="4"/>
  <c r="G80" i="4" s="1"/>
  <c r="L80" i="4"/>
  <c r="P80" i="4"/>
  <c r="AC80" i="4"/>
  <c r="A81" i="4"/>
  <c r="B81" i="4"/>
  <c r="C81" i="4"/>
  <c r="D81" i="4"/>
  <c r="E81" i="4"/>
  <c r="F81" i="4"/>
  <c r="H81" i="4"/>
  <c r="G81" i="4" s="1"/>
  <c r="L81" i="4"/>
  <c r="N81" i="4"/>
  <c r="O81" i="4"/>
  <c r="P81" i="4"/>
  <c r="U81" i="4"/>
  <c r="AB81" i="4"/>
  <c r="AC81" i="4"/>
  <c r="A82" i="4"/>
  <c r="B82" i="4"/>
  <c r="C82" i="4"/>
  <c r="D82" i="4"/>
  <c r="E82" i="4"/>
  <c r="F82" i="4"/>
  <c r="G82" i="4"/>
  <c r="H82" i="4"/>
  <c r="K82" i="4"/>
  <c r="L82" i="4"/>
  <c r="P82" i="4"/>
  <c r="R82" i="4"/>
  <c r="Z82" i="4"/>
  <c r="AA82" i="4"/>
  <c r="AC82" i="4"/>
  <c r="AD82" i="4"/>
  <c r="AF82" i="4"/>
  <c r="AG82" i="4"/>
  <c r="A83" i="4"/>
  <c r="B83" i="4"/>
  <c r="C83" i="4"/>
  <c r="D83" i="4"/>
  <c r="E83" i="4"/>
  <c r="F83" i="4"/>
  <c r="G83" i="4"/>
  <c r="Y83" i="4" s="1"/>
  <c r="H83" i="4"/>
  <c r="L83" i="4"/>
  <c r="P83" i="4"/>
  <c r="U83" i="4"/>
  <c r="V83" i="4"/>
  <c r="Z83" i="4"/>
  <c r="AA83" i="4"/>
  <c r="AB83" i="4"/>
  <c r="AC83" i="4"/>
  <c r="AD83" i="4"/>
  <c r="A84" i="4"/>
  <c r="B84" i="4"/>
  <c r="C84" i="4"/>
  <c r="D84" i="4"/>
  <c r="E84" i="4"/>
  <c r="F84" i="4"/>
  <c r="H84" i="4"/>
  <c r="G84" i="4" s="1"/>
  <c r="J84" i="4"/>
  <c r="K84" i="4"/>
  <c r="L84" i="4"/>
  <c r="N84" i="4"/>
  <c r="P84" i="4"/>
  <c r="Q84" i="4"/>
  <c r="T84" i="4"/>
  <c r="V84" i="4"/>
  <c r="W84" i="4"/>
  <c r="X84" i="4"/>
  <c r="Y84" i="4"/>
  <c r="Z84" i="4"/>
  <c r="AC84" i="4"/>
  <c r="AD84" i="4"/>
  <c r="A85" i="4"/>
  <c r="B85" i="4"/>
  <c r="C85" i="4"/>
  <c r="D85" i="4"/>
  <c r="E85" i="4"/>
  <c r="F85" i="4"/>
  <c r="H85" i="4"/>
  <c r="G85" i="4" s="1"/>
  <c r="K85" i="4" s="1"/>
  <c r="J85" i="4"/>
  <c r="L85" i="4"/>
  <c r="M85" i="4"/>
  <c r="O85" i="4"/>
  <c r="P85" i="4"/>
  <c r="Q85" i="4"/>
  <c r="R85" i="4"/>
  <c r="T85" i="4"/>
  <c r="V85" i="4"/>
  <c r="X85" i="4"/>
  <c r="AB85" i="4"/>
  <c r="AC85" i="4"/>
  <c r="A86" i="4"/>
  <c r="B86" i="4"/>
  <c r="C86" i="4"/>
  <c r="D86" i="4"/>
  <c r="E86" i="4"/>
  <c r="F86" i="4"/>
  <c r="G86" i="4"/>
  <c r="J86" i="4" s="1"/>
  <c r="H86" i="4"/>
  <c r="L86" i="4"/>
  <c r="O86" i="4"/>
  <c r="P86" i="4"/>
  <c r="V86" i="4"/>
  <c r="W86" i="4"/>
  <c r="X86" i="4"/>
  <c r="Y86" i="4"/>
  <c r="Z86" i="4"/>
  <c r="AA86" i="4"/>
  <c r="AC86" i="4"/>
  <c r="AD86" i="4"/>
  <c r="A87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U87" i="4"/>
  <c r="W87" i="4"/>
  <c r="X87" i="4"/>
  <c r="Y87" i="4"/>
  <c r="AC87" i="4"/>
  <c r="AF87" i="4"/>
  <c r="A88" i="4"/>
  <c r="B88" i="4"/>
  <c r="C88" i="4"/>
  <c r="D88" i="4"/>
  <c r="E88" i="4"/>
  <c r="F88" i="4"/>
  <c r="H88" i="4"/>
  <c r="G88" i="4" s="1"/>
  <c r="J88" i="4" s="1"/>
  <c r="I88" i="4"/>
  <c r="L88" i="4"/>
  <c r="M88" i="4"/>
  <c r="N88" i="4"/>
  <c r="P88" i="4"/>
  <c r="V88" i="4"/>
  <c r="AB88" i="4"/>
  <c r="AC88" i="4"/>
  <c r="AF88" i="4"/>
  <c r="A89" i="4"/>
  <c r="B89" i="4"/>
  <c r="C89" i="4"/>
  <c r="D89" i="4"/>
  <c r="E89" i="4"/>
  <c r="F89" i="4"/>
  <c r="H89" i="4"/>
  <c r="G89" i="4" s="1"/>
  <c r="I89" i="4"/>
  <c r="L89" i="4"/>
  <c r="M89" i="4"/>
  <c r="P89" i="4"/>
  <c r="S89" i="4"/>
  <c r="U89" i="4"/>
  <c r="X89" i="4"/>
  <c r="Y89" i="4"/>
  <c r="AB89" i="4"/>
  <c r="AD89" i="4"/>
  <c r="A90" i="4"/>
  <c r="B90" i="4"/>
  <c r="C90" i="4"/>
  <c r="D90" i="4"/>
  <c r="E90" i="4"/>
  <c r="F90" i="4"/>
  <c r="G90" i="4"/>
  <c r="Y90" i="4" s="1"/>
  <c r="H90" i="4"/>
  <c r="L90" i="4"/>
  <c r="P90" i="4"/>
  <c r="V90" i="4"/>
  <c r="X90" i="4"/>
  <c r="Z90" i="4"/>
  <c r="AB90" i="4"/>
  <c r="AD90" i="4"/>
  <c r="A91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U91" i="4"/>
  <c r="V91" i="4"/>
  <c r="W91" i="4"/>
  <c r="Y91" i="4"/>
  <c r="AC91" i="4"/>
  <c r="AD91" i="4"/>
  <c r="AF91" i="4"/>
  <c r="A92" i="4"/>
  <c r="B92" i="4"/>
  <c r="C92" i="4"/>
  <c r="D92" i="4"/>
  <c r="E92" i="4"/>
  <c r="F92" i="4"/>
  <c r="H92" i="4"/>
  <c r="G92" i="4" s="1"/>
  <c r="I92" i="4"/>
  <c r="J92" i="4"/>
  <c r="K92" i="4"/>
  <c r="L92" i="4"/>
  <c r="M92" i="4"/>
  <c r="P92" i="4"/>
  <c r="Q92" i="4"/>
  <c r="R92" i="4"/>
  <c r="S92" i="4"/>
  <c r="T92" i="4"/>
  <c r="U92" i="4"/>
  <c r="V92" i="4"/>
  <c r="X92" i="4"/>
  <c r="Y92" i="4"/>
  <c r="Z92" i="4"/>
  <c r="AH92" i="4" s="1"/>
  <c r="AA92" i="4"/>
  <c r="AG92" i="4" s="1"/>
  <c r="AB92" i="4"/>
  <c r="AD92" i="4"/>
  <c r="AF92" i="4"/>
  <c r="A93" i="4"/>
  <c r="B93" i="4"/>
  <c r="C93" i="4"/>
  <c r="D93" i="4"/>
  <c r="E93" i="4"/>
  <c r="F93" i="4"/>
  <c r="H93" i="4"/>
  <c r="G93" i="4" s="1"/>
  <c r="I93" i="4"/>
  <c r="K93" i="4"/>
  <c r="L93" i="4"/>
  <c r="M93" i="4"/>
  <c r="N93" i="4"/>
  <c r="P93" i="4"/>
  <c r="S93" i="4"/>
  <c r="AC93" i="4"/>
  <c r="A94" i="4"/>
  <c r="B94" i="4"/>
  <c r="C94" i="4"/>
  <c r="D94" i="4"/>
  <c r="E94" i="4"/>
  <c r="F94" i="4"/>
  <c r="G94" i="4"/>
  <c r="H94" i="4"/>
  <c r="I94" i="4"/>
  <c r="L94" i="4"/>
  <c r="N94" i="4"/>
  <c r="O94" i="4"/>
  <c r="P94" i="4"/>
  <c r="S94" i="4"/>
  <c r="T94" i="4"/>
  <c r="X94" i="4"/>
  <c r="AC94" i="4"/>
  <c r="AD94" i="4"/>
  <c r="A95" i="4"/>
  <c r="B95" i="4"/>
  <c r="C95" i="4"/>
  <c r="D95" i="4"/>
  <c r="E95" i="4"/>
  <c r="F95" i="4"/>
  <c r="H95" i="4"/>
  <c r="G95" i="4" s="1"/>
  <c r="K95" i="4" s="1"/>
  <c r="I95" i="4"/>
  <c r="L95" i="4"/>
  <c r="N95" i="4"/>
  <c r="P95" i="4"/>
  <c r="T95" i="4"/>
  <c r="V95" i="4"/>
  <c r="Z95" i="4"/>
  <c r="AB95" i="4"/>
  <c r="AC95" i="4"/>
  <c r="AF95" i="4"/>
  <c r="A96" i="4"/>
  <c r="B96" i="4"/>
  <c r="C96" i="4"/>
  <c r="D96" i="4"/>
  <c r="E96" i="4"/>
  <c r="F96" i="4"/>
  <c r="H96" i="4"/>
  <c r="G96" i="4" s="1"/>
  <c r="J96" i="4" s="1"/>
  <c r="I96" i="4"/>
  <c r="L96" i="4"/>
  <c r="M96" i="4"/>
  <c r="N96" i="4"/>
  <c r="O96" i="4"/>
  <c r="P96" i="4"/>
  <c r="Q96" i="4"/>
  <c r="R96" i="4"/>
  <c r="U96" i="4"/>
  <c r="V96" i="4"/>
  <c r="Y96" i="4"/>
  <c r="AB96" i="4"/>
  <c r="AC96" i="4"/>
  <c r="A97" i="4"/>
  <c r="B97" i="4"/>
  <c r="C97" i="4"/>
  <c r="D97" i="4"/>
  <c r="E97" i="4"/>
  <c r="F97" i="4"/>
  <c r="G97" i="4"/>
  <c r="H97" i="4"/>
  <c r="I97" i="4"/>
  <c r="K97" i="4"/>
  <c r="L97" i="4"/>
  <c r="N97" i="4"/>
  <c r="O97" i="4"/>
  <c r="P97" i="4"/>
  <c r="Q97" i="4"/>
  <c r="T97" i="4"/>
  <c r="V97" i="4"/>
  <c r="W97" i="4"/>
  <c r="X97" i="4"/>
  <c r="Y97" i="4"/>
  <c r="Z97" i="4"/>
  <c r="AA97" i="4"/>
  <c r="AG97" i="4" s="1"/>
  <c r="AB97" i="4"/>
  <c r="AC97" i="4"/>
  <c r="AF97" i="4"/>
  <c r="A98" i="4"/>
  <c r="B98" i="4"/>
  <c r="C98" i="4"/>
  <c r="D98" i="4"/>
  <c r="E98" i="4"/>
  <c r="F98" i="4"/>
  <c r="H98" i="4"/>
  <c r="G98" i="4" s="1"/>
  <c r="I98" i="4"/>
  <c r="J98" i="4"/>
  <c r="L98" i="4"/>
  <c r="M98" i="4"/>
  <c r="N98" i="4"/>
  <c r="O98" i="4"/>
  <c r="P98" i="4"/>
  <c r="R98" i="4"/>
  <c r="S98" i="4"/>
  <c r="U98" i="4"/>
  <c r="X98" i="4"/>
  <c r="Z98" i="4"/>
  <c r="AC98" i="4"/>
  <c r="AD98" i="4"/>
  <c r="A99" i="4"/>
  <c r="B99" i="4"/>
  <c r="C99" i="4"/>
  <c r="D99" i="4"/>
  <c r="E99" i="4"/>
  <c r="F99" i="4"/>
  <c r="G99" i="4"/>
  <c r="H99" i="4"/>
  <c r="I99" i="4"/>
  <c r="L99" i="4"/>
  <c r="N99" i="4"/>
  <c r="P99" i="4"/>
  <c r="AC99" i="4"/>
  <c r="AF99" i="4"/>
  <c r="A100" i="4"/>
  <c r="B100" i="4"/>
  <c r="C100" i="4"/>
  <c r="D100" i="4"/>
  <c r="E100" i="4"/>
  <c r="F100" i="4"/>
  <c r="G100" i="4"/>
  <c r="H100" i="4"/>
  <c r="I100" i="4"/>
  <c r="L100" i="4"/>
  <c r="N100" i="4"/>
  <c r="P100" i="4"/>
  <c r="AC100" i="4"/>
  <c r="AF100" i="4"/>
  <c r="A101" i="4"/>
  <c r="B101" i="4"/>
  <c r="C101" i="4"/>
  <c r="D101" i="4"/>
  <c r="E101" i="4"/>
  <c r="F101" i="4"/>
  <c r="H101" i="4"/>
  <c r="G101" i="4" s="1"/>
  <c r="I101" i="4"/>
  <c r="J101" i="4"/>
  <c r="K101" i="4"/>
  <c r="L101" i="4"/>
  <c r="M101" i="4"/>
  <c r="N101" i="4"/>
  <c r="P101" i="4"/>
  <c r="Q101" i="4"/>
  <c r="T101" i="4"/>
  <c r="U101" i="4"/>
  <c r="V101" i="4"/>
  <c r="W101" i="4"/>
  <c r="Y101" i="4"/>
  <c r="Z101" i="4"/>
  <c r="AA101" i="4"/>
  <c r="AG101" i="4" s="1"/>
  <c r="AC101" i="4"/>
  <c r="AD101" i="4"/>
  <c r="AF101" i="4"/>
  <c r="A102" i="4"/>
  <c r="B102" i="4"/>
  <c r="C102" i="4"/>
  <c r="D102" i="4"/>
  <c r="E102" i="4"/>
  <c r="F102" i="4"/>
  <c r="H102" i="4"/>
  <c r="G102" i="4" s="1"/>
  <c r="I102" i="4"/>
  <c r="J102" i="4"/>
  <c r="K102" i="4"/>
  <c r="L102" i="4"/>
  <c r="M102" i="4"/>
  <c r="N102" i="4"/>
  <c r="P102" i="4"/>
  <c r="Q102" i="4"/>
  <c r="R102" i="4"/>
  <c r="S102" i="4"/>
  <c r="T102" i="4"/>
  <c r="U102" i="4"/>
  <c r="X102" i="4"/>
  <c r="Z102" i="4"/>
  <c r="AB102" i="4"/>
  <c r="AC102" i="4"/>
  <c r="AF102" i="4"/>
  <c r="A103" i="4"/>
  <c r="B103" i="4"/>
  <c r="C103" i="4"/>
  <c r="D103" i="4"/>
  <c r="E103" i="4"/>
  <c r="F103" i="4"/>
  <c r="G103" i="4"/>
  <c r="M103" i="4" s="1"/>
  <c r="H103" i="4"/>
  <c r="I103" i="4"/>
  <c r="L103" i="4"/>
  <c r="N103" i="4"/>
  <c r="P103" i="4"/>
  <c r="Z103" i="4"/>
  <c r="AA103" i="4"/>
  <c r="AB103" i="4"/>
  <c r="AC103" i="4"/>
  <c r="AF103" i="4"/>
  <c r="AG103" i="4"/>
  <c r="A104" i="4"/>
  <c r="B104" i="4"/>
  <c r="C104" i="4"/>
  <c r="D104" i="4"/>
  <c r="E104" i="4"/>
  <c r="F104" i="4"/>
  <c r="H104" i="4"/>
  <c r="G104" i="4" s="1"/>
  <c r="T104" i="4" s="1"/>
  <c r="I104" i="4"/>
  <c r="L104" i="4"/>
  <c r="N104" i="4"/>
  <c r="P104" i="4"/>
  <c r="U104" i="4"/>
  <c r="W104" i="4"/>
  <c r="X104" i="4"/>
  <c r="Y104" i="4"/>
  <c r="AB104" i="4"/>
  <c r="AC104" i="4"/>
  <c r="A105" i="4"/>
  <c r="B105" i="4"/>
  <c r="C105" i="4"/>
  <c r="D105" i="4"/>
  <c r="E105" i="4"/>
  <c r="F105" i="4"/>
  <c r="H105" i="4"/>
  <c r="G105" i="4" s="1"/>
  <c r="M105" i="4" s="1"/>
  <c r="I105" i="4"/>
  <c r="L105" i="4"/>
  <c r="N105" i="4"/>
  <c r="P105" i="4"/>
  <c r="Y105" i="4"/>
  <c r="Z105" i="4"/>
  <c r="AC105" i="4"/>
  <c r="A106" i="4"/>
  <c r="B106" i="4"/>
  <c r="C106" i="4"/>
  <c r="D106" i="4"/>
  <c r="E106" i="4"/>
  <c r="F106" i="4"/>
  <c r="G106" i="4"/>
  <c r="M106" i="4" s="1"/>
  <c r="H106" i="4"/>
  <c r="I106" i="4"/>
  <c r="L106" i="4"/>
  <c r="N106" i="4"/>
  <c r="P106" i="4"/>
  <c r="S106" i="4"/>
  <c r="U106" i="4"/>
  <c r="W106" i="4"/>
  <c r="AC106" i="4"/>
  <c r="AD106" i="4"/>
  <c r="A107" i="4"/>
  <c r="B107" i="4"/>
  <c r="C107" i="4"/>
  <c r="D107" i="4"/>
  <c r="E107" i="4"/>
  <c r="F107" i="4"/>
  <c r="G107" i="4"/>
  <c r="H107" i="4"/>
  <c r="J107" i="4"/>
  <c r="L107" i="4"/>
  <c r="N107" i="4"/>
  <c r="P107" i="4"/>
  <c r="U107" i="4"/>
  <c r="V107" i="4"/>
  <c r="W107" i="4"/>
  <c r="X107" i="4"/>
  <c r="Z107" i="4"/>
  <c r="AA107" i="4"/>
  <c r="AB107" i="4"/>
  <c r="AC107" i="4"/>
  <c r="AD107" i="4"/>
  <c r="A108" i="4"/>
  <c r="B108" i="4"/>
  <c r="C108" i="4"/>
  <c r="D108" i="4"/>
  <c r="E108" i="4"/>
  <c r="F108" i="4"/>
  <c r="H108" i="4"/>
  <c r="G108" i="4" s="1"/>
  <c r="K108" i="4" s="1"/>
  <c r="L108" i="4"/>
  <c r="N108" i="4"/>
  <c r="P108" i="4"/>
  <c r="V108" i="4"/>
  <c r="W108" i="4"/>
  <c r="Z108" i="4"/>
  <c r="AA108" i="4"/>
  <c r="AC108" i="4"/>
  <c r="AD108" i="4"/>
  <c r="A109" i="4"/>
  <c r="B109" i="4"/>
  <c r="C109" i="4"/>
  <c r="D109" i="4"/>
  <c r="E109" i="4"/>
  <c r="F109" i="4"/>
  <c r="H109" i="4"/>
  <c r="G109" i="4" s="1"/>
  <c r="I109" i="4" s="1"/>
  <c r="L109" i="4"/>
  <c r="P109" i="4"/>
  <c r="S109" i="4"/>
  <c r="X109" i="4"/>
  <c r="AC109" i="4"/>
  <c r="AD109" i="4"/>
  <c r="A110" i="4"/>
  <c r="B110" i="4"/>
  <c r="C110" i="4"/>
  <c r="D110" i="4"/>
  <c r="E110" i="4"/>
  <c r="F110" i="4"/>
  <c r="H110" i="4"/>
  <c r="G110" i="4" s="1"/>
  <c r="L110" i="4"/>
  <c r="N110" i="4"/>
  <c r="P110" i="4"/>
  <c r="W110" i="4"/>
  <c r="X110" i="4"/>
  <c r="Y110" i="4"/>
  <c r="Z110" i="4"/>
  <c r="AA110" i="4"/>
  <c r="AB110" i="4"/>
  <c r="AC110" i="4"/>
  <c r="A111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U111" i="4"/>
  <c r="W111" i="4"/>
  <c r="X111" i="4"/>
  <c r="Y111" i="4"/>
  <c r="AA111" i="4"/>
  <c r="AB111" i="4"/>
  <c r="A112" i="4"/>
  <c r="B112" i="4"/>
  <c r="C112" i="4"/>
  <c r="D112" i="4"/>
  <c r="E112" i="4"/>
  <c r="F112" i="4"/>
  <c r="H112" i="4"/>
  <c r="G112" i="4" s="1"/>
  <c r="I112" i="4" s="1"/>
  <c r="L112" i="4"/>
  <c r="M112" i="4"/>
  <c r="N112" i="4"/>
  <c r="P112" i="4"/>
  <c r="V112" i="4"/>
  <c r="W112" i="4"/>
  <c r="A113" i="4"/>
  <c r="B113" i="4"/>
  <c r="C113" i="4"/>
  <c r="D113" i="4"/>
  <c r="E113" i="4"/>
  <c r="F113" i="4"/>
  <c r="H113" i="4"/>
  <c r="G113" i="4" s="1"/>
  <c r="K113" i="4"/>
  <c r="L113" i="4"/>
  <c r="N113" i="4"/>
  <c r="O113" i="4"/>
  <c r="P113" i="4"/>
  <c r="Q113" i="4"/>
  <c r="A114" i="4"/>
  <c r="B114" i="4"/>
  <c r="C114" i="4"/>
  <c r="D114" i="4"/>
  <c r="E114" i="4"/>
  <c r="F114" i="4"/>
  <c r="G114" i="4"/>
  <c r="H114" i="4"/>
  <c r="I114" i="4"/>
  <c r="K114" i="4"/>
  <c r="L114" i="4"/>
  <c r="N114" i="4"/>
  <c r="O114" i="4"/>
  <c r="P114" i="4"/>
  <c r="A115" i="4"/>
  <c r="B115" i="4"/>
  <c r="C115" i="4"/>
  <c r="D115" i="4"/>
  <c r="E115" i="4"/>
  <c r="F115" i="4"/>
  <c r="H115" i="4"/>
  <c r="G115" i="4" s="1"/>
  <c r="I115" i="4"/>
  <c r="L115" i="4"/>
  <c r="N115" i="4"/>
  <c r="P115" i="4"/>
  <c r="AC115" i="4"/>
  <c r="A116" i="4"/>
  <c r="B116" i="4"/>
  <c r="C116" i="4"/>
  <c r="D116" i="4"/>
  <c r="E116" i="4"/>
  <c r="F116" i="4"/>
  <c r="H116" i="4"/>
  <c r="G116" i="4" s="1"/>
  <c r="K116" i="4" s="1"/>
  <c r="I116" i="4"/>
  <c r="L116" i="4"/>
  <c r="M116" i="4"/>
  <c r="N116" i="4"/>
  <c r="P116" i="4"/>
  <c r="Q116" i="4"/>
  <c r="R116" i="4"/>
  <c r="S116" i="4"/>
  <c r="T116" i="4"/>
  <c r="V116" i="4"/>
  <c r="W116" i="4"/>
  <c r="Z116" i="4"/>
  <c r="AC116" i="4"/>
  <c r="A117" i="4"/>
  <c r="B117" i="4"/>
  <c r="C117" i="4"/>
  <c r="D117" i="4"/>
  <c r="E117" i="4"/>
  <c r="F117" i="4"/>
  <c r="G117" i="4"/>
  <c r="H117" i="4"/>
  <c r="I117" i="4"/>
  <c r="J117" i="4"/>
  <c r="L117" i="4"/>
  <c r="M117" i="4"/>
  <c r="N117" i="4"/>
  <c r="P117" i="4"/>
  <c r="R117" i="4"/>
  <c r="W117" i="4"/>
  <c r="X117" i="4"/>
  <c r="AB117" i="4"/>
  <c r="AC117" i="4"/>
  <c r="AD117" i="4"/>
  <c r="AF117" i="4"/>
  <c r="A118" i="4"/>
  <c r="B118" i="4"/>
  <c r="C118" i="4"/>
  <c r="D118" i="4"/>
  <c r="E118" i="4"/>
  <c r="F118" i="4"/>
  <c r="G118" i="4"/>
  <c r="H118" i="4"/>
  <c r="I118" i="4"/>
  <c r="K118" i="4"/>
  <c r="L118" i="4"/>
  <c r="M118" i="4"/>
  <c r="N118" i="4"/>
  <c r="P118" i="4"/>
  <c r="Q118" i="4"/>
  <c r="R118" i="4"/>
  <c r="S118" i="4"/>
  <c r="T118" i="4"/>
  <c r="U118" i="4"/>
  <c r="W118" i="4"/>
  <c r="X118" i="4"/>
  <c r="AC118" i="4"/>
  <c r="A119" i="4"/>
  <c r="B119" i="4"/>
  <c r="C119" i="4"/>
  <c r="D119" i="4"/>
  <c r="E119" i="4"/>
  <c r="F119" i="4"/>
  <c r="H119" i="4"/>
  <c r="G119" i="4" s="1"/>
  <c r="I119" i="4"/>
  <c r="J119" i="4"/>
  <c r="K119" i="4"/>
  <c r="L119" i="4"/>
  <c r="N119" i="4"/>
  <c r="P119" i="4"/>
  <c r="Q119" i="4"/>
  <c r="R119" i="4"/>
  <c r="U119" i="4"/>
  <c r="Z119" i="4"/>
  <c r="AB119" i="4"/>
  <c r="AC119" i="4"/>
  <c r="AF119" i="4"/>
  <c r="A120" i="4"/>
  <c r="B120" i="4"/>
  <c r="C120" i="4"/>
  <c r="D120" i="4"/>
  <c r="E120" i="4"/>
  <c r="F120" i="4"/>
  <c r="H120" i="4"/>
  <c r="G120" i="4" s="1"/>
  <c r="K120" i="4"/>
  <c r="L120" i="4"/>
  <c r="N120" i="4"/>
  <c r="O120" i="4"/>
  <c r="P120" i="4"/>
  <c r="A121" i="4"/>
  <c r="B121" i="4"/>
  <c r="C121" i="4"/>
  <c r="D121" i="4"/>
  <c r="E121" i="4"/>
  <c r="F121" i="4"/>
  <c r="G121" i="4"/>
  <c r="H121" i="4"/>
  <c r="L121" i="4"/>
  <c r="N121" i="4"/>
  <c r="P121" i="4"/>
  <c r="A122" i="4"/>
  <c r="B122" i="4"/>
  <c r="C122" i="4"/>
  <c r="D122" i="4"/>
  <c r="E122" i="4"/>
  <c r="F122" i="4"/>
  <c r="H122" i="4"/>
  <c r="G122" i="4" s="1"/>
  <c r="I122" i="4"/>
  <c r="L122" i="4"/>
  <c r="N122" i="4"/>
  <c r="P122" i="4"/>
  <c r="A123" i="4"/>
  <c r="B123" i="4"/>
  <c r="C123" i="4"/>
  <c r="D123" i="4"/>
  <c r="E123" i="4"/>
  <c r="F123" i="4"/>
  <c r="H123" i="4"/>
  <c r="G123" i="4" s="1"/>
  <c r="I123" i="4"/>
  <c r="L123" i="4"/>
  <c r="N123" i="4"/>
  <c r="P123" i="4"/>
  <c r="Y123" i="4"/>
  <c r="AA123" i="4"/>
  <c r="AB123" i="4"/>
  <c r="AC123" i="4"/>
  <c r="AD123" i="4"/>
  <c r="AF123" i="4"/>
  <c r="AG123" i="4"/>
  <c r="A124" i="4"/>
  <c r="B124" i="4"/>
  <c r="C124" i="4"/>
  <c r="D124" i="4"/>
  <c r="E124" i="4"/>
  <c r="F124" i="4"/>
  <c r="H124" i="4"/>
  <c r="G124" i="4" s="1"/>
  <c r="I124" i="4"/>
  <c r="K124" i="4"/>
  <c r="L124" i="4"/>
  <c r="M124" i="4"/>
  <c r="N124" i="4"/>
  <c r="O124" i="4"/>
  <c r="P124" i="4"/>
  <c r="Q124" i="4"/>
  <c r="R124" i="4"/>
  <c r="T124" i="4"/>
  <c r="V124" i="4"/>
  <c r="W124" i="4"/>
  <c r="X124" i="4"/>
  <c r="Z124" i="4"/>
  <c r="AC124" i="4"/>
  <c r="A125" i="4"/>
  <c r="B125" i="4"/>
  <c r="C125" i="4"/>
  <c r="D125" i="4"/>
  <c r="E125" i="4"/>
  <c r="F125" i="4"/>
  <c r="H125" i="4"/>
  <c r="G125" i="4" s="1"/>
  <c r="I125" i="4"/>
  <c r="L125" i="4"/>
  <c r="N125" i="4"/>
  <c r="O125" i="4"/>
  <c r="P125" i="4"/>
  <c r="R125" i="4"/>
  <c r="U125" i="4"/>
  <c r="V125" i="4"/>
  <c r="X125" i="4"/>
  <c r="AC125" i="4"/>
  <c r="A126" i="4"/>
  <c r="B126" i="4"/>
  <c r="C126" i="4"/>
  <c r="D126" i="4"/>
  <c r="E126" i="4"/>
  <c r="F126" i="4"/>
  <c r="G126" i="4"/>
  <c r="H126" i="4"/>
  <c r="I126" i="4"/>
  <c r="K126" i="4"/>
  <c r="L126" i="4"/>
  <c r="M126" i="4"/>
  <c r="N126" i="4"/>
  <c r="P126" i="4"/>
  <c r="U126" i="4"/>
  <c r="Z126" i="4"/>
  <c r="AC126" i="4"/>
  <c r="AF126" i="4"/>
  <c r="A127" i="4"/>
  <c r="B127" i="4"/>
  <c r="C127" i="4"/>
  <c r="D127" i="4"/>
  <c r="E127" i="4"/>
  <c r="F127" i="4"/>
  <c r="H127" i="4"/>
  <c r="G127" i="4" s="1"/>
  <c r="I127" i="4"/>
  <c r="J127" i="4"/>
  <c r="L127" i="4"/>
  <c r="M127" i="4"/>
  <c r="N127" i="4"/>
  <c r="P127" i="4"/>
  <c r="Q127" i="4"/>
  <c r="R127" i="4"/>
  <c r="T127" i="4"/>
  <c r="U127" i="4"/>
  <c r="V127" i="4"/>
  <c r="W127" i="4"/>
  <c r="Z127" i="4"/>
  <c r="AA127" i="4"/>
  <c r="AB127" i="4"/>
  <c r="AC127" i="4"/>
  <c r="AD127" i="4"/>
  <c r="A128" i="4"/>
  <c r="B128" i="4"/>
  <c r="C128" i="4"/>
  <c r="D128" i="4"/>
  <c r="E128" i="4"/>
  <c r="F128" i="4"/>
  <c r="H128" i="4"/>
  <c r="G128" i="4" s="1"/>
  <c r="I128" i="4" s="1"/>
  <c r="L128" i="4"/>
  <c r="N128" i="4"/>
  <c r="O128" i="4"/>
  <c r="P128" i="4"/>
  <c r="Q128" i="4"/>
  <c r="T128" i="4"/>
  <c r="U128" i="4"/>
  <c r="V128" i="4"/>
  <c r="X128" i="4"/>
  <c r="Y128" i="4"/>
  <c r="AC128" i="4"/>
  <c r="AD128" i="4"/>
  <c r="A129" i="4"/>
  <c r="B129" i="4"/>
  <c r="C129" i="4"/>
  <c r="D129" i="4"/>
  <c r="E129" i="4"/>
  <c r="F129" i="4"/>
  <c r="H129" i="4"/>
  <c r="G129" i="4" s="1"/>
  <c r="I129" i="4" s="1"/>
  <c r="J129" i="4"/>
  <c r="L129" i="4"/>
  <c r="M129" i="4"/>
  <c r="N129" i="4"/>
  <c r="P129" i="4"/>
  <c r="Q129" i="4"/>
  <c r="R129" i="4"/>
  <c r="V129" i="4"/>
  <c r="W129" i="4"/>
  <c r="X129" i="4"/>
  <c r="Z129" i="4"/>
  <c r="AB129" i="4"/>
  <c r="A130" i="4"/>
  <c r="B130" i="4"/>
  <c r="C130" i="4"/>
  <c r="D130" i="4"/>
  <c r="E130" i="4"/>
  <c r="F130" i="4"/>
  <c r="G130" i="4"/>
  <c r="I130" i="4" s="1"/>
  <c r="H130" i="4"/>
  <c r="J130" i="4"/>
  <c r="L130" i="4"/>
  <c r="N130" i="4"/>
  <c r="O130" i="4"/>
  <c r="P130" i="4"/>
  <c r="Q130" i="4"/>
  <c r="U130" i="4"/>
  <c r="V130" i="4"/>
  <c r="AC130" i="4"/>
  <c r="A131" i="4"/>
  <c r="B131" i="4"/>
  <c r="C131" i="4"/>
  <c r="D131" i="4"/>
  <c r="E131" i="4"/>
  <c r="F131" i="4"/>
  <c r="G131" i="4"/>
  <c r="H131" i="4"/>
  <c r="I131" i="4"/>
  <c r="J131" i="4"/>
  <c r="K131" i="4"/>
  <c r="L131" i="4"/>
  <c r="N131" i="4"/>
  <c r="P131" i="4"/>
  <c r="AA131" i="4"/>
  <c r="AC131" i="4"/>
  <c r="A132" i="4"/>
  <c r="B132" i="4"/>
  <c r="C132" i="4"/>
  <c r="D132" i="4"/>
  <c r="E132" i="4"/>
  <c r="F132" i="4"/>
  <c r="G132" i="4"/>
  <c r="J132" i="4" s="1"/>
  <c r="H132" i="4"/>
  <c r="I132" i="4"/>
  <c r="L132" i="4"/>
  <c r="N132" i="4"/>
  <c r="P132" i="4"/>
  <c r="R132" i="4"/>
  <c r="V132" i="4"/>
  <c r="Y132" i="4"/>
  <c r="AA132" i="4"/>
  <c r="AB132" i="4"/>
  <c r="AC132" i="4"/>
  <c r="AD132" i="4"/>
  <c r="AF132" i="4"/>
  <c r="AG132" i="4"/>
  <c r="A133" i="4"/>
  <c r="B133" i="4"/>
  <c r="C133" i="4"/>
  <c r="D133" i="4"/>
  <c r="E133" i="4"/>
  <c r="F133" i="4"/>
  <c r="G133" i="4"/>
  <c r="H133" i="4"/>
  <c r="I133" i="4"/>
  <c r="J133" i="4"/>
  <c r="L133" i="4"/>
  <c r="N133" i="4"/>
  <c r="O133" i="4"/>
  <c r="P133" i="4"/>
  <c r="Q133" i="4"/>
  <c r="R133" i="4"/>
  <c r="S133" i="4"/>
  <c r="T133" i="4"/>
  <c r="U133" i="4"/>
  <c r="X133" i="4"/>
  <c r="AA133" i="4"/>
  <c r="AC133" i="4"/>
  <c r="A134" i="4"/>
  <c r="B134" i="4"/>
  <c r="C134" i="4"/>
  <c r="D134" i="4"/>
  <c r="E134" i="4"/>
  <c r="F134" i="4"/>
  <c r="H134" i="4"/>
  <c r="G134" i="4" s="1"/>
  <c r="I134" i="4"/>
  <c r="K134" i="4"/>
  <c r="L134" i="4"/>
  <c r="N134" i="4"/>
  <c r="O134" i="4"/>
  <c r="P134" i="4"/>
  <c r="Q134" i="4"/>
  <c r="AC134" i="4"/>
  <c r="A135" i="4"/>
  <c r="B135" i="4"/>
  <c r="C135" i="4"/>
  <c r="D135" i="4"/>
  <c r="E135" i="4"/>
  <c r="F135" i="4"/>
  <c r="H135" i="4"/>
  <c r="G135" i="4" s="1"/>
  <c r="I135" i="4" s="1"/>
  <c r="L135" i="4"/>
  <c r="N135" i="4"/>
  <c r="P135" i="4"/>
  <c r="A136" i="4"/>
  <c r="B136" i="4"/>
  <c r="C136" i="4"/>
  <c r="D136" i="4"/>
  <c r="E136" i="4"/>
  <c r="F136" i="4"/>
  <c r="H136" i="4"/>
  <c r="G136" i="4" s="1"/>
  <c r="L136" i="4"/>
  <c r="N136" i="4"/>
  <c r="P136" i="4"/>
  <c r="Z136" i="4"/>
  <c r="AB136" i="4"/>
  <c r="AC136" i="4"/>
  <c r="AD136" i="4"/>
  <c r="A137" i="4"/>
  <c r="B137" i="4"/>
  <c r="C137" i="4"/>
  <c r="D137" i="4"/>
  <c r="E137" i="4"/>
  <c r="F137" i="4"/>
  <c r="H137" i="4"/>
  <c r="G137" i="4" s="1"/>
  <c r="M137" i="4" s="1"/>
  <c r="I137" i="4"/>
  <c r="J137" i="4"/>
  <c r="L137" i="4"/>
  <c r="N137" i="4"/>
  <c r="P137" i="4"/>
  <c r="Q137" i="4"/>
  <c r="S137" i="4"/>
  <c r="T137" i="4"/>
  <c r="V137" i="4"/>
  <c r="W137" i="4"/>
  <c r="X137" i="4"/>
  <c r="Y137" i="4"/>
  <c r="AA137" i="4"/>
  <c r="AC137" i="4"/>
  <c r="A138" i="4"/>
  <c r="B138" i="4"/>
  <c r="C138" i="4"/>
  <c r="D138" i="4"/>
  <c r="E138" i="4"/>
  <c r="F138" i="4"/>
  <c r="G138" i="4"/>
  <c r="H138" i="4"/>
  <c r="I138" i="4"/>
  <c r="J138" i="4"/>
  <c r="K138" i="4"/>
  <c r="L138" i="4"/>
  <c r="N138" i="4"/>
  <c r="O138" i="4"/>
  <c r="P138" i="4"/>
  <c r="Q138" i="4"/>
  <c r="R138" i="4"/>
  <c r="U138" i="4"/>
  <c r="AC138" i="4"/>
  <c r="A139" i="4"/>
  <c r="B139" i="4"/>
  <c r="C139" i="4"/>
  <c r="D139" i="4"/>
  <c r="E139" i="4"/>
  <c r="F139" i="4"/>
  <c r="G139" i="4"/>
  <c r="H139" i="4"/>
  <c r="I139" i="4"/>
  <c r="L139" i="4"/>
  <c r="N139" i="4"/>
  <c r="P139" i="4"/>
  <c r="Z139" i="4"/>
  <c r="AA139" i="4"/>
  <c r="AB139" i="4"/>
  <c r="AC139" i="4"/>
  <c r="A140" i="4"/>
  <c r="B140" i="4"/>
  <c r="C140" i="4"/>
  <c r="D140" i="4"/>
  <c r="E140" i="4"/>
  <c r="F140" i="4"/>
  <c r="G140" i="4"/>
  <c r="H140" i="4"/>
  <c r="I140" i="4"/>
  <c r="K140" i="4"/>
  <c r="L140" i="4"/>
  <c r="M140" i="4"/>
  <c r="N140" i="4"/>
  <c r="O140" i="4"/>
  <c r="P140" i="4"/>
  <c r="S140" i="4"/>
  <c r="T140" i="4"/>
  <c r="U140" i="4"/>
  <c r="X140" i="4"/>
  <c r="Y140" i="4"/>
  <c r="Z140" i="4"/>
  <c r="AC140" i="4"/>
  <c r="AF140" i="4"/>
  <c r="A141" i="4"/>
  <c r="B141" i="4"/>
  <c r="C141" i="4"/>
  <c r="D141" i="4"/>
  <c r="E141" i="4"/>
  <c r="F141" i="4"/>
  <c r="H141" i="4"/>
  <c r="G141" i="4" s="1"/>
  <c r="K141" i="4" s="1"/>
  <c r="I141" i="4"/>
  <c r="L141" i="4"/>
  <c r="M141" i="4"/>
  <c r="N141" i="4"/>
  <c r="O141" i="4"/>
  <c r="P141" i="4"/>
  <c r="S141" i="4"/>
  <c r="U141" i="4"/>
  <c r="V141" i="4"/>
  <c r="AC141" i="4"/>
  <c r="A142" i="4"/>
  <c r="B142" i="4"/>
  <c r="C142" i="4"/>
  <c r="D142" i="4"/>
  <c r="E142" i="4"/>
  <c r="F142" i="4"/>
  <c r="G142" i="4"/>
  <c r="J142" i="4" s="1"/>
  <c r="H142" i="4"/>
  <c r="I142" i="4"/>
  <c r="K142" i="4"/>
  <c r="L142" i="4"/>
  <c r="N142" i="4"/>
  <c r="P142" i="4"/>
  <c r="AA142" i="4"/>
  <c r="AB142" i="4"/>
  <c r="AC142" i="4"/>
  <c r="A143" i="4"/>
  <c r="B143" i="4"/>
  <c r="C143" i="4"/>
  <c r="D143" i="4"/>
  <c r="E143" i="4"/>
  <c r="F143" i="4"/>
  <c r="G143" i="4"/>
  <c r="I143" i="4" s="1"/>
  <c r="H143" i="4"/>
  <c r="L143" i="4"/>
  <c r="M143" i="4"/>
  <c r="N143" i="4"/>
  <c r="O143" i="4"/>
  <c r="P143" i="4"/>
  <c r="S143" i="4"/>
  <c r="T143" i="4"/>
  <c r="U143" i="4"/>
  <c r="V143" i="4"/>
  <c r="AA143" i="4"/>
  <c r="AG143" i="4" s="1"/>
  <c r="AB143" i="4"/>
  <c r="AC143" i="4"/>
  <c r="AF143" i="4"/>
  <c r="A144" i="4"/>
  <c r="B144" i="4"/>
  <c r="C144" i="4"/>
  <c r="D144" i="4"/>
  <c r="E144" i="4"/>
  <c r="F144" i="4"/>
  <c r="G144" i="4"/>
  <c r="H144" i="4"/>
  <c r="K144" i="4"/>
  <c r="L144" i="4"/>
  <c r="N144" i="4"/>
  <c r="O144" i="4"/>
  <c r="P144" i="4"/>
  <c r="Q144" i="4"/>
  <c r="R144" i="4"/>
  <c r="S144" i="4"/>
  <c r="U144" i="4"/>
  <c r="W144" i="4"/>
  <c r="X144" i="4"/>
  <c r="AA144" i="4"/>
  <c r="AB144" i="4"/>
  <c r="AC144" i="4"/>
  <c r="AF144" i="4"/>
  <c r="A145" i="4"/>
  <c r="B145" i="4"/>
  <c r="C145" i="4"/>
  <c r="D145" i="4"/>
  <c r="E145" i="4"/>
  <c r="F145" i="4"/>
  <c r="H145" i="4"/>
  <c r="G145" i="4" s="1"/>
  <c r="L145" i="4"/>
  <c r="N145" i="4"/>
  <c r="P145" i="4"/>
  <c r="AC145" i="4"/>
  <c r="AF145" i="4"/>
  <c r="A146" i="4"/>
  <c r="B146" i="4"/>
  <c r="C146" i="4"/>
  <c r="D146" i="4"/>
  <c r="E146" i="4"/>
  <c r="F146" i="4"/>
  <c r="G146" i="4"/>
  <c r="H146" i="4"/>
  <c r="L146" i="4"/>
  <c r="M146" i="4"/>
  <c r="N146" i="4"/>
  <c r="O146" i="4"/>
  <c r="P146" i="4"/>
  <c r="Q146" i="4"/>
  <c r="R146" i="4"/>
  <c r="S146" i="4"/>
  <c r="T146" i="4"/>
  <c r="U146" i="4"/>
  <c r="W146" i="4"/>
  <c r="Y146" i="4"/>
  <c r="Z146" i="4"/>
  <c r="AA146" i="4"/>
  <c r="AC146" i="4"/>
  <c r="A147" i="4"/>
  <c r="B147" i="4"/>
  <c r="C147" i="4"/>
  <c r="D147" i="4"/>
  <c r="E147" i="4"/>
  <c r="F147" i="4"/>
  <c r="H147" i="4"/>
  <c r="G147" i="4" s="1"/>
  <c r="K147" i="4" s="1"/>
  <c r="I147" i="4"/>
  <c r="L147" i="4"/>
  <c r="M147" i="4"/>
  <c r="N147" i="4"/>
  <c r="O147" i="4"/>
  <c r="P147" i="4"/>
  <c r="S147" i="4"/>
  <c r="AC147" i="4"/>
  <c r="A148" i="4"/>
  <c r="B148" i="4"/>
  <c r="C148" i="4"/>
  <c r="D148" i="4"/>
  <c r="E148" i="4"/>
  <c r="F148" i="4"/>
  <c r="H148" i="4"/>
  <c r="G148" i="4" s="1"/>
  <c r="I148" i="4"/>
  <c r="L148" i="4"/>
  <c r="N148" i="4"/>
  <c r="P148" i="4"/>
  <c r="AC148" i="4"/>
  <c r="A149" i="4"/>
  <c r="B149" i="4"/>
  <c r="C149" i="4"/>
  <c r="D149" i="4"/>
  <c r="E149" i="4"/>
  <c r="F149" i="4"/>
  <c r="H149" i="4"/>
  <c r="G149" i="4" s="1"/>
  <c r="I149" i="4"/>
  <c r="L149" i="4"/>
  <c r="N149" i="4"/>
  <c r="O149" i="4"/>
  <c r="P149" i="4"/>
  <c r="Q149" i="4"/>
  <c r="R149" i="4"/>
  <c r="S149" i="4"/>
  <c r="T149" i="4"/>
  <c r="U149" i="4"/>
  <c r="AC149" i="4"/>
  <c r="A150" i="4"/>
  <c r="B150" i="4"/>
  <c r="C150" i="4"/>
  <c r="D150" i="4"/>
  <c r="E150" i="4"/>
  <c r="F150" i="4"/>
  <c r="G150" i="4"/>
  <c r="J150" i="4" s="1"/>
  <c r="H150" i="4"/>
  <c r="I150" i="4"/>
  <c r="L150" i="4"/>
  <c r="N150" i="4"/>
  <c r="P150" i="4"/>
  <c r="AC150" i="4"/>
  <c r="AD150" i="4"/>
  <c r="A151" i="4"/>
  <c r="B151" i="4"/>
  <c r="C151" i="4"/>
  <c r="D151" i="4"/>
  <c r="E151" i="4"/>
  <c r="F151" i="4"/>
  <c r="G151" i="4"/>
  <c r="J151" i="4" s="1"/>
  <c r="H151" i="4"/>
  <c r="I151" i="4"/>
  <c r="L151" i="4"/>
  <c r="N151" i="4"/>
  <c r="O151" i="4"/>
  <c r="P151" i="4"/>
  <c r="Q151" i="4"/>
  <c r="S151" i="4"/>
  <c r="T151" i="4"/>
  <c r="U151" i="4"/>
  <c r="V151" i="4"/>
  <c r="W151" i="4"/>
  <c r="X151" i="4"/>
  <c r="AA151" i="4"/>
  <c r="AG151" i="4" s="1"/>
  <c r="AC151" i="4"/>
  <c r="AF151" i="4"/>
  <c r="A152" i="4"/>
  <c r="B152" i="4"/>
  <c r="C152" i="4"/>
  <c r="D152" i="4"/>
  <c r="E152" i="4"/>
  <c r="F152" i="4"/>
  <c r="H152" i="4"/>
  <c r="G152" i="4" s="1"/>
  <c r="K152" i="4" s="1"/>
  <c r="I152" i="4"/>
  <c r="J152" i="4"/>
  <c r="L152" i="4"/>
  <c r="N152" i="4"/>
  <c r="O152" i="4"/>
  <c r="P152" i="4"/>
  <c r="R152" i="4"/>
  <c r="AC152" i="4"/>
  <c r="A153" i="4"/>
  <c r="B153" i="4"/>
  <c r="C153" i="4"/>
  <c r="D153" i="4"/>
  <c r="E153" i="4"/>
  <c r="F153" i="4"/>
  <c r="H153" i="4"/>
  <c r="G153" i="4" s="1"/>
  <c r="X153" i="4" s="1"/>
  <c r="I153" i="4"/>
  <c r="L153" i="4"/>
  <c r="N153" i="4"/>
  <c r="P153" i="4"/>
  <c r="AC153" i="4"/>
  <c r="AF153" i="4"/>
  <c r="A154" i="4"/>
  <c r="B154" i="4"/>
  <c r="C154" i="4"/>
  <c r="D154" i="4"/>
  <c r="E154" i="4"/>
  <c r="F154" i="4"/>
  <c r="H154" i="4"/>
  <c r="G154" i="4" s="1"/>
  <c r="J154" i="4" s="1"/>
  <c r="I154" i="4"/>
  <c r="K154" i="4"/>
  <c r="L154" i="4"/>
  <c r="M154" i="4"/>
  <c r="N154" i="4"/>
  <c r="O154" i="4"/>
  <c r="P154" i="4"/>
  <c r="T154" i="4"/>
  <c r="U154" i="4"/>
  <c r="V154" i="4"/>
  <c r="W154" i="4"/>
  <c r="X154" i="4"/>
  <c r="AB154" i="4"/>
  <c r="AC154" i="4"/>
  <c r="AD154" i="4"/>
  <c r="A155" i="4"/>
  <c r="B155" i="4"/>
  <c r="C155" i="4"/>
  <c r="D155" i="4"/>
  <c r="E155" i="4"/>
  <c r="F155" i="4"/>
  <c r="H155" i="4"/>
  <c r="G155" i="4" s="1"/>
  <c r="I155" i="4"/>
  <c r="J155" i="4"/>
  <c r="K155" i="4"/>
  <c r="L155" i="4"/>
  <c r="N155" i="4"/>
  <c r="O155" i="4"/>
  <c r="P155" i="4"/>
  <c r="U155" i="4"/>
  <c r="AC155" i="4"/>
  <c r="AF155" i="4"/>
  <c r="A156" i="4"/>
  <c r="B156" i="4"/>
  <c r="C156" i="4"/>
  <c r="D156" i="4"/>
  <c r="E156" i="4"/>
  <c r="F156" i="4"/>
  <c r="G156" i="4"/>
  <c r="J156" i="4" s="1"/>
  <c r="H156" i="4"/>
  <c r="I156" i="4"/>
  <c r="K156" i="4"/>
  <c r="L156" i="4"/>
  <c r="N156" i="4"/>
  <c r="P156" i="4"/>
  <c r="U156" i="4"/>
  <c r="V156" i="4"/>
  <c r="W156" i="4"/>
  <c r="X156" i="4"/>
  <c r="Y156" i="4"/>
  <c r="Z156" i="4"/>
  <c r="AA156" i="4"/>
  <c r="AG156" i="4" s="1"/>
  <c r="AB156" i="4"/>
  <c r="AC156" i="4"/>
  <c r="AF156" i="4"/>
  <c r="A157" i="4"/>
  <c r="B157" i="4"/>
  <c r="C157" i="4"/>
  <c r="D157" i="4"/>
  <c r="E157" i="4"/>
  <c r="F157" i="4"/>
  <c r="H157" i="4"/>
  <c r="G157" i="4" s="1"/>
  <c r="I157" i="4"/>
  <c r="J157" i="4"/>
  <c r="K157" i="4"/>
  <c r="L157" i="4"/>
  <c r="M157" i="4"/>
  <c r="N157" i="4"/>
  <c r="O157" i="4"/>
  <c r="P157" i="4"/>
  <c r="Q157" i="4"/>
  <c r="R157" i="4"/>
  <c r="S157" i="4"/>
  <c r="U157" i="4"/>
  <c r="V157" i="4"/>
  <c r="W157" i="4"/>
  <c r="X157" i="4"/>
  <c r="Y157" i="4"/>
  <c r="Z157" i="4"/>
  <c r="AC157" i="4"/>
  <c r="AD157" i="4"/>
  <c r="AF157" i="4"/>
  <c r="A158" i="4"/>
  <c r="B158" i="4"/>
  <c r="C158" i="4"/>
  <c r="D158" i="4"/>
  <c r="E158" i="4"/>
  <c r="F158" i="4"/>
  <c r="H158" i="4"/>
  <c r="G158" i="4" s="1"/>
  <c r="J158" i="4" s="1"/>
  <c r="I158" i="4"/>
  <c r="L158" i="4"/>
  <c r="N158" i="4"/>
  <c r="P158" i="4"/>
  <c r="U158" i="4"/>
  <c r="Y158" i="4"/>
  <c r="Z158" i="4"/>
  <c r="AB158" i="4"/>
  <c r="AC158" i="4"/>
  <c r="AF158" i="4"/>
  <c r="A159" i="4"/>
  <c r="B159" i="4"/>
  <c r="C159" i="4"/>
  <c r="D159" i="4"/>
  <c r="E159" i="4"/>
  <c r="F159" i="4"/>
  <c r="G159" i="4"/>
  <c r="K159" i="4" s="1"/>
  <c r="H159" i="4"/>
  <c r="I159" i="4"/>
  <c r="J159" i="4"/>
  <c r="L159" i="4"/>
  <c r="M159" i="4"/>
  <c r="N159" i="4"/>
  <c r="O159" i="4"/>
  <c r="P159" i="4"/>
  <c r="Q159" i="4"/>
  <c r="R159" i="4"/>
  <c r="S159" i="4"/>
  <c r="T159" i="4"/>
  <c r="X159" i="4"/>
  <c r="Z159" i="4"/>
  <c r="AC159" i="4"/>
  <c r="AF159" i="4"/>
  <c r="A160" i="4"/>
  <c r="B160" i="4"/>
  <c r="C160" i="4"/>
  <c r="D160" i="4"/>
  <c r="E160" i="4"/>
  <c r="F160" i="4"/>
  <c r="G160" i="4"/>
  <c r="H160" i="4"/>
  <c r="I160" i="4"/>
  <c r="J160" i="4"/>
  <c r="L160" i="4"/>
  <c r="N160" i="4"/>
  <c r="P160" i="4"/>
  <c r="Z160" i="4"/>
  <c r="AC160" i="4"/>
  <c r="A161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P161" i="4"/>
  <c r="Q161" i="4"/>
  <c r="R161" i="4"/>
  <c r="S161" i="4"/>
  <c r="T161" i="4"/>
  <c r="U161" i="4"/>
  <c r="V161" i="4"/>
  <c r="W161" i="4"/>
  <c r="X161" i="4"/>
  <c r="Y161" i="4"/>
  <c r="Z161" i="4"/>
  <c r="AC161" i="4"/>
  <c r="AD161" i="4"/>
  <c r="AF161" i="4"/>
  <c r="A162" i="4"/>
  <c r="B162" i="4"/>
  <c r="C162" i="4"/>
  <c r="D162" i="4"/>
  <c r="E162" i="4"/>
  <c r="F162" i="4"/>
  <c r="G162" i="4"/>
  <c r="H162" i="4"/>
  <c r="I162" i="4"/>
  <c r="J162" i="4"/>
  <c r="K162" i="4"/>
  <c r="L162" i="4"/>
  <c r="N162" i="4"/>
  <c r="P162" i="4"/>
  <c r="AB162" i="4"/>
  <c r="AC162" i="4"/>
  <c r="AD162" i="4"/>
  <c r="AF162" i="4"/>
  <c r="A163" i="4"/>
  <c r="B163" i="4"/>
  <c r="C163" i="4"/>
  <c r="D163" i="4"/>
  <c r="E163" i="4"/>
  <c r="F163" i="4"/>
  <c r="G163" i="4"/>
  <c r="H163" i="4"/>
  <c r="I163" i="4"/>
  <c r="K163" i="4"/>
  <c r="L163" i="4"/>
  <c r="M163" i="4"/>
  <c r="N163" i="4"/>
  <c r="O163" i="4"/>
  <c r="P163" i="4"/>
  <c r="Q163" i="4"/>
  <c r="R163" i="4"/>
  <c r="S163" i="4"/>
  <c r="T163" i="4"/>
  <c r="U163" i="4"/>
  <c r="W163" i="4"/>
  <c r="X163" i="4"/>
  <c r="Z163" i="4"/>
  <c r="AC163" i="4"/>
  <c r="AF163" i="4"/>
  <c r="A164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P164" i="4"/>
  <c r="Z164" i="4"/>
  <c r="AC164" i="4"/>
  <c r="AD164" i="4"/>
  <c r="AF164" i="4"/>
  <c r="A165" i="4"/>
  <c r="B165" i="4"/>
  <c r="C165" i="4"/>
  <c r="D165" i="4"/>
  <c r="E165" i="4"/>
  <c r="F165" i="4"/>
  <c r="G165" i="4"/>
  <c r="AF165" i="4" s="1"/>
  <c r="H165" i="4"/>
  <c r="I165" i="4"/>
  <c r="L165" i="4"/>
  <c r="M165" i="4"/>
  <c r="N165" i="4"/>
  <c r="O165" i="4"/>
  <c r="P165" i="4"/>
  <c r="Q165" i="4"/>
  <c r="R165" i="4"/>
  <c r="S165" i="4"/>
  <c r="T165" i="4"/>
  <c r="U165" i="4"/>
  <c r="V165" i="4"/>
  <c r="Z165" i="4"/>
  <c r="AB165" i="4"/>
  <c r="AC165" i="4"/>
  <c r="AD165" i="4"/>
  <c r="A166" i="4"/>
  <c r="B166" i="4"/>
  <c r="C166" i="4"/>
  <c r="D166" i="4"/>
  <c r="E166" i="4"/>
  <c r="F166" i="4"/>
  <c r="H166" i="4"/>
  <c r="G166" i="4" s="1"/>
  <c r="I166" i="4"/>
  <c r="L166" i="4"/>
  <c r="N166" i="4"/>
  <c r="O166" i="4"/>
  <c r="P166" i="4"/>
  <c r="AC166" i="4"/>
  <c r="A167" i="4"/>
  <c r="B167" i="4"/>
  <c r="C167" i="4"/>
  <c r="D167" i="4"/>
  <c r="E167" i="4"/>
  <c r="F167" i="4"/>
  <c r="H167" i="4"/>
  <c r="G167" i="4" s="1"/>
  <c r="I167" i="4"/>
  <c r="L167" i="4"/>
  <c r="N167" i="4"/>
  <c r="P167" i="4"/>
  <c r="S167" i="4"/>
  <c r="T167" i="4"/>
  <c r="U167" i="4"/>
  <c r="V167" i="4"/>
  <c r="W167" i="4"/>
  <c r="X167" i="4"/>
  <c r="AC167" i="4"/>
  <c r="A168" i="4"/>
  <c r="B168" i="4"/>
  <c r="C168" i="4"/>
  <c r="D168" i="4"/>
  <c r="E168" i="4"/>
  <c r="F168" i="4"/>
  <c r="H168" i="4"/>
  <c r="G168" i="4" s="1"/>
  <c r="J168" i="4" s="1"/>
  <c r="I168" i="4"/>
  <c r="K168" i="4"/>
  <c r="L168" i="4"/>
  <c r="N168" i="4"/>
  <c r="O168" i="4"/>
  <c r="P168" i="4"/>
  <c r="AC168" i="4"/>
  <c r="AF168" i="4"/>
  <c r="A169" i="4"/>
  <c r="B169" i="4"/>
  <c r="C169" i="4"/>
  <c r="D169" i="4"/>
  <c r="E169" i="4"/>
  <c r="F169" i="4"/>
  <c r="G169" i="4"/>
  <c r="J169" i="4" s="1"/>
  <c r="H169" i="4"/>
  <c r="I169" i="4"/>
  <c r="L169" i="4"/>
  <c r="N169" i="4"/>
  <c r="P169" i="4"/>
  <c r="R169" i="4"/>
  <c r="S169" i="4"/>
  <c r="T169" i="4"/>
  <c r="U169" i="4"/>
  <c r="V169" i="4"/>
  <c r="Y169" i="4"/>
  <c r="Z169" i="4"/>
  <c r="AA169" i="4"/>
  <c r="AB169" i="4"/>
  <c r="AC169" i="4"/>
  <c r="AD169" i="4"/>
  <c r="A170" i="4"/>
  <c r="B170" i="4"/>
  <c r="C170" i="4"/>
  <c r="D170" i="4"/>
  <c r="E170" i="4"/>
  <c r="F170" i="4"/>
  <c r="H170" i="4"/>
  <c r="G170" i="4" s="1"/>
  <c r="I170" i="4"/>
  <c r="J170" i="4"/>
  <c r="L170" i="4"/>
  <c r="N170" i="4"/>
  <c r="O170" i="4"/>
  <c r="P170" i="4"/>
  <c r="Q170" i="4"/>
  <c r="S170" i="4"/>
  <c r="AC170" i="4"/>
  <c r="A171" i="4"/>
  <c r="B171" i="4"/>
  <c r="C171" i="4"/>
  <c r="D171" i="4"/>
  <c r="E171" i="4"/>
  <c r="F171" i="4"/>
  <c r="G171" i="4"/>
  <c r="H171" i="4"/>
  <c r="I171" i="4"/>
  <c r="L171" i="4"/>
  <c r="N171" i="4"/>
  <c r="P171" i="4"/>
  <c r="U171" i="4"/>
  <c r="V171" i="4"/>
  <c r="X171" i="4"/>
  <c r="Z171" i="4"/>
  <c r="AA171" i="4"/>
  <c r="AB171" i="4"/>
  <c r="AC171" i="4"/>
  <c r="AD171" i="4"/>
  <c r="A172" i="4"/>
  <c r="B172" i="4"/>
  <c r="C172" i="4"/>
  <c r="D172" i="4"/>
  <c r="E172" i="4"/>
  <c r="F172" i="4"/>
  <c r="G172" i="4"/>
  <c r="AD172" i="4" s="1"/>
  <c r="H172" i="4"/>
  <c r="I172" i="4"/>
  <c r="J172" i="4"/>
  <c r="L172" i="4"/>
  <c r="M172" i="4"/>
  <c r="N172" i="4"/>
  <c r="O172" i="4"/>
  <c r="P172" i="4"/>
  <c r="Q172" i="4"/>
  <c r="R172" i="4"/>
  <c r="AC172" i="4"/>
  <c r="A173" i="4"/>
  <c r="B173" i="4"/>
  <c r="C173" i="4"/>
  <c r="D173" i="4"/>
  <c r="E173" i="4"/>
  <c r="F173" i="4"/>
  <c r="H173" i="4"/>
  <c r="G173" i="4" s="1"/>
  <c r="AD173" i="4" s="1"/>
  <c r="I173" i="4"/>
  <c r="L173" i="4"/>
  <c r="N173" i="4"/>
  <c r="P173" i="4"/>
  <c r="AC173" i="4"/>
  <c r="A174" i="4"/>
  <c r="B174" i="4"/>
  <c r="C174" i="4"/>
  <c r="D174" i="4"/>
  <c r="E174" i="4"/>
  <c r="F174" i="4"/>
  <c r="H174" i="4"/>
  <c r="G174" i="4" s="1"/>
  <c r="K174" i="4" s="1"/>
  <c r="I174" i="4"/>
  <c r="L174" i="4"/>
  <c r="M174" i="4"/>
  <c r="N174" i="4"/>
  <c r="O174" i="4"/>
  <c r="P174" i="4"/>
  <c r="Q174" i="4"/>
  <c r="R174" i="4"/>
  <c r="AC174" i="4"/>
  <c r="A175" i="4"/>
  <c r="B175" i="4"/>
  <c r="C175" i="4"/>
  <c r="D175" i="4"/>
  <c r="E175" i="4"/>
  <c r="F175" i="4"/>
  <c r="H175" i="4"/>
  <c r="G175" i="4" s="1"/>
  <c r="I175" i="4"/>
  <c r="L175" i="4"/>
  <c r="N175" i="4"/>
  <c r="P175" i="4"/>
  <c r="AC175" i="4"/>
  <c r="A176" i="4"/>
  <c r="B176" i="4"/>
  <c r="C176" i="4"/>
  <c r="D176" i="4"/>
  <c r="E176" i="4"/>
  <c r="F176" i="4"/>
  <c r="G176" i="4"/>
  <c r="AF176" i="4" s="1"/>
  <c r="H176" i="4"/>
  <c r="I176" i="4"/>
  <c r="K176" i="4"/>
  <c r="L176" i="4"/>
  <c r="N176" i="4"/>
  <c r="O176" i="4"/>
  <c r="P176" i="4"/>
  <c r="Q176" i="4"/>
  <c r="R176" i="4"/>
  <c r="S176" i="4"/>
  <c r="U176" i="4"/>
  <c r="W176" i="4"/>
  <c r="Z176" i="4"/>
  <c r="AC176" i="4"/>
  <c r="A177" i="4"/>
  <c r="B177" i="4"/>
  <c r="C177" i="4"/>
  <c r="D177" i="4"/>
  <c r="E177" i="4"/>
  <c r="F177" i="4"/>
  <c r="H177" i="4"/>
  <c r="G177" i="4" s="1"/>
  <c r="K177" i="4" s="1"/>
  <c r="I177" i="4"/>
  <c r="J177" i="4"/>
  <c r="L177" i="4"/>
  <c r="N177" i="4"/>
  <c r="P177" i="4"/>
  <c r="Z177" i="4"/>
  <c r="AB177" i="4"/>
  <c r="AC177" i="4"/>
  <c r="AD177" i="4"/>
  <c r="AF177" i="4"/>
  <c r="A178" i="4"/>
  <c r="B178" i="4"/>
  <c r="C178" i="4"/>
  <c r="D178" i="4"/>
  <c r="E178" i="4"/>
  <c r="F178" i="4"/>
  <c r="H178" i="4"/>
  <c r="G178" i="4" s="1"/>
  <c r="M178" i="4" s="1"/>
  <c r="I178" i="4"/>
  <c r="J178" i="4"/>
  <c r="K178" i="4"/>
  <c r="L178" i="4"/>
  <c r="N178" i="4"/>
  <c r="O178" i="4"/>
  <c r="P178" i="4"/>
  <c r="Q178" i="4"/>
  <c r="R178" i="4"/>
  <c r="S178" i="4"/>
  <c r="T178" i="4"/>
  <c r="U178" i="4"/>
  <c r="V178" i="4"/>
  <c r="X178" i="4"/>
  <c r="Z178" i="4"/>
  <c r="AB178" i="4"/>
  <c r="AC178" i="4"/>
  <c r="AF178" i="4"/>
  <c r="A179" i="4"/>
  <c r="B179" i="4"/>
  <c r="C179" i="4"/>
  <c r="D179" i="4"/>
  <c r="E179" i="4"/>
  <c r="F179" i="4"/>
  <c r="G179" i="4"/>
  <c r="H179" i="4"/>
  <c r="I179" i="4"/>
  <c r="J179" i="4"/>
  <c r="K179" i="4"/>
  <c r="L179" i="4"/>
  <c r="N179" i="4"/>
  <c r="P179" i="4"/>
  <c r="U179" i="4"/>
  <c r="V179" i="4"/>
  <c r="Y179" i="4"/>
  <c r="AC179" i="4"/>
  <c r="A180" i="4"/>
  <c r="B180" i="4"/>
  <c r="C180" i="4"/>
  <c r="D180" i="4"/>
  <c r="E180" i="4"/>
  <c r="F180" i="4"/>
  <c r="G180" i="4"/>
  <c r="AD180" i="4" s="1"/>
  <c r="H180" i="4"/>
  <c r="I180" i="4"/>
  <c r="K180" i="4"/>
  <c r="L180" i="4"/>
  <c r="M180" i="4"/>
  <c r="N180" i="4"/>
  <c r="O180" i="4"/>
  <c r="P180" i="4"/>
  <c r="Q180" i="4"/>
  <c r="R180" i="4"/>
  <c r="S180" i="4"/>
  <c r="U180" i="4"/>
  <c r="AC180" i="4"/>
  <c r="AF180" i="4"/>
  <c r="A181" i="4"/>
  <c r="B181" i="4"/>
  <c r="C181" i="4"/>
  <c r="D181" i="4"/>
  <c r="E181" i="4"/>
  <c r="F181" i="4"/>
  <c r="G181" i="4"/>
  <c r="H181" i="4"/>
  <c r="I181" i="4"/>
  <c r="L181" i="4"/>
  <c r="N181" i="4"/>
  <c r="P181" i="4"/>
  <c r="AC181" i="4"/>
  <c r="A182" i="4"/>
  <c r="B182" i="4"/>
  <c r="C182" i="4"/>
  <c r="D182" i="4"/>
  <c r="E182" i="4"/>
  <c r="F182" i="4"/>
  <c r="G182" i="4"/>
  <c r="H182" i="4"/>
  <c r="I182" i="4"/>
  <c r="J182" i="4"/>
  <c r="K182" i="4"/>
  <c r="L182" i="4"/>
  <c r="N182" i="4"/>
  <c r="P182" i="4"/>
  <c r="U182" i="4"/>
  <c r="AC182" i="4"/>
  <c r="A183" i="4"/>
  <c r="B183" i="4"/>
  <c r="C183" i="4"/>
  <c r="D183" i="4"/>
  <c r="E183" i="4"/>
  <c r="F183" i="4"/>
  <c r="G183" i="4"/>
  <c r="R183" i="4" s="1"/>
  <c r="H183" i="4"/>
  <c r="I183" i="4"/>
  <c r="L183" i="4"/>
  <c r="N183" i="4"/>
  <c r="P183" i="4"/>
  <c r="U183" i="4"/>
  <c r="AC183" i="4"/>
  <c r="A184" i="4"/>
  <c r="B184" i="4"/>
  <c r="C184" i="4"/>
  <c r="D184" i="4"/>
  <c r="E184" i="4"/>
  <c r="F184" i="4"/>
  <c r="G184" i="4"/>
  <c r="H184" i="4"/>
  <c r="I184" i="4"/>
  <c r="L184" i="4"/>
  <c r="N184" i="4"/>
  <c r="P184" i="4"/>
  <c r="V184" i="4"/>
  <c r="AC184" i="4"/>
  <c r="A185" i="4"/>
  <c r="B185" i="4"/>
  <c r="C185" i="4"/>
  <c r="D185" i="4"/>
  <c r="E185" i="4"/>
  <c r="F185" i="4"/>
  <c r="G185" i="4"/>
  <c r="AD185" i="4" s="1"/>
  <c r="H185" i="4"/>
  <c r="I185" i="4"/>
  <c r="J185" i="4"/>
  <c r="L185" i="4"/>
  <c r="M185" i="4"/>
  <c r="N185" i="4"/>
  <c r="O185" i="4"/>
  <c r="P185" i="4"/>
  <c r="Q185" i="4"/>
  <c r="R185" i="4"/>
  <c r="S185" i="4"/>
  <c r="T185" i="4"/>
  <c r="U185" i="4"/>
  <c r="V185" i="4"/>
  <c r="X185" i="4"/>
  <c r="Y185" i="4"/>
  <c r="AA185" i="4"/>
  <c r="AC185" i="4"/>
  <c r="A186" i="4"/>
  <c r="B186" i="4"/>
  <c r="C186" i="4"/>
  <c r="D186" i="4"/>
  <c r="E186" i="4"/>
  <c r="F186" i="4"/>
  <c r="H186" i="4"/>
  <c r="G186" i="4" s="1"/>
  <c r="I186" i="4"/>
  <c r="L186" i="4"/>
  <c r="N186" i="4"/>
  <c r="P186" i="4"/>
  <c r="U186" i="4"/>
  <c r="AC186" i="4"/>
  <c r="AD186" i="4"/>
  <c r="AF186" i="4"/>
  <c r="A187" i="4"/>
  <c r="B187" i="4"/>
  <c r="C187" i="4"/>
  <c r="D187" i="4"/>
  <c r="E187" i="4"/>
  <c r="F187" i="4"/>
  <c r="H187" i="4"/>
  <c r="G187" i="4" s="1"/>
  <c r="I187" i="4"/>
  <c r="L187" i="4"/>
  <c r="M187" i="4"/>
  <c r="N187" i="4"/>
  <c r="P187" i="4"/>
  <c r="Q187" i="4"/>
  <c r="R187" i="4"/>
  <c r="S187" i="4"/>
  <c r="U187" i="4"/>
  <c r="V187" i="4"/>
  <c r="W187" i="4"/>
  <c r="X187" i="4"/>
  <c r="AC187" i="4"/>
  <c r="A188" i="4"/>
  <c r="B188" i="4"/>
  <c r="C188" i="4"/>
  <c r="D188" i="4"/>
  <c r="E188" i="4"/>
  <c r="F188" i="4"/>
  <c r="H188" i="4"/>
  <c r="G188" i="4" s="1"/>
  <c r="I188" i="4"/>
  <c r="J188" i="4"/>
  <c r="K188" i="4"/>
  <c r="L188" i="4"/>
  <c r="N188" i="4"/>
  <c r="P188" i="4"/>
  <c r="U188" i="4"/>
  <c r="V188" i="4"/>
  <c r="Y188" i="4"/>
  <c r="Z188" i="4"/>
  <c r="AB188" i="4"/>
  <c r="AC188" i="4"/>
  <c r="AD188" i="4"/>
  <c r="A189" i="4"/>
  <c r="B189" i="4"/>
  <c r="C189" i="4"/>
  <c r="D189" i="4"/>
  <c r="E189" i="4"/>
  <c r="F189" i="4"/>
  <c r="H189" i="4"/>
  <c r="G189" i="4" s="1"/>
  <c r="I189" i="4"/>
  <c r="J189" i="4"/>
  <c r="L189" i="4"/>
  <c r="M189" i="4"/>
  <c r="N189" i="4"/>
  <c r="O189" i="4"/>
  <c r="P189" i="4"/>
  <c r="Q189" i="4"/>
  <c r="R189" i="4"/>
  <c r="S189" i="4"/>
  <c r="AC189" i="4"/>
  <c r="AD189" i="4"/>
  <c r="A190" i="4"/>
  <c r="B190" i="4"/>
  <c r="C190" i="4"/>
  <c r="D190" i="4"/>
  <c r="E190" i="4"/>
  <c r="F190" i="4"/>
  <c r="G190" i="4"/>
  <c r="H190" i="4"/>
  <c r="I190" i="4"/>
  <c r="L190" i="4"/>
  <c r="N190" i="4"/>
  <c r="P190" i="4"/>
  <c r="Q190" i="4"/>
  <c r="T190" i="4"/>
  <c r="V190" i="4"/>
  <c r="AC190" i="4"/>
  <c r="A191" i="4"/>
  <c r="B191" i="4"/>
  <c r="C191" i="4"/>
  <c r="D191" i="4"/>
  <c r="E191" i="4"/>
  <c r="F191" i="4"/>
  <c r="G191" i="4"/>
  <c r="AB191" i="4" s="1"/>
  <c r="H191" i="4"/>
  <c r="I191" i="4"/>
  <c r="J191" i="4"/>
  <c r="K191" i="4"/>
  <c r="L191" i="4"/>
  <c r="M191" i="4"/>
  <c r="N191" i="4"/>
  <c r="O191" i="4"/>
  <c r="P191" i="4"/>
  <c r="Y191" i="4"/>
  <c r="AA191" i="4"/>
  <c r="AC191" i="4"/>
  <c r="AD191" i="4"/>
  <c r="AF191" i="4"/>
  <c r="AG191" i="4"/>
  <c r="A192" i="4"/>
  <c r="B192" i="4"/>
  <c r="C192" i="4"/>
  <c r="D192" i="4"/>
  <c r="E192" i="4"/>
  <c r="F192" i="4"/>
  <c r="H192" i="4"/>
  <c r="G192" i="4" s="1"/>
  <c r="I192" i="4"/>
  <c r="L192" i="4"/>
  <c r="M192" i="4"/>
  <c r="P192" i="4"/>
  <c r="AC192" i="4"/>
  <c r="A193" i="4"/>
  <c r="B193" i="4"/>
  <c r="C193" i="4"/>
  <c r="D193" i="4"/>
  <c r="E193" i="4"/>
  <c r="F193" i="4"/>
  <c r="H193" i="4"/>
  <c r="G193" i="4" s="1"/>
  <c r="I193" i="4"/>
  <c r="J193" i="4"/>
  <c r="L193" i="4"/>
  <c r="N193" i="4"/>
  <c r="P193" i="4"/>
  <c r="AC193" i="4"/>
  <c r="A194" i="4"/>
  <c r="B194" i="4"/>
  <c r="C194" i="4"/>
  <c r="D194" i="4"/>
  <c r="E194" i="4"/>
  <c r="F194" i="4"/>
  <c r="G194" i="4"/>
  <c r="T194" i="4" s="1"/>
  <c r="H194" i="4"/>
  <c r="I194" i="4"/>
  <c r="K194" i="4"/>
  <c r="L194" i="4"/>
  <c r="M194" i="4"/>
  <c r="N194" i="4"/>
  <c r="O194" i="4"/>
  <c r="P194" i="4"/>
  <c r="Q194" i="4"/>
  <c r="R194" i="4"/>
  <c r="S194" i="4"/>
  <c r="AA194" i="4"/>
  <c r="AC194" i="4"/>
  <c r="AF194" i="4"/>
  <c r="AG194" i="4"/>
  <c r="A195" i="4"/>
  <c r="B195" i="4"/>
  <c r="C195" i="4"/>
  <c r="D195" i="4"/>
  <c r="E195" i="4"/>
  <c r="F195" i="4"/>
  <c r="H195" i="4"/>
  <c r="G195" i="4" s="1"/>
  <c r="I195" i="4"/>
  <c r="L195" i="4"/>
  <c r="N195" i="4"/>
  <c r="P195" i="4"/>
  <c r="S195" i="4"/>
  <c r="T195" i="4"/>
  <c r="U195" i="4"/>
  <c r="V195" i="4"/>
  <c r="W195" i="4"/>
  <c r="X195" i="4"/>
  <c r="Y195" i="4"/>
  <c r="Z195" i="4"/>
  <c r="AC195" i="4"/>
  <c r="A196" i="4"/>
  <c r="B196" i="4"/>
  <c r="C196" i="4"/>
  <c r="D196" i="4"/>
  <c r="E196" i="4"/>
  <c r="F196" i="4"/>
  <c r="H196" i="4"/>
  <c r="G196" i="4" s="1"/>
  <c r="I196" i="4"/>
  <c r="L196" i="4"/>
  <c r="N196" i="4"/>
  <c r="P196" i="4"/>
  <c r="AC196" i="4"/>
  <c r="AF196" i="4"/>
  <c r="A197" i="4"/>
  <c r="B197" i="4"/>
  <c r="C197" i="4"/>
  <c r="D197" i="4"/>
  <c r="E197" i="4"/>
  <c r="F197" i="4"/>
  <c r="H197" i="4"/>
  <c r="G197" i="4" s="1"/>
  <c r="I197" i="4"/>
  <c r="J197" i="4"/>
  <c r="L197" i="4"/>
  <c r="M197" i="4"/>
  <c r="N197" i="4"/>
  <c r="O197" i="4"/>
  <c r="P197" i="4"/>
  <c r="Q197" i="4"/>
  <c r="R197" i="4"/>
  <c r="S197" i="4"/>
  <c r="T197" i="4"/>
  <c r="AC197" i="4"/>
  <c r="AD197" i="4"/>
  <c r="A198" i="4"/>
  <c r="B198" i="4"/>
  <c r="C198" i="4"/>
  <c r="D198" i="4"/>
  <c r="E198" i="4"/>
  <c r="F198" i="4"/>
  <c r="G198" i="4"/>
  <c r="H198" i="4"/>
  <c r="I198" i="4"/>
  <c r="L198" i="4"/>
  <c r="N198" i="4"/>
  <c r="P198" i="4"/>
  <c r="Q198" i="4"/>
  <c r="T198" i="4"/>
  <c r="U198" i="4"/>
  <c r="V198" i="4"/>
  <c r="W198" i="4"/>
  <c r="X198" i="4"/>
  <c r="Y198" i="4"/>
  <c r="Z198" i="4"/>
  <c r="AC198" i="4"/>
  <c r="A199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P199" i="4"/>
  <c r="V199" i="4"/>
  <c r="X199" i="4"/>
  <c r="AC199" i="4"/>
  <c r="A200" i="4"/>
  <c r="B200" i="4"/>
  <c r="C200" i="4"/>
  <c r="D200" i="4"/>
  <c r="E200" i="4"/>
  <c r="F200" i="4"/>
  <c r="H200" i="4"/>
  <c r="G200" i="4" s="1"/>
  <c r="I200" i="4"/>
  <c r="K200" i="4"/>
  <c r="L200" i="4"/>
  <c r="N200" i="4"/>
  <c r="O200" i="4"/>
  <c r="P200" i="4"/>
  <c r="AC200" i="4"/>
  <c r="A201" i="4"/>
  <c r="B201" i="4"/>
  <c r="C201" i="4"/>
  <c r="D201" i="4"/>
  <c r="E201" i="4"/>
  <c r="F201" i="4"/>
  <c r="H201" i="4"/>
  <c r="G201" i="4" s="1"/>
  <c r="I201" i="4"/>
  <c r="L201" i="4"/>
  <c r="N201" i="4"/>
  <c r="P201" i="4"/>
  <c r="R201" i="4"/>
  <c r="AC201" i="4"/>
  <c r="A202" i="4"/>
  <c r="B202" i="4"/>
  <c r="C202" i="4"/>
  <c r="D202" i="4"/>
  <c r="E202" i="4"/>
  <c r="F202" i="4"/>
  <c r="H202" i="4"/>
  <c r="G202" i="4" s="1"/>
  <c r="I202" i="4"/>
  <c r="J202" i="4"/>
  <c r="K202" i="4"/>
  <c r="L202" i="4"/>
  <c r="N202" i="4"/>
  <c r="P202" i="4"/>
  <c r="U202" i="4"/>
  <c r="AC202" i="4"/>
  <c r="F13" i="2"/>
  <c r="D15" i="4"/>
  <c r="H15" i="4"/>
  <c r="AH178" i="4" l="1"/>
  <c r="J201" i="4"/>
  <c r="AD201" i="4"/>
  <c r="K201" i="4"/>
  <c r="AF201" i="4"/>
  <c r="M201" i="4"/>
  <c r="O201" i="4"/>
  <c r="Q201" i="4"/>
  <c r="S201" i="4"/>
  <c r="T201" i="4"/>
  <c r="U201" i="4"/>
  <c r="V201" i="4"/>
  <c r="W201" i="4"/>
  <c r="X201" i="4"/>
  <c r="Y201" i="4"/>
  <c r="Z201" i="4"/>
  <c r="AA201" i="4"/>
  <c r="AG201" i="4" s="1"/>
  <c r="AB201" i="4"/>
  <c r="V193" i="4"/>
  <c r="M193" i="4"/>
  <c r="O193" i="4"/>
  <c r="Q193" i="4"/>
  <c r="R193" i="4"/>
  <c r="S193" i="4"/>
  <c r="T193" i="4"/>
  <c r="W193" i="4"/>
  <c r="X193" i="4"/>
  <c r="K193" i="4"/>
  <c r="U193" i="4"/>
  <c r="Y193" i="4"/>
  <c r="Z193" i="4"/>
  <c r="AA193" i="4"/>
  <c r="AB193" i="4"/>
  <c r="AD193" i="4"/>
  <c r="AF193" i="4"/>
  <c r="I121" i="4"/>
  <c r="AC121" i="4"/>
  <c r="J121" i="4"/>
  <c r="AF121" i="4"/>
  <c r="R121" i="4"/>
  <c r="U121" i="4"/>
  <c r="V121" i="4"/>
  <c r="AD121" i="4"/>
  <c r="W121" i="4"/>
  <c r="X121" i="4"/>
  <c r="M121" i="4"/>
  <c r="O121" i="4"/>
  <c r="Q121" i="4"/>
  <c r="S121" i="4"/>
  <c r="T121" i="4"/>
  <c r="Y121" i="4"/>
  <c r="Z121" i="4"/>
  <c r="AA121" i="4"/>
  <c r="AG121" i="4" s="1"/>
  <c r="AB121" i="4"/>
  <c r="K121" i="4"/>
  <c r="K80" i="4"/>
  <c r="AF80" i="4"/>
  <c r="S80" i="4"/>
  <c r="O80" i="4"/>
  <c r="U80" i="4"/>
  <c r="W80" i="4"/>
  <c r="N80" i="4"/>
  <c r="R80" i="4"/>
  <c r="Z80" i="4"/>
  <c r="Y80" i="4"/>
  <c r="AD80" i="4"/>
  <c r="M80" i="4"/>
  <c r="T80" i="4"/>
  <c r="V80" i="4"/>
  <c r="X80" i="4"/>
  <c r="AB80" i="4"/>
  <c r="J80" i="4"/>
  <c r="Q80" i="4"/>
  <c r="AA80" i="4"/>
  <c r="AG80" i="4" s="1"/>
  <c r="I80" i="4"/>
  <c r="Z175" i="4"/>
  <c r="M175" i="4"/>
  <c r="S175" i="4"/>
  <c r="J175" i="4"/>
  <c r="K175" i="4"/>
  <c r="O175" i="4"/>
  <c r="Q175" i="4"/>
  <c r="R175" i="4"/>
  <c r="T175" i="4"/>
  <c r="U175" i="4"/>
  <c r="V175" i="4"/>
  <c r="W175" i="4"/>
  <c r="X175" i="4"/>
  <c r="Y175" i="4"/>
  <c r="AA175" i="4"/>
  <c r="AB175" i="4"/>
  <c r="AD175" i="4"/>
  <c r="AF175" i="4"/>
  <c r="Q145" i="4"/>
  <c r="V145" i="4"/>
  <c r="W145" i="4"/>
  <c r="T145" i="4"/>
  <c r="U145" i="4"/>
  <c r="K145" i="4"/>
  <c r="M145" i="4"/>
  <c r="Y145" i="4"/>
  <c r="O145" i="4"/>
  <c r="R145" i="4"/>
  <c r="S145" i="4"/>
  <c r="X145" i="4"/>
  <c r="Z145" i="4"/>
  <c r="AA145" i="4"/>
  <c r="AG145" i="4" s="1"/>
  <c r="I145" i="4"/>
  <c r="AD145" i="4"/>
  <c r="J145" i="4"/>
  <c r="AB145" i="4"/>
  <c r="O196" i="4"/>
  <c r="Q196" i="4"/>
  <c r="R196" i="4"/>
  <c r="S196" i="4"/>
  <c r="T196" i="4"/>
  <c r="U196" i="4"/>
  <c r="V196" i="4"/>
  <c r="X196" i="4"/>
  <c r="Y196" i="4"/>
  <c r="J196" i="4"/>
  <c r="K196" i="4"/>
  <c r="AB196" i="4"/>
  <c r="M196" i="4"/>
  <c r="Z196" i="4"/>
  <c r="AH196" i="4" s="1"/>
  <c r="AD196" i="4"/>
  <c r="W196" i="4"/>
  <c r="AA196" i="4"/>
  <c r="AG196" i="4" s="1"/>
  <c r="N69" i="4"/>
  <c r="V69" i="4"/>
  <c r="O69" i="4"/>
  <c r="T69" i="4"/>
  <c r="W69" i="4"/>
  <c r="Z69" i="4"/>
  <c r="AH69" i="4" s="1"/>
  <c r="I69" i="4"/>
  <c r="S69" i="4"/>
  <c r="X69" i="4"/>
  <c r="Y69" i="4"/>
  <c r="AA69" i="4"/>
  <c r="AD69" i="4"/>
  <c r="AB69" i="4"/>
  <c r="J69" i="4"/>
  <c r="Q69" i="4"/>
  <c r="R69" i="4"/>
  <c r="U69" i="4"/>
  <c r="AF69" i="4"/>
  <c r="K69" i="4"/>
  <c r="M69" i="4"/>
  <c r="AH140" i="4"/>
  <c r="S173" i="4"/>
  <c r="U173" i="4"/>
  <c r="AF173" i="4"/>
  <c r="J173" i="4"/>
  <c r="K173" i="4"/>
  <c r="R173" i="4"/>
  <c r="M173" i="4"/>
  <c r="O173" i="4"/>
  <c r="Q173" i="4"/>
  <c r="T173" i="4"/>
  <c r="V173" i="4"/>
  <c r="AA173" i="4"/>
  <c r="Y173" i="4"/>
  <c r="Z173" i="4"/>
  <c r="AB173" i="4"/>
  <c r="W173" i="4"/>
  <c r="X173" i="4"/>
  <c r="Q148" i="4"/>
  <c r="X148" i="4"/>
  <c r="Y148" i="4"/>
  <c r="M148" i="4"/>
  <c r="J148" i="4"/>
  <c r="K148" i="4"/>
  <c r="U148" i="4"/>
  <c r="O148" i="4"/>
  <c r="R148" i="4"/>
  <c r="S148" i="4"/>
  <c r="T148" i="4"/>
  <c r="V148" i="4"/>
  <c r="W148" i="4"/>
  <c r="AD148" i="4"/>
  <c r="AF148" i="4"/>
  <c r="Z148" i="4"/>
  <c r="AA148" i="4"/>
  <c r="AG148" i="4" s="1"/>
  <c r="AB148" i="4"/>
  <c r="W166" i="4"/>
  <c r="J166" i="4"/>
  <c r="AD166" i="4"/>
  <c r="K166" i="4"/>
  <c r="Q166" i="4"/>
  <c r="R166" i="4"/>
  <c r="S166" i="4"/>
  <c r="T166" i="4"/>
  <c r="U166" i="4"/>
  <c r="V166" i="4"/>
  <c r="X166" i="4"/>
  <c r="Y166" i="4"/>
  <c r="Z166" i="4"/>
  <c r="AA166" i="4"/>
  <c r="AG166" i="4" s="1"/>
  <c r="AB166" i="4"/>
  <c r="AF166" i="4"/>
  <c r="M166" i="4"/>
  <c r="AH160" i="4"/>
  <c r="R184" i="4"/>
  <c r="S184" i="4"/>
  <c r="T184" i="4"/>
  <c r="U184" i="4"/>
  <c r="W184" i="4"/>
  <c r="X184" i="4"/>
  <c r="Y184" i="4"/>
  <c r="Z184" i="4"/>
  <c r="AA184" i="4"/>
  <c r="AD184" i="4"/>
  <c r="J184" i="4"/>
  <c r="K184" i="4"/>
  <c r="M184" i="4"/>
  <c r="O184" i="4"/>
  <c r="Q184" i="4"/>
  <c r="AB184" i="4"/>
  <c r="AF184" i="4"/>
  <c r="M186" i="4"/>
  <c r="Q186" i="4"/>
  <c r="R186" i="4"/>
  <c r="S186" i="4"/>
  <c r="T186" i="4"/>
  <c r="V186" i="4"/>
  <c r="W186" i="4"/>
  <c r="X186" i="4"/>
  <c r="Z186" i="4"/>
  <c r="AA186" i="4"/>
  <c r="AG186" i="4" s="1"/>
  <c r="J186" i="4"/>
  <c r="K186" i="4"/>
  <c r="Y186" i="4"/>
  <c r="AB186" i="4"/>
  <c r="O186" i="4"/>
  <c r="AA135" i="4"/>
  <c r="S135" i="4"/>
  <c r="W135" i="4"/>
  <c r="Y135" i="4"/>
  <c r="J135" i="4"/>
  <c r="K135" i="4"/>
  <c r="V135" i="4"/>
  <c r="X135" i="4"/>
  <c r="O135" i="4"/>
  <c r="Q135" i="4"/>
  <c r="AC135" i="4"/>
  <c r="R135" i="4"/>
  <c r="T135" i="4"/>
  <c r="U135" i="4"/>
  <c r="Z135" i="4"/>
  <c r="AB135" i="4"/>
  <c r="AD135" i="4"/>
  <c r="AF135" i="4"/>
  <c r="M135" i="4"/>
  <c r="Q38" i="4"/>
  <c r="R38" i="4"/>
  <c r="Y38" i="4"/>
  <c r="Z38" i="4"/>
  <c r="J38" i="4"/>
  <c r="O38" i="4"/>
  <c r="S38" i="4"/>
  <c r="AB38" i="4"/>
  <c r="AF38" i="4"/>
  <c r="U38" i="4"/>
  <c r="W38" i="4"/>
  <c r="X38" i="4"/>
  <c r="AA38" i="4"/>
  <c r="AG38" i="4" s="1"/>
  <c r="AC38" i="4"/>
  <c r="AD38" i="4"/>
  <c r="V38" i="4"/>
  <c r="K38" i="4"/>
  <c r="M38" i="4"/>
  <c r="T38" i="4"/>
  <c r="U160" i="4"/>
  <c r="AB160" i="4"/>
  <c r="Q160" i="4"/>
  <c r="R160" i="4"/>
  <c r="K160" i="4"/>
  <c r="M160" i="4"/>
  <c r="W160" i="4"/>
  <c r="O160" i="4"/>
  <c r="S160" i="4"/>
  <c r="T160" i="4"/>
  <c r="V160" i="4"/>
  <c r="X160" i="4"/>
  <c r="Y160" i="4"/>
  <c r="T114" i="4"/>
  <c r="M114" i="4"/>
  <c r="AD114" i="4"/>
  <c r="S114" i="4"/>
  <c r="U114" i="4"/>
  <c r="V114" i="4"/>
  <c r="X114" i="4"/>
  <c r="Y114" i="4"/>
  <c r="J114" i="4"/>
  <c r="Q114" i="4"/>
  <c r="R114" i="4"/>
  <c r="W114" i="4"/>
  <c r="Z114" i="4"/>
  <c r="AA114" i="4"/>
  <c r="AG114" i="4" s="1"/>
  <c r="AB114" i="4"/>
  <c r="AC114" i="4"/>
  <c r="AF114" i="4"/>
  <c r="W76" i="4"/>
  <c r="K76" i="4"/>
  <c r="AF76" i="4"/>
  <c r="Q76" i="4"/>
  <c r="V76" i="4"/>
  <c r="Y76" i="4"/>
  <c r="AD76" i="4"/>
  <c r="N76" i="4"/>
  <c r="X76" i="4"/>
  <c r="I76" i="4"/>
  <c r="J76" i="4"/>
  <c r="M76" i="4"/>
  <c r="O76" i="4"/>
  <c r="S76" i="4"/>
  <c r="T76" i="4"/>
  <c r="AA76" i="4"/>
  <c r="AH76" i="4" s="1"/>
  <c r="AB76" i="4"/>
  <c r="AG110" i="4"/>
  <c r="U190" i="4"/>
  <c r="AD190" i="4"/>
  <c r="J190" i="4"/>
  <c r="AF190" i="4"/>
  <c r="K190" i="4"/>
  <c r="M190" i="4"/>
  <c r="O190" i="4"/>
  <c r="R190" i="4"/>
  <c r="S190" i="4"/>
  <c r="AH156" i="4"/>
  <c r="R122" i="4"/>
  <c r="X122" i="4"/>
  <c r="AB122" i="4"/>
  <c r="J122" i="4"/>
  <c r="AF122" i="4"/>
  <c r="M122" i="4"/>
  <c r="U122" i="4"/>
  <c r="V122" i="4"/>
  <c r="Q122" i="4"/>
  <c r="S122" i="4"/>
  <c r="K122" i="4"/>
  <c r="O122" i="4"/>
  <c r="T122" i="4"/>
  <c r="W122" i="4"/>
  <c r="Y122" i="4"/>
  <c r="Z122" i="4"/>
  <c r="AA122" i="4"/>
  <c r="AC122" i="4"/>
  <c r="AD122" i="4"/>
  <c r="AG78" i="4"/>
  <c r="U189" i="4"/>
  <c r="V189" i="4"/>
  <c r="W189" i="4"/>
  <c r="X189" i="4"/>
  <c r="Y189" i="4"/>
  <c r="Z189" i="4"/>
  <c r="AA189" i="4"/>
  <c r="AB189" i="4"/>
  <c r="K189" i="4"/>
  <c r="AF189" i="4"/>
  <c r="K170" i="4"/>
  <c r="AF170" i="4"/>
  <c r="R170" i="4"/>
  <c r="M170" i="4"/>
  <c r="T170" i="4"/>
  <c r="U170" i="4"/>
  <c r="V170" i="4"/>
  <c r="W170" i="4"/>
  <c r="X170" i="4"/>
  <c r="Y170" i="4"/>
  <c r="Z170" i="4"/>
  <c r="AA170" i="4"/>
  <c r="AG170" i="4" s="1"/>
  <c r="AB170" i="4"/>
  <c r="AD170" i="4"/>
  <c r="AD153" i="4"/>
  <c r="AA136" i="4"/>
  <c r="K136" i="4"/>
  <c r="AF136" i="4"/>
  <c r="O136" i="4"/>
  <c r="V136" i="4"/>
  <c r="W136" i="4"/>
  <c r="Q136" i="4"/>
  <c r="I136" i="4"/>
  <c r="J136" i="4"/>
  <c r="M136" i="4"/>
  <c r="R136" i="4"/>
  <c r="S136" i="4"/>
  <c r="U136" i="4"/>
  <c r="T136" i="4"/>
  <c r="X136" i="4"/>
  <c r="Y136" i="4"/>
  <c r="M43" i="4"/>
  <c r="T43" i="4"/>
  <c r="U43" i="4"/>
  <c r="AF43" i="4"/>
  <c r="Q43" i="4"/>
  <c r="R43" i="4"/>
  <c r="V43" i="4"/>
  <c r="W43" i="4"/>
  <c r="X43" i="4"/>
  <c r="K43" i="4"/>
  <c r="O43" i="4"/>
  <c r="S43" i="4"/>
  <c r="Z43" i="4"/>
  <c r="AA43" i="4"/>
  <c r="AG43" i="4" s="1"/>
  <c r="Y43" i="4"/>
  <c r="AB43" i="4"/>
  <c r="AD43" i="4"/>
  <c r="K100" i="4"/>
  <c r="T100" i="4"/>
  <c r="Y100" i="4"/>
  <c r="AA100" i="4"/>
  <c r="AG100" i="4" s="1"/>
  <c r="Z100" i="4"/>
  <c r="AH100" i="4" s="1"/>
  <c r="AD100" i="4"/>
  <c r="O100" i="4"/>
  <c r="S100" i="4"/>
  <c r="W100" i="4"/>
  <c r="J100" i="4"/>
  <c r="M100" i="4"/>
  <c r="Q100" i="4"/>
  <c r="U100" i="4"/>
  <c r="V100" i="4"/>
  <c r="X100" i="4"/>
  <c r="AB100" i="4"/>
  <c r="Y62" i="4"/>
  <c r="Z62" i="4"/>
  <c r="M62" i="4"/>
  <c r="X62" i="4"/>
  <c r="AF62" i="4"/>
  <c r="J62" i="4"/>
  <c r="O62" i="4"/>
  <c r="R62" i="4"/>
  <c r="W62" i="4"/>
  <c r="N62" i="4"/>
  <c r="Q62" i="4"/>
  <c r="S62" i="4"/>
  <c r="T62" i="4"/>
  <c r="U62" i="4"/>
  <c r="V62" i="4"/>
  <c r="AA62" i="4"/>
  <c r="AG62" i="4" s="1"/>
  <c r="I62" i="4"/>
  <c r="K62" i="4"/>
  <c r="AB62" i="4"/>
  <c r="AC62" i="4"/>
  <c r="AD62" i="4"/>
  <c r="O192" i="4"/>
  <c r="Y192" i="4"/>
  <c r="Z192" i="4"/>
  <c r="AA192" i="4"/>
  <c r="AB192" i="4"/>
  <c r="AD192" i="4"/>
  <c r="J192" i="4"/>
  <c r="AF192" i="4"/>
  <c r="K192" i="4"/>
  <c r="N192" i="4"/>
  <c r="AH129" i="4"/>
  <c r="Q202" i="4"/>
  <c r="R202" i="4"/>
  <c r="T202" i="4"/>
  <c r="S202" i="4"/>
  <c r="V202" i="4"/>
  <c r="W202" i="4"/>
  <c r="X202" i="4"/>
  <c r="Z202" i="4"/>
  <c r="AA202" i="4"/>
  <c r="AG202" i="4" s="1"/>
  <c r="O182" i="4"/>
  <c r="V182" i="4"/>
  <c r="W182" i="4"/>
  <c r="S182" i="4"/>
  <c r="T182" i="4"/>
  <c r="X182" i="4"/>
  <c r="Y182" i="4"/>
  <c r="Z182" i="4"/>
  <c r="AA182" i="4"/>
  <c r="AB182" i="4"/>
  <c r="AF182" i="4"/>
  <c r="AB181" i="4"/>
  <c r="O181" i="4"/>
  <c r="AF181" i="4"/>
  <c r="J181" i="4"/>
  <c r="K181" i="4"/>
  <c r="M181" i="4"/>
  <c r="Q181" i="4"/>
  <c r="R181" i="4"/>
  <c r="T181" i="4"/>
  <c r="U181" i="4"/>
  <c r="V200" i="4"/>
  <c r="W200" i="4"/>
  <c r="X200" i="4"/>
  <c r="Y200" i="4"/>
  <c r="Z200" i="4"/>
  <c r="AH200" i="4" s="1"/>
  <c r="AA200" i="4"/>
  <c r="AB200" i="4"/>
  <c r="J200" i="4"/>
  <c r="AD200" i="4"/>
  <c r="M200" i="4"/>
  <c r="AG36" i="4"/>
  <c r="AF202" i="4"/>
  <c r="O199" i="4"/>
  <c r="Q199" i="4"/>
  <c r="R199" i="4"/>
  <c r="S199" i="4"/>
  <c r="T199" i="4"/>
  <c r="U199" i="4"/>
  <c r="W199" i="4"/>
  <c r="Y199" i="4"/>
  <c r="Z199" i="4"/>
  <c r="AB183" i="4"/>
  <c r="Q179" i="4"/>
  <c r="M179" i="4"/>
  <c r="O179" i="4"/>
  <c r="R179" i="4"/>
  <c r="S179" i="4"/>
  <c r="T179" i="4"/>
  <c r="W179" i="4"/>
  <c r="X179" i="4"/>
  <c r="J167" i="4"/>
  <c r="AD167" i="4"/>
  <c r="Q167" i="4"/>
  <c r="Y167" i="4"/>
  <c r="AB167" i="4"/>
  <c r="AF167" i="4"/>
  <c r="O167" i="4"/>
  <c r="K167" i="4"/>
  <c r="M167" i="4"/>
  <c r="R167" i="4"/>
  <c r="AA158" i="4"/>
  <c r="AG158" i="4" s="1"/>
  <c r="O158" i="4"/>
  <c r="T158" i="4"/>
  <c r="K158" i="4"/>
  <c r="M158" i="4"/>
  <c r="Q158" i="4"/>
  <c r="R158" i="4"/>
  <c r="S158" i="4"/>
  <c r="V158" i="4"/>
  <c r="W158" i="4"/>
  <c r="X158" i="4"/>
  <c r="J147" i="4"/>
  <c r="AD147" i="4"/>
  <c r="Q147" i="4"/>
  <c r="R147" i="4"/>
  <c r="Y147" i="4"/>
  <c r="Z147" i="4"/>
  <c r="T147" i="4"/>
  <c r="U147" i="4"/>
  <c r="V147" i="4"/>
  <c r="W147" i="4"/>
  <c r="X147" i="4"/>
  <c r="AA147" i="4"/>
  <c r="AG147" i="4" s="1"/>
  <c r="AB147" i="4"/>
  <c r="AF147" i="4"/>
  <c r="AH49" i="4"/>
  <c r="AD202" i="4"/>
  <c r="X192" i="4"/>
  <c r="AA183" i="4"/>
  <c r="AG183" i="4" s="1"/>
  <c r="AD182" i="4"/>
  <c r="AD181" i="4"/>
  <c r="AA153" i="4"/>
  <c r="AG153" i="4" s="1"/>
  <c r="M150" i="4"/>
  <c r="Q55" i="4"/>
  <c r="X55" i="4"/>
  <c r="Y55" i="4"/>
  <c r="R55" i="4"/>
  <c r="T55" i="4"/>
  <c r="AF55" i="4"/>
  <c r="I55" i="4"/>
  <c r="J55" i="4"/>
  <c r="N55" i="4"/>
  <c r="M55" i="4"/>
  <c r="O55" i="4"/>
  <c r="S55" i="4"/>
  <c r="U55" i="4"/>
  <c r="V55" i="4"/>
  <c r="W55" i="4"/>
  <c r="AB55" i="4"/>
  <c r="AD55" i="4"/>
  <c r="K55" i="4"/>
  <c r="Z55" i="4"/>
  <c r="AA55" i="4"/>
  <c r="AB198" i="4"/>
  <c r="J198" i="4"/>
  <c r="AD198" i="4"/>
  <c r="K198" i="4"/>
  <c r="AF198" i="4"/>
  <c r="M198" i="4"/>
  <c r="O198" i="4"/>
  <c r="R198" i="4"/>
  <c r="S198" i="4"/>
  <c r="W192" i="4"/>
  <c r="AA188" i="4"/>
  <c r="AG188" i="4" s="1"/>
  <c r="M188" i="4"/>
  <c r="O188" i="4"/>
  <c r="Q188" i="4"/>
  <c r="R188" i="4"/>
  <c r="S188" i="4"/>
  <c r="T188" i="4"/>
  <c r="W188" i="4"/>
  <c r="X188" i="4"/>
  <c r="T187" i="4"/>
  <c r="Y187" i="4"/>
  <c r="Z187" i="4"/>
  <c r="AA187" i="4"/>
  <c r="AB187" i="4"/>
  <c r="AD187" i="4"/>
  <c r="J187" i="4"/>
  <c r="AF187" i="4"/>
  <c r="K187" i="4"/>
  <c r="O187" i="4"/>
  <c r="Z183" i="4"/>
  <c r="R171" i="4"/>
  <c r="Y171" i="4"/>
  <c r="W171" i="4"/>
  <c r="AF171" i="4"/>
  <c r="AG171" i="4" s="1"/>
  <c r="J171" i="4"/>
  <c r="K171" i="4"/>
  <c r="Q171" i="4"/>
  <c r="M171" i="4"/>
  <c r="O171" i="4"/>
  <c r="S171" i="4"/>
  <c r="T171" i="4"/>
  <c r="Z153" i="4"/>
  <c r="V120" i="4"/>
  <c r="U120" i="4"/>
  <c r="Y120" i="4"/>
  <c r="AC120" i="4"/>
  <c r="J120" i="4"/>
  <c r="AD120" i="4"/>
  <c r="I120" i="4"/>
  <c r="M120" i="4"/>
  <c r="AB120" i="4"/>
  <c r="AF120" i="4"/>
  <c r="Q120" i="4"/>
  <c r="R120" i="4"/>
  <c r="S120" i="4"/>
  <c r="T120" i="4"/>
  <c r="W120" i="4"/>
  <c r="X120" i="4"/>
  <c r="Z120" i="4"/>
  <c r="AA120" i="4"/>
  <c r="AA115" i="4"/>
  <c r="V115" i="4"/>
  <c r="R115" i="4"/>
  <c r="W115" i="4"/>
  <c r="Z115" i="4"/>
  <c r="AF115" i="4"/>
  <c r="J115" i="4"/>
  <c r="K115" i="4"/>
  <c r="M115" i="4"/>
  <c r="O115" i="4"/>
  <c r="Q115" i="4"/>
  <c r="S115" i="4"/>
  <c r="T115" i="4"/>
  <c r="U115" i="4"/>
  <c r="X115" i="4"/>
  <c r="Y115" i="4"/>
  <c r="AB115" i="4"/>
  <c r="AD115" i="4"/>
  <c r="K112" i="4"/>
  <c r="R81" i="4"/>
  <c r="Z81" i="4"/>
  <c r="Y81" i="4"/>
  <c r="I81" i="4"/>
  <c r="AF81" i="4"/>
  <c r="K81" i="4"/>
  <c r="J81" i="4"/>
  <c r="Q81" i="4"/>
  <c r="V81" i="4"/>
  <c r="AA81" i="4"/>
  <c r="AG81" i="4" s="1"/>
  <c r="M81" i="4"/>
  <c r="S81" i="4"/>
  <c r="T81" i="4"/>
  <c r="W81" i="4"/>
  <c r="X81" i="4"/>
  <c r="AD81" i="4"/>
  <c r="AB202" i="4"/>
  <c r="AF200" i="4"/>
  <c r="U197" i="4"/>
  <c r="V197" i="4"/>
  <c r="W197" i="4"/>
  <c r="X197" i="4"/>
  <c r="Y197" i="4"/>
  <c r="Z197" i="4"/>
  <c r="AA197" i="4"/>
  <c r="AG197" i="4" s="1"/>
  <c r="AB197" i="4"/>
  <c r="K197" i="4"/>
  <c r="AF197" i="4"/>
  <c r="V192" i="4"/>
  <c r="Y183" i="4"/>
  <c r="AA181" i="4"/>
  <c r="AG181" i="4" s="1"/>
  <c r="Q164" i="4"/>
  <c r="O164" i="4"/>
  <c r="R164" i="4"/>
  <c r="S164" i="4"/>
  <c r="T164" i="4"/>
  <c r="U164" i="4"/>
  <c r="V164" i="4"/>
  <c r="W164" i="4"/>
  <c r="X164" i="4"/>
  <c r="Y164" i="4"/>
  <c r="AA164" i="4"/>
  <c r="AB164" i="4"/>
  <c r="Y153" i="4"/>
  <c r="O139" i="4"/>
  <c r="W139" i="4"/>
  <c r="AD139" i="4"/>
  <c r="J139" i="4"/>
  <c r="AF139" i="4"/>
  <c r="K139" i="4"/>
  <c r="M139" i="4"/>
  <c r="Q139" i="4"/>
  <c r="R139" i="4"/>
  <c r="S139" i="4"/>
  <c r="T139" i="4"/>
  <c r="U139" i="4"/>
  <c r="V139" i="4"/>
  <c r="X139" i="4"/>
  <c r="Y139" i="4"/>
  <c r="Q168" i="4"/>
  <c r="X168" i="4"/>
  <c r="M168" i="4"/>
  <c r="R168" i="4"/>
  <c r="S168" i="4"/>
  <c r="T168" i="4"/>
  <c r="U168" i="4"/>
  <c r="V168" i="4"/>
  <c r="W168" i="4"/>
  <c r="Y168" i="4"/>
  <c r="Z168" i="4"/>
  <c r="AA168" i="4"/>
  <c r="AG168" i="4" s="1"/>
  <c r="AB168" i="4"/>
  <c r="AD168" i="4"/>
  <c r="Y202" i="4"/>
  <c r="U192" i="4"/>
  <c r="AB190" i="4"/>
  <c r="X183" i="4"/>
  <c r="R182" i="4"/>
  <c r="Z181" i="4"/>
  <c r="AF179" i="4"/>
  <c r="S174" i="4"/>
  <c r="Z174" i="4"/>
  <c r="AF174" i="4"/>
  <c r="T174" i="4"/>
  <c r="U174" i="4"/>
  <c r="V174" i="4"/>
  <c r="W174" i="4"/>
  <c r="AD174" i="4"/>
  <c r="X174" i="4"/>
  <c r="Y174" i="4"/>
  <c r="AA174" i="4"/>
  <c r="AG174" i="4" s="1"/>
  <c r="AB174" i="4"/>
  <c r="J174" i="4"/>
  <c r="X149" i="4"/>
  <c r="K149" i="4"/>
  <c r="AF149" i="4"/>
  <c r="Y149" i="4"/>
  <c r="Z149" i="4"/>
  <c r="V149" i="4"/>
  <c r="W149" i="4"/>
  <c r="AA149" i="4"/>
  <c r="AG149" i="4" s="1"/>
  <c r="AB149" i="4"/>
  <c r="AD149" i="4"/>
  <c r="J149" i="4"/>
  <c r="M149" i="4"/>
  <c r="Z112" i="4"/>
  <c r="J112" i="4"/>
  <c r="AF112" i="4"/>
  <c r="Q112" i="4"/>
  <c r="O112" i="4"/>
  <c r="R112" i="4"/>
  <c r="T112" i="4"/>
  <c r="U112" i="4"/>
  <c r="S112" i="4"/>
  <c r="AC112" i="4"/>
  <c r="X112" i="4"/>
  <c r="Y112" i="4"/>
  <c r="AA112" i="4"/>
  <c r="AB112" i="4"/>
  <c r="AD112" i="4"/>
  <c r="U200" i="4"/>
  <c r="AF199" i="4"/>
  <c r="T192" i="4"/>
  <c r="AA190" i="4"/>
  <c r="W183" i="4"/>
  <c r="Q182" i="4"/>
  <c r="Y181" i="4"/>
  <c r="AD179" i="4"/>
  <c r="T177" i="4"/>
  <c r="AA177" i="4"/>
  <c r="S177" i="4"/>
  <c r="M177" i="4"/>
  <c r="O177" i="4"/>
  <c r="W177" i="4"/>
  <c r="Q177" i="4"/>
  <c r="R177" i="4"/>
  <c r="U177" i="4"/>
  <c r="V177" i="4"/>
  <c r="X177" i="4"/>
  <c r="Y177" i="4"/>
  <c r="AF160" i="4"/>
  <c r="Y152" i="4"/>
  <c r="M152" i="4"/>
  <c r="Q152" i="4"/>
  <c r="S152" i="4"/>
  <c r="T152" i="4"/>
  <c r="U152" i="4"/>
  <c r="V152" i="4"/>
  <c r="W152" i="4"/>
  <c r="X152" i="4"/>
  <c r="Z152" i="4"/>
  <c r="AA152" i="4"/>
  <c r="AG152" i="4" s="1"/>
  <c r="AB152" i="4"/>
  <c r="AD152" i="4"/>
  <c r="AF152" i="4"/>
  <c r="Q142" i="4"/>
  <c r="O142" i="4"/>
  <c r="AD142" i="4"/>
  <c r="AF142" i="4"/>
  <c r="AG142" i="4" s="1"/>
  <c r="M142" i="4"/>
  <c r="R142" i="4"/>
  <c r="X142" i="4"/>
  <c r="S142" i="4"/>
  <c r="T142" i="4"/>
  <c r="U142" i="4"/>
  <c r="V142" i="4"/>
  <c r="W142" i="4"/>
  <c r="Y142" i="4"/>
  <c r="Z142" i="4"/>
  <c r="AH142" i="4" s="1"/>
  <c r="Q125" i="4"/>
  <c r="W125" i="4"/>
  <c r="AF125" i="4"/>
  <c r="M125" i="4"/>
  <c r="J125" i="4"/>
  <c r="S125" i="4"/>
  <c r="T125" i="4"/>
  <c r="Y125" i="4"/>
  <c r="Z125" i="4"/>
  <c r="AA125" i="4"/>
  <c r="AB125" i="4"/>
  <c r="AD125" i="4"/>
  <c r="K125" i="4"/>
  <c r="W123" i="4"/>
  <c r="Z123" i="4"/>
  <c r="AH123" i="4" s="1"/>
  <c r="K123" i="4"/>
  <c r="O123" i="4"/>
  <c r="R123" i="4"/>
  <c r="M123" i="4"/>
  <c r="J123" i="4"/>
  <c r="Q123" i="4"/>
  <c r="S123" i="4"/>
  <c r="T123" i="4"/>
  <c r="U123" i="4"/>
  <c r="V123" i="4"/>
  <c r="X123" i="4"/>
  <c r="T110" i="4"/>
  <c r="S110" i="4"/>
  <c r="I110" i="4"/>
  <c r="AF110" i="4"/>
  <c r="AH110" i="4" s="1"/>
  <c r="M110" i="4"/>
  <c r="Q110" i="4"/>
  <c r="AD110" i="4"/>
  <c r="O110" i="4"/>
  <c r="J110" i="4"/>
  <c r="K110" i="4"/>
  <c r="R110" i="4"/>
  <c r="U110" i="4"/>
  <c r="V110" i="4"/>
  <c r="V93" i="4"/>
  <c r="J93" i="4"/>
  <c r="AD93" i="4"/>
  <c r="Q93" i="4"/>
  <c r="W93" i="4"/>
  <c r="Y93" i="4"/>
  <c r="U93" i="4"/>
  <c r="AA93" i="4"/>
  <c r="O93" i="4"/>
  <c r="T93" i="4"/>
  <c r="AB93" i="4"/>
  <c r="X93" i="4"/>
  <c r="Z93" i="4"/>
  <c r="R93" i="4"/>
  <c r="AF93" i="4"/>
  <c r="AD160" i="4"/>
  <c r="R100" i="4"/>
  <c r="X99" i="4"/>
  <c r="K99" i="4"/>
  <c r="R99" i="4"/>
  <c r="M99" i="4"/>
  <c r="V99" i="4"/>
  <c r="Z99" i="4"/>
  <c r="AH99" i="4" s="1"/>
  <c r="AD99" i="4"/>
  <c r="J99" i="4"/>
  <c r="O99" i="4"/>
  <c r="Q99" i="4"/>
  <c r="T99" i="4"/>
  <c r="U99" i="4"/>
  <c r="S99" i="4"/>
  <c r="W99" i="4"/>
  <c r="Y99" i="4"/>
  <c r="AA99" i="4"/>
  <c r="AG99" i="4" s="1"/>
  <c r="AB99" i="4"/>
  <c r="X59" i="4"/>
  <c r="Y59" i="4"/>
  <c r="Q59" i="4"/>
  <c r="S59" i="4"/>
  <c r="O59" i="4"/>
  <c r="T59" i="4"/>
  <c r="U59" i="4"/>
  <c r="AA59" i="4"/>
  <c r="AG59" i="4" s="1"/>
  <c r="J59" i="4"/>
  <c r="K59" i="4"/>
  <c r="M59" i="4"/>
  <c r="N59" i="4"/>
  <c r="I59" i="4"/>
  <c r="V59" i="4"/>
  <c r="W59" i="4"/>
  <c r="R59" i="4"/>
  <c r="Z59" i="4"/>
  <c r="AB59" i="4"/>
  <c r="AC59" i="4"/>
  <c r="AD59" i="4"/>
  <c r="AF59" i="4"/>
  <c r="AD199" i="4"/>
  <c r="S192" i="4"/>
  <c r="Z190" i="4"/>
  <c r="X181" i="4"/>
  <c r="K150" i="4"/>
  <c r="AF150" i="4"/>
  <c r="R150" i="4"/>
  <c r="S150" i="4"/>
  <c r="O150" i="4"/>
  <c r="Q150" i="4"/>
  <c r="T150" i="4"/>
  <c r="U150" i="4"/>
  <c r="V150" i="4"/>
  <c r="W150" i="4"/>
  <c r="X150" i="4"/>
  <c r="Y150" i="4"/>
  <c r="Z150" i="4"/>
  <c r="AA150" i="4"/>
  <c r="AB150" i="4"/>
  <c r="O202" i="4"/>
  <c r="S200" i="4"/>
  <c r="AA195" i="4"/>
  <c r="AB195" i="4"/>
  <c r="J195" i="4"/>
  <c r="AD195" i="4"/>
  <c r="AF195" i="4"/>
  <c r="K195" i="4"/>
  <c r="M195" i="4"/>
  <c r="O195" i="4"/>
  <c r="Q195" i="4"/>
  <c r="R195" i="4"/>
  <c r="R192" i="4"/>
  <c r="Y190" i="4"/>
  <c r="W181" i="4"/>
  <c r="AB179" i="4"/>
  <c r="T134" i="4"/>
  <c r="J134" i="4"/>
  <c r="AF134" i="4"/>
  <c r="M134" i="4"/>
  <c r="U134" i="4"/>
  <c r="V134" i="4"/>
  <c r="AD134" i="4"/>
  <c r="R134" i="4"/>
  <c r="S134" i="4"/>
  <c r="W134" i="4"/>
  <c r="X134" i="4"/>
  <c r="Y134" i="4"/>
  <c r="Z134" i="4"/>
  <c r="AH134" i="4" s="1"/>
  <c r="AA134" i="4"/>
  <c r="AB134" i="4"/>
  <c r="V183" i="4"/>
  <c r="J183" i="4"/>
  <c r="AF183" i="4"/>
  <c r="AD183" i="4"/>
  <c r="K183" i="4"/>
  <c r="M183" i="4"/>
  <c r="O183" i="4"/>
  <c r="Q183" i="4"/>
  <c r="S183" i="4"/>
  <c r="T183" i="4"/>
  <c r="T200" i="4"/>
  <c r="R200" i="4"/>
  <c r="AB199" i="4"/>
  <c r="AA198" i="4"/>
  <c r="AG198" i="4" s="1"/>
  <c r="Q192" i="4"/>
  <c r="X190" i="4"/>
  <c r="T189" i="4"/>
  <c r="AF188" i="4"/>
  <c r="M182" i="4"/>
  <c r="V181" i="4"/>
  <c r="AA179" i="4"/>
  <c r="AG179" i="4" s="1"/>
  <c r="AA167" i="4"/>
  <c r="O162" i="4"/>
  <c r="V162" i="4"/>
  <c r="W162" i="4"/>
  <c r="Q162" i="4"/>
  <c r="M162" i="4"/>
  <c r="R162" i="4"/>
  <c r="S162" i="4"/>
  <c r="T162" i="4"/>
  <c r="U162" i="4"/>
  <c r="X162" i="4"/>
  <c r="Y162" i="4"/>
  <c r="Z162" i="4"/>
  <c r="AA162" i="4"/>
  <c r="AG162" i="4" s="1"/>
  <c r="AA160" i="4"/>
  <c r="Z155" i="4"/>
  <c r="M155" i="4"/>
  <c r="AD155" i="4"/>
  <c r="Q155" i="4"/>
  <c r="R155" i="4"/>
  <c r="S155" i="4"/>
  <c r="T155" i="4"/>
  <c r="V155" i="4"/>
  <c r="W155" i="4"/>
  <c r="X155" i="4"/>
  <c r="Y155" i="4"/>
  <c r="AA155" i="4"/>
  <c r="AG155" i="4" s="1"/>
  <c r="AB155" i="4"/>
  <c r="S131" i="4"/>
  <c r="Z131" i="4"/>
  <c r="AD131" i="4"/>
  <c r="V131" i="4"/>
  <c r="AF131" i="4"/>
  <c r="AG131" i="4" s="1"/>
  <c r="AB131" i="4"/>
  <c r="M131" i="4"/>
  <c r="O131" i="4"/>
  <c r="Q131" i="4"/>
  <c r="R131" i="4"/>
  <c r="T131" i="4"/>
  <c r="U131" i="4"/>
  <c r="W131" i="4"/>
  <c r="X131" i="4"/>
  <c r="Y131" i="4"/>
  <c r="X126" i="4"/>
  <c r="J126" i="4"/>
  <c r="S126" i="4"/>
  <c r="W126" i="4"/>
  <c r="AA126" i="4"/>
  <c r="AG126" i="4" s="1"/>
  <c r="Y126" i="4"/>
  <c r="O126" i="4"/>
  <c r="Q126" i="4"/>
  <c r="R126" i="4"/>
  <c r="T126" i="4"/>
  <c r="V126" i="4"/>
  <c r="AB126" i="4"/>
  <c r="AD126" i="4"/>
  <c r="AG108" i="4"/>
  <c r="X75" i="4"/>
  <c r="M75" i="4"/>
  <c r="O75" i="4"/>
  <c r="Q75" i="4"/>
  <c r="T75" i="4"/>
  <c r="Z75" i="4"/>
  <c r="J75" i="4"/>
  <c r="N75" i="4"/>
  <c r="I75" i="4"/>
  <c r="R75" i="4"/>
  <c r="S75" i="4"/>
  <c r="V75" i="4"/>
  <c r="W75" i="4"/>
  <c r="U75" i="4"/>
  <c r="Y75" i="4"/>
  <c r="AB75" i="4"/>
  <c r="AA75" i="4"/>
  <c r="AD75" i="4"/>
  <c r="AF75" i="4"/>
  <c r="AG54" i="4"/>
  <c r="AH54" i="4"/>
  <c r="M202" i="4"/>
  <c r="Q200" i="4"/>
  <c r="AA199" i="4"/>
  <c r="W190" i="4"/>
  <c r="S181" i="4"/>
  <c r="Z179" i="4"/>
  <c r="AH179" i="4" s="1"/>
  <c r="Z167" i="4"/>
  <c r="AH167" i="4" s="1"/>
  <c r="AD158" i="4"/>
  <c r="S153" i="4"/>
  <c r="T153" i="4"/>
  <c r="AB153" i="4"/>
  <c r="J153" i="4"/>
  <c r="K153" i="4"/>
  <c r="M153" i="4"/>
  <c r="U153" i="4"/>
  <c r="O153" i="4"/>
  <c r="Q153" i="4"/>
  <c r="R153" i="4"/>
  <c r="V153" i="4"/>
  <c r="W153" i="4"/>
  <c r="M113" i="4"/>
  <c r="Y113" i="4"/>
  <c r="S113" i="4"/>
  <c r="W113" i="4"/>
  <c r="AA113" i="4"/>
  <c r="Z113" i="4"/>
  <c r="AD113" i="4"/>
  <c r="AF113" i="4"/>
  <c r="I113" i="4"/>
  <c r="J113" i="4"/>
  <c r="R113" i="4"/>
  <c r="T113" i="4"/>
  <c r="U113" i="4"/>
  <c r="V113" i="4"/>
  <c r="X113" i="4"/>
  <c r="AB113" i="4"/>
  <c r="AC113" i="4"/>
  <c r="AH103" i="4"/>
  <c r="AH60" i="4"/>
  <c r="AF172" i="4"/>
  <c r="AD194" i="4"/>
  <c r="J194" i="4"/>
  <c r="Z191" i="4"/>
  <c r="AH191" i="4" s="1"/>
  <c r="J180" i="4"/>
  <c r="J176" i="4"/>
  <c r="Q169" i="4"/>
  <c r="Q156" i="4"/>
  <c r="J144" i="4"/>
  <c r="AD144" i="4"/>
  <c r="Z144" i="4"/>
  <c r="AH144" i="4" s="1"/>
  <c r="M144" i="4"/>
  <c r="I144" i="4"/>
  <c r="O137" i="4"/>
  <c r="S132" i="4"/>
  <c r="O119" i="4"/>
  <c r="M119" i="4"/>
  <c r="T119" i="4"/>
  <c r="W119" i="4"/>
  <c r="S119" i="4"/>
  <c r="X119" i="4"/>
  <c r="Y119" i="4"/>
  <c r="R109" i="4"/>
  <c r="T108" i="4"/>
  <c r="S105" i="4"/>
  <c r="V104" i="4"/>
  <c r="AG22" i="4"/>
  <c r="Y172" i="4"/>
  <c r="K172" i="4"/>
  <c r="J141" i="4"/>
  <c r="AD141" i="4"/>
  <c r="T141" i="4"/>
  <c r="AA141" i="4"/>
  <c r="AB141" i="4"/>
  <c r="Q141" i="4"/>
  <c r="R141" i="4"/>
  <c r="AB138" i="4"/>
  <c r="Z138" i="4"/>
  <c r="M138" i="4"/>
  <c r="T138" i="4"/>
  <c r="V138" i="4"/>
  <c r="W130" i="4"/>
  <c r="T130" i="4"/>
  <c r="K130" i="4"/>
  <c r="R130" i="4"/>
  <c r="S130" i="4"/>
  <c r="M130" i="4"/>
  <c r="V73" i="4"/>
  <c r="J73" i="4"/>
  <c r="AD73" i="4"/>
  <c r="I73" i="4"/>
  <c r="O73" i="4"/>
  <c r="Q73" i="4"/>
  <c r="K73" i="4"/>
  <c r="N73" i="4"/>
  <c r="U73" i="4"/>
  <c r="W73" i="4"/>
  <c r="AA73" i="4"/>
  <c r="AF73" i="4"/>
  <c r="M73" i="4"/>
  <c r="T73" i="4"/>
  <c r="X73" i="4"/>
  <c r="Y73" i="4"/>
  <c r="AB73" i="4"/>
  <c r="S73" i="4"/>
  <c r="AG58" i="4"/>
  <c r="AG46" i="4"/>
  <c r="AB194" i="4"/>
  <c r="X191" i="4"/>
  <c r="AB172" i="4"/>
  <c r="O169" i="4"/>
  <c r="O156" i="4"/>
  <c r="AF138" i="4"/>
  <c r="N109" i="4"/>
  <c r="O108" i="4"/>
  <c r="Q106" i="4"/>
  <c r="O105" i="4"/>
  <c r="AA88" i="4"/>
  <c r="AG88" i="4" s="1"/>
  <c r="O88" i="4"/>
  <c r="K88" i="4"/>
  <c r="Q88" i="4"/>
  <c r="S88" i="4"/>
  <c r="U88" i="4"/>
  <c r="X88" i="4"/>
  <c r="AD88" i="4"/>
  <c r="Z88" i="4"/>
  <c r="AH88" i="4" s="1"/>
  <c r="R88" i="4"/>
  <c r="T88" i="4"/>
  <c r="W88" i="4"/>
  <c r="Y88" i="4"/>
  <c r="X19" i="4"/>
  <c r="Y19" i="4"/>
  <c r="M19" i="4"/>
  <c r="O19" i="4"/>
  <c r="R19" i="4"/>
  <c r="S19" i="4"/>
  <c r="T19" i="4"/>
  <c r="V19" i="4"/>
  <c r="Z19" i="4"/>
  <c r="AC19" i="4"/>
  <c r="AD19" i="4"/>
  <c r="AB19" i="4"/>
  <c r="AA19" i="4"/>
  <c r="AG19" i="4" s="1"/>
  <c r="AF19" i="4"/>
  <c r="W191" i="4"/>
  <c r="AB180" i="4"/>
  <c r="X180" i="4"/>
  <c r="M176" i="4"/>
  <c r="T176" i="4"/>
  <c r="AD176" i="4"/>
  <c r="AA172" i="4"/>
  <c r="K165" i="4"/>
  <c r="M151" i="4"/>
  <c r="K143" i="4"/>
  <c r="AD138" i="4"/>
  <c r="O132" i="4"/>
  <c r="AF130" i="4"/>
  <c r="Y129" i="4"/>
  <c r="O129" i="4"/>
  <c r="AC129" i="4"/>
  <c r="K129" i="4"/>
  <c r="U129" i="4"/>
  <c r="AD129" i="4"/>
  <c r="AF129" i="4"/>
  <c r="S129" i="4"/>
  <c r="T129" i="4"/>
  <c r="M109" i="4"/>
  <c r="Q94" i="4"/>
  <c r="AA94" i="4"/>
  <c r="AG94" i="4" s="1"/>
  <c r="K94" i="4"/>
  <c r="M94" i="4"/>
  <c r="R94" i="4"/>
  <c r="W94" i="4"/>
  <c r="J94" i="4"/>
  <c r="U94" i="4"/>
  <c r="V94" i="4"/>
  <c r="Y94" i="4"/>
  <c r="AB94" i="4"/>
  <c r="Z94" i="4"/>
  <c r="AF94" i="4"/>
  <c r="Q78" i="4"/>
  <c r="Y78" i="4"/>
  <c r="V78" i="4"/>
  <c r="X78" i="4"/>
  <c r="J78" i="4"/>
  <c r="M78" i="4"/>
  <c r="S78" i="4"/>
  <c r="I78" i="4"/>
  <c r="O78" i="4"/>
  <c r="T78" i="4"/>
  <c r="AB78" i="4"/>
  <c r="U78" i="4"/>
  <c r="W78" i="4"/>
  <c r="Z78" i="4"/>
  <c r="AH78" i="4" s="1"/>
  <c r="AD78" i="4"/>
  <c r="X39" i="4"/>
  <c r="Y39" i="4"/>
  <c r="M39" i="4"/>
  <c r="V39" i="4"/>
  <c r="AC39" i="4"/>
  <c r="AF39" i="4"/>
  <c r="S39" i="4"/>
  <c r="T39" i="4"/>
  <c r="W39" i="4"/>
  <c r="Z39" i="4"/>
  <c r="AA39" i="4"/>
  <c r="AG39" i="4" s="1"/>
  <c r="Q39" i="4"/>
  <c r="R39" i="4"/>
  <c r="U39" i="4"/>
  <c r="AB39" i="4"/>
  <c r="AD39" i="4"/>
  <c r="Z194" i="4"/>
  <c r="V191" i="4"/>
  <c r="AA180" i="4"/>
  <c r="AG180" i="4" s="1"/>
  <c r="AB176" i="4"/>
  <c r="AH176" i="4" s="1"/>
  <c r="Z172" i="4"/>
  <c r="M169" i="4"/>
  <c r="J165" i="4"/>
  <c r="U159" i="4"/>
  <c r="V159" i="4"/>
  <c r="AD159" i="4"/>
  <c r="S154" i="4"/>
  <c r="Z154" i="4"/>
  <c r="AA154" i="4"/>
  <c r="Q154" i="4"/>
  <c r="R154" i="4"/>
  <c r="AG144" i="4"/>
  <c r="J143" i="4"/>
  <c r="M133" i="4"/>
  <c r="V133" i="4"/>
  <c r="Z133" i="4"/>
  <c r="W133" i="4"/>
  <c r="AF133" i="4"/>
  <c r="K133" i="4"/>
  <c r="AD130" i="4"/>
  <c r="K128" i="4"/>
  <c r="X95" i="4"/>
  <c r="S95" i="4"/>
  <c r="U95" i="4"/>
  <c r="AA95" i="4"/>
  <c r="AD95" i="4"/>
  <c r="J95" i="4"/>
  <c r="M95" i="4"/>
  <c r="O95" i="4"/>
  <c r="Q95" i="4"/>
  <c r="R95" i="4"/>
  <c r="W95" i="4"/>
  <c r="Y95" i="4"/>
  <c r="M26" i="4"/>
  <c r="U26" i="4"/>
  <c r="V26" i="4"/>
  <c r="J26" i="4"/>
  <c r="O26" i="4"/>
  <c r="R26" i="4"/>
  <c r="S26" i="4"/>
  <c r="X26" i="4"/>
  <c r="Y26" i="4"/>
  <c r="AA26" i="4"/>
  <c r="AB26" i="4"/>
  <c r="AC26" i="4"/>
  <c r="T26" i="4"/>
  <c r="Z26" i="4"/>
  <c r="AH26" i="4" s="1"/>
  <c r="AD26" i="4"/>
  <c r="AF26" i="4"/>
  <c r="K26" i="4"/>
  <c r="Y194" i="4"/>
  <c r="U191" i="4"/>
  <c r="K185" i="4"/>
  <c r="Z180" i="4"/>
  <c r="AH180" i="4" s="1"/>
  <c r="AA178" i="4"/>
  <c r="AG178" i="4" s="1"/>
  <c r="AD178" i="4"/>
  <c r="AA176" i="4"/>
  <c r="AG176" i="4" s="1"/>
  <c r="X172" i="4"/>
  <c r="AB159" i="4"/>
  <c r="K151" i="4"/>
  <c r="Y144" i="4"/>
  <c r="AF141" i="4"/>
  <c r="AA138" i="4"/>
  <c r="AG138" i="4" s="1"/>
  <c r="J128" i="4"/>
  <c r="AH126" i="4"/>
  <c r="J124" i="4"/>
  <c r="AD124" i="4"/>
  <c r="U124" i="4"/>
  <c r="Y124" i="4"/>
  <c r="AB124" i="4"/>
  <c r="S124" i="4"/>
  <c r="AF124" i="4"/>
  <c r="AH124" i="4" s="1"/>
  <c r="AD119" i="4"/>
  <c r="AB118" i="4"/>
  <c r="Y118" i="4"/>
  <c r="Z118" i="4"/>
  <c r="AF118" i="4"/>
  <c r="V118" i="4"/>
  <c r="J118" i="4"/>
  <c r="O118" i="4"/>
  <c r="K109" i="4"/>
  <c r="N89" i="4"/>
  <c r="V89" i="4"/>
  <c r="AA89" i="4"/>
  <c r="AC89" i="4"/>
  <c r="K89" i="4"/>
  <c r="O89" i="4"/>
  <c r="T89" i="4"/>
  <c r="Z89" i="4"/>
  <c r="AF89" i="4"/>
  <c r="J89" i="4"/>
  <c r="Q89" i="4"/>
  <c r="R89" i="4"/>
  <c r="W89" i="4"/>
  <c r="T191" i="4"/>
  <c r="Y180" i="4"/>
  <c r="W172" i="4"/>
  <c r="V163" i="4"/>
  <c r="J163" i="4"/>
  <c r="AD163" i="4"/>
  <c r="AA163" i="4"/>
  <c r="AG163" i="4" s="1"/>
  <c r="AB163" i="4"/>
  <c r="AA159" i="4"/>
  <c r="AF154" i="4"/>
  <c r="X146" i="4"/>
  <c r="V146" i="4"/>
  <c r="I146" i="4"/>
  <c r="AD146" i="4"/>
  <c r="J146" i="4"/>
  <c r="AF146" i="4"/>
  <c r="AG146" i="4" s="1"/>
  <c r="K146" i="4"/>
  <c r="V140" i="4"/>
  <c r="W140" i="4"/>
  <c r="J140" i="4"/>
  <c r="Q140" i="4"/>
  <c r="R140" i="4"/>
  <c r="AA140" i="4"/>
  <c r="AG140" i="4" s="1"/>
  <c r="AB140" i="4"/>
  <c r="Y138" i="4"/>
  <c r="U137" i="4"/>
  <c r="R137" i="4"/>
  <c r="Z137" i="4"/>
  <c r="K137" i="4"/>
  <c r="AF137" i="4"/>
  <c r="AG137" i="4" s="1"/>
  <c r="AD133" i="4"/>
  <c r="AB130" i="4"/>
  <c r="R108" i="4"/>
  <c r="Y108" i="4"/>
  <c r="X108" i="4"/>
  <c r="M108" i="4"/>
  <c r="Q108" i="4"/>
  <c r="U108" i="4"/>
  <c r="AB108" i="4"/>
  <c r="AH108" i="4" s="1"/>
  <c r="AF108" i="4"/>
  <c r="I108" i="4"/>
  <c r="J108" i="4"/>
  <c r="S108" i="4"/>
  <c r="W103" i="4"/>
  <c r="J103" i="4"/>
  <c r="AD103" i="4"/>
  <c r="O103" i="4"/>
  <c r="R103" i="4"/>
  <c r="X103" i="4"/>
  <c r="T103" i="4"/>
  <c r="Y103" i="4"/>
  <c r="K103" i="4"/>
  <c r="Q103" i="4"/>
  <c r="U103" i="4"/>
  <c r="V103" i="4"/>
  <c r="S103" i="4"/>
  <c r="AH98" i="4"/>
  <c r="U90" i="4"/>
  <c r="I90" i="4"/>
  <c r="AC90" i="4"/>
  <c r="J90" i="4"/>
  <c r="O90" i="4"/>
  <c r="Q90" i="4"/>
  <c r="AA90" i="4"/>
  <c r="AF90" i="4"/>
  <c r="M90" i="4"/>
  <c r="S90" i="4"/>
  <c r="W90" i="4"/>
  <c r="K90" i="4"/>
  <c r="N90" i="4"/>
  <c r="R90" i="4"/>
  <c r="T90" i="4"/>
  <c r="Q35" i="4"/>
  <c r="X35" i="4"/>
  <c r="Y35" i="4"/>
  <c r="V35" i="4"/>
  <c r="AF35" i="4"/>
  <c r="K35" i="4"/>
  <c r="O35" i="4"/>
  <c r="S35" i="4"/>
  <c r="U35" i="4"/>
  <c r="W35" i="4"/>
  <c r="Z35" i="4"/>
  <c r="AA35" i="4"/>
  <c r="AB35" i="4"/>
  <c r="R35" i="4"/>
  <c r="AD35" i="4"/>
  <c r="W194" i="4"/>
  <c r="X194" i="4"/>
  <c r="S191" i="4"/>
  <c r="AF185" i="4"/>
  <c r="AG185" i="4" s="1"/>
  <c r="W180" i="4"/>
  <c r="Y176" i="4"/>
  <c r="V172" i="4"/>
  <c r="W165" i="4"/>
  <c r="X165" i="4"/>
  <c r="Y165" i="4"/>
  <c r="W143" i="4"/>
  <c r="Y143" i="4"/>
  <c r="X143" i="4"/>
  <c r="Z143" i="4"/>
  <c r="AH143" i="4" s="1"/>
  <c r="Q143" i="4"/>
  <c r="R143" i="4"/>
  <c r="Z141" i="4"/>
  <c r="X138" i="4"/>
  <c r="AA130" i="4"/>
  <c r="AG130" i="4" s="1"/>
  <c r="R128" i="4"/>
  <c r="AB128" i="4"/>
  <c r="S128" i="4"/>
  <c r="W128" i="4"/>
  <c r="Z128" i="4"/>
  <c r="AH128" i="4" s="1"/>
  <c r="AF128" i="4"/>
  <c r="M128" i="4"/>
  <c r="AA128" i="4"/>
  <c r="AG128" i="4" s="1"/>
  <c r="Y109" i="4"/>
  <c r="W109" i="4"/>
  <c r="AB109" i="4"/>
  <c r="J109" i="4"/>
  <c r="AF109" i="4"/>
  <c r="Q109" i="4"/>
  <c r="T109" i="4"/>
  <c r="U109" i="4"/>
  <c r="V109" i="4"/>
  <c r="Z109" i="4"/>
  <c r="AA109" i="4"/>
  <c r="AG109" i="4" s="1"/>
  <c r="O109" i="4"/>
  <c r="Q105" i="4"/>
  <c r="X105" i="4"/>
  <c r="R105" i="4"/>
  <c r="W105" i="4"/>
  <c r="U105" i="4"/>
  <c r="AA105" i="4"/>
  <c r="AD105" i="4"/>
  <c r="V105" i="4"/>
  <c r="AB105" i="4"/>
  <c r="AH105" i="4" s="1"/>
  <c r="AF105" i="4"/>
  <c r="J105" i="4"/>
  <c r="K105" i="4"/>
  <c r="T105" i="4"/>
  <c r="J104" i="4"/>
  <c r="AD104" i="4"/>
  <c r="Q104" i="4"/>
  <c r="Z104" i="4"/>
  <c r="M104" i="4"/>
  <c r="AF104" i="4"/>
  <c r="K104" i="4"/>
  <c r="O104" i="4"/>
  <c r="R104" i="4"/>
  <c r="S104" i="4"/>
  <c r="AA104" i="4"/>
  <c r="AG104" i="4" s="1"/>
  <c r="I74" i="4"/>
  <c r="Q74" i="4"/>
  <c r="U74" i="4"/>
  <c r="Z74" i="4"/>
  <c r="AB74" i="4"/>
  <c r="AA74" i="4"/>
  <c r="AF74" i="4"/>
  <c r="M74" i="4"/>
  <c r="R74" i="4"/>
  <c r="T74" i="4"/>
  <c r="V74" i="4"/>
  <c r="K74" i="4"/>
  <c r="S74" i="4"/>
  <c r="W74" i="4"/>
  <c r="Y74" i="4"/>
  <c r="J74" i="4"/>
  <c r="N74" i="4"/>
  <c r="X74" i="4"/>
  <c r="V194" i="4"/>
  <c r="R191" i="4"/>
  <c r="V180" i="4"/>
  <c r="Y178" i="4"/>
  <c r="X176" i="4"/>
  <c r="U172" i="4"/>
  <c r="Y159" i="4"/>
  <c r="V144" i="4"/>
  <c r="Y141" i="4"/>
  <c r="W138" i="4"/>
  <c r="AD137" i="4"/>
  <c r="AB133" i="4"/>
  <c r="Z130" i="4"/>
  <c r="AA119" i="4"/>
  <c r="AG119" i="4" s="1"/>
  <c r="AD118" i="4"/>
  <c r="U117" i="4"/>
  <c r="Q117" i="4"/>
  <c r="V117" i="4"/>
  <c r="Y117" i="4"/>
  <c r="K117" i="4"/>
  <c r="O117" i="4"/>
  <c r="S117" i="4"/>
  <c r="T117" i="4"/>
  <c r="Z117" i="4"/>
  <c r="AA117" i="4"/>
  <c r="AG117" i="4" s="1"/>
  <c r="X79" i="4"/>
  <c r="Z79" i="4"/>
  <c r="J79" i="4"/>
  <c r="AF79" i="4"/>
  <c r="V79" i="4"/>
  <c r="AA79" i="4"/>
  <c r="I79" i="4"/>
  <c r="S79" i="4"/>
  <c r="W79" i="4"/>
  <c r="Y79" i="4"/>
  <c r="AB79" i="4"/>
  <c r="AD79" i="4"/>
  <c r="Q79" i="4"/>
  <c r="R79" i="4"/>
  <c r="T79" i="4"/>
  <c r="K40" i="4"/>
  <c r="AF40" i="4"/>
  <c r="S40" i="4"/>
  <c r="T40" i="4"/>
  <c r="U40" i="4"/>
  <c r="W40" i="4"/>
  <c r="J40" i="4"/>
  <c r="O40" i="4"/>
  <c r="Q40" i="4"/>
  <c r="R40" i="4"/>
  <c r="V40" i="4"/>
  <c r="Y40" i="4"/>
  <c r="Z40" i="4"/>
  <c r="AA40" i="4"/>
  <c r="AB40" i="4"/>
  <c r="AD40" i="4"/>
  <c r="M40" i="4"/>
  <c r="X40" i="4"/>
  <c r="O32" i="4"/>
  <c r="W32" i="4"/>
  <c r="X32" i="4"/>
  <c r="K32" i="4"/>
  <c r="Q32" i="4"/>
  <c r="S32" i="4"/>
  <c r="T32" i="4"/>
  <c r="U32" i="4"/>
  <c r="Y32" i="4"/>
  <c r="Z32" i="4"/>
  <c r="AA32" i="4"/>
  <c r="AG32" i="4" s="1"/>
  <c r="R32" i="4"/>
  <c r="AB32" i="4"/>
  <c r="AD32" i="4"/>
  <c r="AF32" i="4"/>
  <c r="V32" i="4"/>
  <c r="M32" i="4"/>
  <c r="U194" i="4"/>
  <c r="Q191" i="4"/>
  <c r="W185" i="4"/>
  <c r="Z185" i="4"/>
  <c r="T172" i="4"/>
  <c r="X169" i="4"/>
  <c r="K169" i="4"/>
  <c r="AF169" i="4"/>
  <c r="AH169" i="4" s="1"/>
  <c r="W169" i="4"/>
  <c r="M156" i="4"/>
  <c r="T156" i="4"/>
  <c r="R156" i="4"/>
  <c r="S156" i="4"/>
  <c r="R151" i="4"/>
  <c r="Y151" i="4"/>
  <c r="Z151" i="4"/>
  <c r="AB151" i="4"/>
  <c r="X141" i="4"/>
  <c r="AG133" i="4"/>
  <c r="Z132" i="4"/>
  <c r="AH132" i="4" s="1"/>
  <c r="M132" i="4"/>
  <c r="Q132" i="4"/>
  <c r="K132" i="4"/>
  <c r="T132" i="4"/>
  <c r="U132" i="4"/>
  <c r="W132" i="4"/>
  <c r="X132" i="4"/>
  <c r="Y130" i="4"/>
  <c r="AG111" i="4"/>
  <c r="X106" i="4"/>
  <c r="K106" i="4"/>
  <c r="AF106" i="4"/>
  <c r="Y106" i="4"/>
  <c r="AB106" i="4"/>
  <c r="J106" i="4"/>
  <c r="O106" i="4"/>
  <c r="R106" i="4"/>
  <c r="T106" i="4"/>
  <c r="V106" i="4"/>
  <c r="Z106" i="4"/>
  <c r="AA106" i="4"/>
  <c r="AB185" i="4"/>
  <c r="T180" i="4"/>
  <c r="W178" i="4"/>
  <c r="V176" i="4"/>
  <c r="S172" i="4"/>
  <c r="AA165" i="4"/>
  <c r="AG165" i="4" s="1"/>
  <c r="Y163" i="4"/>
  <c r="W159" i="4"/>
  <c r="AD156" i="4"/>
  <c r="Y154" i="4"/>
  <c r="AD151" i="4"/>
  <c r="AB146" i="4"/>
  <c r="AH146" i="4" s="1"/>
  <c r="T144" i="4"/>
  <c r="AD143" i="4"/>
  <c r="W141" i="4"/>
  <c r="AD140" i="4"/>
  <c r="S138" i="4"/>
  <c r="AB137" i="4"/>
  <c r="Y133" i="4"/>
  <c r="X130" i="4"/>
  <c r="AA129" i="4"/>
  <c r="AA124" i="4"/>
  <c r="V119" i="4"/>
  <c r="AA118" i="4"/>
  <c r="AG118" i="4" s="1"/>
  <c r="J116" i="4"/>
  <c r="AD116" i="4"/>
  <c r="AB116" i="4"/>
  <c r="O116" i="4"/>
  <c r="U116" i="4"/>
  <c r="X116" i="4"/>
  <c r="Y116" i="4"/>
  <c r="AF116" i="4"/>
  <c r="AA116" i="4"/>
  <c r="AG116" i="4" s="1"/>
  <c r="AH97" i="4"/>
  <c r="R86" i="4"/>
  <c r="T71" i="4"/>
  <c r="U70" i="4"/>
  <c r="I70" i="4"/>
  <c r="Y70" i="4"/>
  <c r="AD70" i="4"/>
  <c r="K70" i="4"/>
  <c r="O70" i="4"/>
  <c r="R70" i="4"/>
  <c r="X70" i="4"/>
  <c r="Q70" i="4"/>
  <c r="T70" i="4"/>
  <c r="V70" i="4"/>
  <c r="Z70" i="4"/>
  <c r="AA70" i="4"/>
  <c r="AF70" i="4"/>
  <c r="Y42" i="4"/>
  <c r="Z42" i="4"/>
  <c r="AH42" i="4" s="1"/>
  <c r="M42" i="4"/>
  <c r="R42" i="4"/>
  <c r="W42" i="4"/>
  <c r="AA42" i="4"/>
  <c r="U42" i="4"/>
  <c r="AB42" i="4"/>
  <c r="AC42" i="4"/>
  <c r="AF42" i="4"/>
  <c r="K42" i="4"/>
  <c r="O42" i="4"/>
  <c r="Q42" i="4"/>
  <c r="J42" i="4"/>
  <c r="S42" i="4"/>
  <c r="T42" i="4"/>
  <c r="U30" i="4"/>
  <c r="V30" i="4"/>
  <c r="AC30" i="4"/>
  <c r="J30" i="4"/>
  <c r="AD30" i="4"/>
  <c r="O30" i="4"/>
  <c r="Q30" i="4"/>
  <c r="K30" i="4"/>
  <c r="M30" i="4"/>
  <c r="AA30" i="4"/>
  <c r="AF30" i="4"/>
  <c r="AH30" i="4" s="1"/>
  <c r="W30" i="4"/>
  <c r="X30" i="4"/>
  <c r="AB30" i="4"/>
  <c r="Y82" i="4"/>
  <c r="M82" i="4"/>
  <c r="N82" i="4"/>
  <c r="S82" i="4"/>
  <c r="U82" i="4"/>
  <c r="X82" i="4"/>
  <c r="AB82" i="4"/>
  <c r="AH82" i="4" s="1"/>
  <c r="J82" i="4"/>
  <c r="T82" i="4"/>
  <c r="I82" i="4"/>
  <c r="O82" i="4"/>
  <c r="Q82" i="4"/>
  <c r="V82" i="4"/>
  <c r="W82" i="4"/>
  <c r="M86" i="4"/>
  <c r="U86" i="4"/>
  <c r="K86" i="4"/>
  <c r="Q86" i="4"/>
  <c r="S86" i="4"/>
  <c r="N86" i="4"/>
  <c r="T86" i="4"/>
  <c r="AB86" i="4"/>
  <c r="AH86" i="4" s="1"/>
  <c r="AF86" i="4"/>
  <c r="AG86" i="4" s="1"/>
  <c r="I86" i="4"/>
  <c r="T83" i="4"/>
  <c r="X83" i="4"/>
  <c r="J83" i="4"/>
  <c r="AF83" i="4"/>
  <c r="AG83" i="4" s="1"/>
  <c r="N83" i="4"/>
  <c r="Q83" i="4"/>
  <c r="W83" i="4"/>
  <c r="I83" i="4"/>
  <c r="M83" i="4"/>
  <c r="K83" i="4"/>
  <c r="O83" i="4"/>
  <c r="R83" i="4"/>
  <c r="S83" i="4"/>
  <c r="AB71" i="4"/>
  <c r="Q71" i="4"/>
  <c r="S71" i="4"/>
  <c r="I71" i="4"/>
  <c r="N71" i="4"/>
  <c r="AF71" i="4"/>
  <c r="K71" i="4"/>
  <c r="M71" i="4"/>
  <c r="O71" i="4"/>
  <c r="V71" i="4"/>
  <c r="W71" i="4"/>
  <c r="Z71" i="4"/>
  <c r="AA71" i="4"/>
  <c r="AG71" i="4" s="1"/>
  <c r="M63" i="4"/>
  <c r="T63" i="4"/>
  <c r="O63" i="4"/>
  <c r="U63" i="4"/>
  <c r="W63" i="4"/>
  <c r="J63" i="4"/>
  <c r="Q63" i="4"/>
  <c r="K63" i="4"/>
  <c r="N63" i="4"/>
  <c r="R63" i="4"/>
  <c r="S63" i="4"/>
  <c r="V63" i="4"/>
  <c r="X63" i="4"/>
  <c r="I63" i="4"/>
  <c r="Z63" i="4"/>
  <c r="AH63" i="4" s="1"/>
  <c r="AA63" i="4"/>
  <c r="AG63" i="4" s="1"/>
  <c r="AG52" i="4"/>
  <c r="AB161" i="4"/>
  <c r="O161" i="4"/>
  <c r="AA161" i="4"/>
  <c r="AG161" i="4" s="1"/>
  <c r="T157" i="4"/>
  <c r="AA157" i="4"/>
  <c r="AG157" i="4" s="1"/>
  <c r="AB157" i="4"/>
  <c r="K127" i="4"/>
  <c r="AF127" i="4"/>
  <c r="S127" i="4"/>
  <c r="O127" i="4"/>
  <c r="X127" i="4"/>
  <c r="Y127" i="4"/>
  <c r="K107" i="4"/>
  <c r="AF107" i="4"/>
  <c r="AG107" i="4" s="1"/>
  <c r="R107" i="4"/>
  <c r="Q107" i="4"/>
  <c r="Y107" i="4"/>
  <c r="I107" i="4"/>
  <c r="M107" i="4"/>
  <c r="O107" i="4"/>
  <c r="S107" i="4"/>
  <c r="T107" i="4"/>
  <c r="Q98" i="4"/>
  <c r="Y98" i="4"/>
  <c r="W98" i="4"/>
  <c r="AF98" i="4"/>
  <c r="V98" i="4"/>
  <c r="AA98" i="4"/>
  <c r="AG98" i="4" s="1"/>
  <c r="K98" i="4"/>
  <c r="T98" i="4"/>
  <c r="AB98" i="4"/>
  <c r="T67" i="4"/>
  <c r="AB67" i="4"/>
  <c r="R67" i="4"/>
  <c r="X67" i="4"/>
  <c r="Z67" i="4"/>
  <c r="AH67" i="4" s="1"/>
  <c r="W67" i="4"/>
  <c r="AC67" i="4"/>
  <c r="I67" i="4"/>
  <c r="N67" i="4"/>
  <c r="Q67" i="4"/>
  <c r="S67" i="4"/>
  <c r="V67" i="4"/>
  <c r="Y67" i="4"/>
  <c r="J67" i="4"/>
  <c r="M67" i="4"/>
  <c r="O67" i="4"/>
  <c r="AA67" i="4"/>
  <c r="AG67" i="4" s="1"/>
  <c r="AD67" i="4"/>
  <c r="S111" i="4"/>
  <c r="AC111" i="4"/>
  <c r="V111" i="4"/>
  <c r="Z111" i="4"/>
  <c r="AH111" i="4" s="1"/>
  <c r="AD111" i="4"/>
  <c r="K77" i="4"/>
  <c r="V66" i="4"/>
  <c r="V65" i="4"/>
  <c r="AB64" i="4"/>
  <c r="R61" i="4"/>
  <c r="S61" i="4"/>
  <c r="Z61" i="4"/>
  <c r="AH61" i="4" s="1"/>
  <c r="M61" i="4"/>
  <c r="T61" i="4"/>
  <c r="V61" i="4"/>
  <c r="Y61" i="4"/>
  <c r="AC61" i="4"/>
  <c r="U61" i="4"/>
  <c r="X61" i="4"/>
  <c r="AA61" i="4"/>
  <c r="AG61" i="4" s="1"/>
  <c r="AB61" i="4"/>
  <c r="AD61" i="4"/>
  <c r="AF61" i="4"/>
  <c r="Z52" i="4"/>
  <c r="AH52" i="4" s="1"/>
  <c r="V33" i="4"/>
  <c r="W33" i="4"/>
  <c r="J33" i="4"/>
  <c r="AD33" i="4"/>
  <c r="K33" i="4"/>
  <c r="AF33" i="4"/>
  <c r="AG33" i="4" s="1"/>
  <c r="Y33" i="4"/>
  <c r="O33" i="4"/>
  <c r="R33" i="4"/>
  <c r="S33" i="4"/>
  <c r="T33" i="4"/>
  <c r="U33" i="4"/>
  <c r="X33" i="4"/>
  <c r="Z33" i="4"/>
  <c r="AF111" i="4"/>
  <c r="T66" i="4"/>
  <c r="U65" i="4"/>
  <c r="Y64" i="4"/>
  <c r="V52" i="4"/>
  <c r="K20" i="4"/>
  <c r="AF20" i="4"/>
  <c r="S20" i="4"/>
  <c r="T20" i="4"/>
  <c r="AC20" i="4"/>
  <c r="J20" i="4"/>
  <c r="N20" i="4"/>
  <c r="R20" i="4"/>
  <c r="W20" i="4"/>
  <c r="X20" i="4"/>
  <c r="Z20" i="4"/>
  <c r="AA20" i="4"/>
  <c r="AG20" i="4" s="1"/>
  <c r="AB20" i="4"/>
  <c r="W96" i="4"/>
  <c r="K96" i="4"/>
  <c r="AF96" i="4"/>
  <c r="X96" i="4"/>
  <c r="S96" i="4"/>
  <c r="Z96" i="4"/>
  <c r="T96" i="4"/>
  <c r="AA96" i="4"/>
  <c r="AG96" i="4" s="1"/>
  <c r="AD96" i="4"/>
  <c r="Z85" i="4"/>
  <c r="N85" i="4"/>
  <c r="W85" i="4"/>
  <c r="I85" i="4"/>
  <c r="AF85" i="4"/>
  <c r="U85" i="4"/>
  <c r="Y85" i="4"/>
  <c r="S85" i="4"/>
  <c r="AA85" i="4"/>
  <c r="AG85" i="4" s="1"/>
  <c r="AD85" i="4"/>
  <c r="J77" i="4"/>
  <c r="AD77" i="4"/>
  <c r="R77" i="4"/>
  <c r="AB77" i="4"/>
  <c r="N77" i="4"/>
  <c r="U77" i="4"/>
  <c r="X77" i="4"/>
  <c r="AF77" i="4"/>
  <c r="AG77" i="4" s="1"/>
  <c r="V77" i="4"/>
  <c r="Z77" i="4"/>
  <c r="AH77" i="4" s="1"/>
  <c r="Q66" i="4"/>
  <c r="Q65" i="4"/>
  <c r="W64" i="4"/>
  <c r="Q58" i="4"/>
  <c r="R58" i="4"/>
  <c r="Y58" i="4"/>
  <c r="Z58" i="4"/>
  <c r="AH58" i="4" s="1"/>
  <c r="W58" i="4"/>
  <c r="AD58" i="4"/>
  <c r="X58" i="4"/>
  <c r="AC58" i="4"/>
  <c r="AF58" i="4"/>
  <c r="I58" i="4"/>
  <c r="K58" i="4"/>
  <c r="M58" i="4"/>
  <c r="N58" i="4"/>
  <c r="O58" i="4"/>
  <c r="S58" i="4"/>
  <c r="T58" i="4"/>
  <c r="M46" i="4"/>
  <c r="U46" i="4"/>
  <c r="V46" i="4"/>
  <c r="Z46" i="4"/>
  <c r="AF46" i="4"/>
  <c r="J46" i="4"/>
  <c r="Q46" i="4"/>
  <c r="T46" i="4"/>
  <c r="W46" i="4"/>
  <c r="Y46" i="4"/>
  <c r="AB46" i="4"/>
  <c r="AC46" i="4"/>
  <c r="V64" i="4"/>
  <c r="T47" i="4"/>
  <c r="U47" i="4"/>
  <c r="AB47" i="4"/>
  <c r="S47" i="4"/>
  <c r="W47" i="4"/>
  <c r="M47" i="4"/>
  <c r="O47" i="4"/>
  <c r="Q47" i="4"/>
  <c r="Y47" i="4"/>
  <c r="AA47" i="4"/>
  <c r="AH47" i="4" s="1"/>
  <c r="AD47" i="4"/>
  <c r="AF47" i="4"/>
  <c r="T27" i="4"/>
  <c r="U27" i="4"/>
  <c r="AB27" i="4"/>
  <c r="AC27" i="4"/>
  <c r="W27" i="4"/>
  <c r="Z27" i="4"/>
  <c r="AH27" i="4" s="1"/>
  <c r="AD27" i="4"/>
  <c r="M27" i="4"/>
  <c r="O27" i="4"/>
  <c r="Q27" i="4"/>
  <c r="R27" i="4"/>
  <c r="V27" i="4"/>
  <c r="X27" i="4"/>
  <c r="Y27" i="4"/>
  <c r="AA27" i="4"/>
  <c r="AF27" i="4"/>
  <c r="O66" i="4"/>
  <c r="O65" i="4"/>
  <c r="T111" i="4"/>
  <c r="AH29" i="4"/>
  <c r="M66" i="4"/>
  <c r="N66" i="4"/>
  <c r="U66" i="4"/>
  <c r="AD66" i="4"/>
  <c r="I66" i="4"/>
  <c r="S66" i="4"/>
  <c r="X66" i="4"/>
  <c r="Z66" i="4"/>
  <c r="AA66" i="4"/>
  <c r="AB66" i="4"/>
  <c r="AF66" i="4"/>
  <c r="Z65" i="4"/>
  <c r="AA65" i="4"/>
  <c r="N65" i="4"/>
  <c r="R65" i="4"/>
  <c r="W65" i="4"/>
  <c r="Y65" i="4"/>
  <c r="T65" i="4"/>
  <c r="AC65" i="4"/>
  <c r="AF65" i="4"/>
  <c r="I65" i="4"/>
  <c r="J65" i="4"/>
  <c r="S64" i="4"/>
  <c r="T64" i="4"/>
  <c r="AA64" i="4"/>
  <c r="AG64" i="4" s="1"/>
  <c r="K64" i="4"/>
  <c r="M64" i="4"/>
  <c r="Z64" i="4"/>
  <c r="AD64" i="4"/>
  <c r="J64" i="4"/>
  <c r="I64" i="4"/>
  <c r="N64" i="4"/>
  <c r="O64" i="4"/>
  <c r="Q64" i="4"/>
  <c r="O52" i="4"/>
  <c r="W52" i="4"/>
  <c r="X52" i="4"/>
  <c r="Y52" i="4"/>
  <c r="AD52" i="4"/>
  <c r="M52" i="4"/>
  <c r="R52" i="4"/>
  <c r="K52" i="4"/>
  <c r="Q52" i="4"/>
  <c r="S52" i="4"/>
  <c r="AB51" i="4"/>
  <c r="Q51" i="4"/>
  <c r="M51" i="4"/>
  <c r="S51" i="4"/>
  <c r="U51" i="4"/>
  <c r="R51" i="4"/>
  <c r="W51" i="4"/>
  <c r="X51" i="4"/>
  <c r="T51" i="4"/>
  <c r="V51" i="4"/>
  <c r="Y51" i="4"/>
  <c r="Z51" i="4"/>
  <c r="AA51" i="4"/>
  <c r="AG51" i="4" s="1"/>
  <c r="Y102" i="4"/>
  <c r="O102" i="4"/>
  <c r="V102" i="4"/>
  <c r="AA102" i="4"/>
  <c r="AG102" i="4" s="1"/>
  <c r="AD102" i="4"/>
  <c r="S84" i="4"/>
  <c r="AA84" i="4"/>
  <c r="AG84" i="4" s="1"/>
  <c r="M84" i="4"/>
  <c r="R84" i="4"/>
  <c r="U84" i="4"/>
  <c r="AF84" i="4"/>
  <c r="I84" i="4"/>
  <c r="O84" i="4"/>
  <c r="O72" i="4"/>
  <c r="W72" i="4"/>
  <c r="U72" i="4"/>
  <c r="AA72" i="4"/>
  <c r="AG72" i="4" s="1"/>
  <c r="S72" i="4"/>
  <c r="X72" i="4"/>
  <c r="AD72" i="4"/>
  <c r="N56" i="4"/>
  <c r="AG50" i="4"/>
  <c r="O49" i="4"/>
  <c r="V49" i="4"/>
  <c r="W49" i="4"/>
  <c r="K49" i="4"/>
  <c r="Q49" i="4"/>
  <c r="S49" i="4"/>
  <c r="M49" i="4"/>
  <c r="T49" i="4"/>
  <c r="R21" i="4"/>
  <c r="S21" i="4"/>
  <c r="Z21" i="4"/>
  <c r="AA21" i="4"/>
  <c r="AG21" i="4" s="1"/>
  <c r="U21" i="4"/>
  <c r="X21" i="4"/>
  <c r="Y21" i="4"/>
  <c r="AB21" i="4"/>
  <c r="AD21" i="4"/>
  <c r="K21" i="4"/>
  <c r="O21" i="4"/>
  <c r="Q21" i="4"/>
  <c r="T21" i="4"/>
  <c r="V21" i="4"/>
  <c r="M56" i="4"/>
  <c r="AH50" i="4"/>
  <c r="O29" i="4"/>
  <c r="V29" i="4"/>
  <c r="W29" i="4"/>
  <c r="T29" i="4"/>
  <c r="Y29" i="4"/>
  <c r="AA29" i="4"/>
  <c r="AG29" i="4" s="1"/>
  <c r="AC29" i="4"/>
  <c r="Q29" i="4"/>
  <c r="S29" i="4"/>
  <c r="U29" i="4"/>
  <c r="X29" i="4"/>
  <c r="Y22" i="4"/>
  <c r="Z22" i="4"/>
  <c r="AH22" i="4" s="1"/>
  <c r="M22" i="4"/>
  <c r="J22" i="4"/>
  <c r="O22" i="4"/>
  <c r="R22" i="4"/>
  <c r="K22" i="4"/>
  <c r="Q22" i="4"/>
  <c r="S22" i="4"/>
  <c r="W56" i="4"/>
  <c r="X56" i="4"/>
  <c r="K56" i="4"/>
  <c r="AF56" i="4"/>
  <c r="Y56" i="4"/>
  <c r="AD56" i="4"/>
  <c r="I56" i="4"/>
  <c r="U56" i="4"/>
  <c r="AA56" i="4"/>
  <c r="AB56" i="4"/>
  <c r="V53" i="4"/>
  <c r="W53" i="4"/>
  <c r="J53" i="4"/>
  <c r="AD53" i="4"/>
  <c r="K53" i="4"/>
  <c r="AF53" i="4"/>
  <c r="AH53" i="4" s="1"/>
  <c r="N53" i="4"/>
  <c r="S53" i="4"/>
  <c r="U53" i="4"/>
  <c r="W102" i="4"/>
  <c r="R101" i="4"/>
  <c r="AB101" i="4"/>
  <c r="AH101" i="4" s="1"/>
  <c r="O101" i="4"/>
  <c r="S101" i="4"/>
  <c r="X101" i="4"/>
  <c r="AB91" i="4"/>
  <c r="S91" i="4"/>
  <c r="X91" i="4"/>
  <c r="Z91" i="4"/>
  <c r="T91" i="4"/>
  <c r="AA91" i="4"/>
  <c r="AG91" i="4" s="1"/>
  <c r="AB84" i="4"/>
  <c r="Z72" i="4"/>
  <c r="AH72" i="4" s="1"/>
  <c r="AG60" i="4"/>
  <c r="AB49" i="4"/>
  <c r="W36" i="4"/>
  <c r="X36" i="4"/>
  <c r="K36" i="4"/>
  <c r="AF36" i="4"/>
  <c r="AH36" i="4" s="1"/>
  <c r="Q36" i="4"/>
  <c r="S36" i="4"/>
  <c r="AB31" i="4"/>
  <c r="AC31" i="4"/>
  <c r="Q31" i="4"/>
  <c r="V31" i="4"/>
  <c r="AA31" i="4"/>
  <c r="AF31" i="4"/>
  <c r="U50" i="4"/>
  <c r="V50" i="4"/>
  <c r="AC50" i="4"/>
  <c r="J50" i="4"/>
  <c r="AD50" i="4"/>
  <c r="X50" i="4"/>
  <c r="AF50" i="4"/>
  <c r="Z45" i="4"/>
  <c r="AA45" i="4"/>
  <c r="O45" i="4"/>
  <c r="M45" i="4"/>
  <c r="S45" i="4"/>
  <c r="U45" i="4"/>
  <c r="M23" i="4"/>
  <c r="T23" i="4"/>
  <c r="U23" i="4"/>
  <c r="X23" i="4"/>
  <c r="AA23" i="4"/>
  <c r="AH23" i="4" s="1"/>
  <c r="AB23" i="4"/>
  <c r="AC23" i="4"/>
  <c r="AF23" i="4"/>
  <c r="Z31" i="4"/>
  <c r="T87" i="4"/>
  <c r="AB87" i="4"/>
  <c r="V87" i="4"/>
  <c r="AA87" i="4"/>
  <c r="AG87" i="4" s="1"/>
  <c r="AD87" i="4"/>
  <c r="AB50" i="4"/>
  <c r="AF45" i="4"/>
  <c r="R41" i="4"/>
  <c r="S41" i="4"/>
  <c r="Z41" i="4"/>
  <c r="AA41" i="4"/>
  <c r="AG41" i="4" s="1"/>
  <c r="AD41" i="4"/>
  <c r="K41" i="4"/>
  <c r="M41" i="4"/>
  <c r="AB36" i="4"/>
  <c r="Y31" i="4"/>
  <c r="J97" i="4"/>
  <c r="AD97" i="4"/>
  <c r="R97" i="4"/>
  <c r="M97" i="4"/>
  <c r="S97" i="4"/>
  <c r="U97" i="4"/>
  <c r="O92" i="4"/>
  <c r="W92" i="4"/>
  <c r="AC92" i="4"/>
  <c r="N92" i="4"/>
  <c r="Z87" i="4"/>
  <c r="AH87" i="4" s="1"/>
  <c r="Y50" i="4"/>
  <c r="AB45" i="4"/>
  <c r="Y36" i="4"/>
  <c r="U31" i="4"/>
  <c r="Y23" i="4"/>
  <c r="S44" i="4"/>
  <c r="T44" i="4"/>
  <c r="AA44" i="4"/>
  <c r="AB44" i="4"/>
  <c r="K60" i="4"/>
  <c r="AF60" i="4"/>
  <c r="S60" i="4"/>
  <c r="AD44" i="4"/>
  <c r="W16" i="4"/>
  <c r="X16" i="4"/>
  <c r="Z16" i="4"/>
  <c r="K16" i="4"/>
  <c r="AF16" i="4"/>
  <c r="Q18" i="4"/>
  <c r="R18" i="4"/>
  <c r="Y18" i="4"/>
  <c r="Z18" i="4"/>
  <c r="X60" i="4"/>
  <c r="W44" i="4"/>
  <c r="AA18" i="4"/>
  <c r="AG18" i="4" s="1"/>
  <c r="AA16" i="4"/>
  <c r="AG16" i="4" s="1"/>
  <c r="T24" i="4"/>
  <c r="AU11" i="5"/>
  <c r="AT11" i="5"/>
  <c r="AR11" i="5"/>
  <c r="AQ11" i="5"/>
  <c r="AO11" i="5"/>
  <c r="AN11" i="5"/>
  <c r="AL11" i="5"/>
  <c r="AK11" i="5"/>
  <c r="AI11" i="5"/>
  <c r="AH11" i="5"/>
  <c r="AF11" i="5"/>
  <c r="AE11" i="5"/>
  <c r="AC11" i="5"/>
  <c r="AB11" i="5"/>
  <c r="Z11" i="5"/>
  <c r="Y11" i="5"/>
  <c r="W11" i="5"/>
  <c r="V11" i="5"/>
  <c r="T11" i="5"/>
  <c r="S11" i="5"/>
  <c r="Q11" i="5"/>
  <c r="P11" i="5"/>
  <c r="N11" i="5"/>
  <c r="M11" i="5"/>
  <c r="K11" i="5"/>
  <c r="J11" i="5"/>
  <c r="H11" i="5"/>
  <c r="G11" i="5"/>
  <c r="E11" i="5"/>
  <c r="D11" i="5"/>
  <c r="AG70" i="4" l="1"/>
  <c r="AH74" i="4"/>
  <c r="AH39" i="4"/>
  <c r="AG139" i="4"/>
  <c r="AH139" i="4"/>
  <c r="AH183" i="4"/>
  <c r="AG182" i="4"/>
  <c r="AH171" i="4"/>
  <c r="AG189" i="4"/>
  <c r="AG175" i="4"/>
  <c r="AH193" i="4"/>
  <c r="AH18" i="4"/>
  <c r="AH70" i="4"/>
  <c r="AH89" i="4"/>
  <c r="AG154" i="4"/>
  <c r="AH113" i="4"/>
  <c r="AH190" i="4"/>
  <c r="AH182" i="4"/>
  <c r="AH136" i="4"/>
  <c r="AG136" i="4"/>
  <c r="AH189" i="4"/>
  <c r="AH117" i="4"/>
  <c r="AG105" i="4"/>
  <c r="AH154" i="4"/>
  <c r="AG113" i="4"/>
  <c r="AG169" i="4"/>
  <c r="AG195" i="4"/>
  <c r="AH112" i="4"/>
  <c r="AG200" i="4"/>
  <c r="AH168" i="4"/>
  <c r="AH38" i="4"/>
  <c r="AH75" i="4"/>
  <c r="AH185" i="4"/>
  <c r="AH137" i="4"/>
  <c r="AH94" i="4"/>
  <c r="AH19" i="4"/>
  <c r="AG199" i="4"/>
  <c r="AH150" i="4"/>
  <c r="AH164" i="4"/>
  <c r="AG164" i="4"/>
  <c r="AG27" i="4"/>
  <c r="AG124" i="4"/>
  <c r="AG73" i="4"/>
  <c r="AH73" i="4"/>
  <c r="AH138" i="4"/>
  <c r="AH59" i="4"/>
  <c r="AH153" i="4"/>
  <c r="AH187" i="4"/>
  <c r="AH192" i="4"/>
  <c r="AH119" i="4"/>
  <c r="AH157" i="4"/>
  <c r="AH148" i="4"/>
  <c r="AH186" i="4"/>
  <c r="AG45" i="4"/>
  <c r="AH114" i="4"/>
  <c r="AH197" i="4"/>
  <c r="AG26" i="4"/>
  <c r="AH83" i="4"/>
  <c r="AH81" i="4"/>
  <c r="AG187" i="4"/>
  <c r="AH173" i="4"/>
  <c r="AH80" i="4"/>
  <c r="AG129" i="4"/>
  <c r="AH172" i="4"/>
  <c r="AH165" i="4"/>
  <c r="AG125" i="4"/>
  <c r="AH181" i="4"/>
  <c r="AG115" i="4"/>
  <c r="AH102" i="4"/>
  <c r="AH195" i="4"/>
  <c r="AG135" i="4"/>
  <c r="AG173" i="4"/>
  <c r="AH32" i="4"/>
  <c r="AH71" i="4"/>
  <c r="AH51" i="4"/>
  <c r="AG150" i="4"/>
  <c r="AG192" i="4"/>
  <c r="AG65" i="4"/>
  <c r="AH31" i="4"/>
  <c r="AH91" i="4"/>
  <c r="AG56" i="4"/>
  <c r="AH56" i="4"/>
  <c r="AH65" i="4"/>
  <c r="AH96" i="4"/>
  <c r="AG106" i="4"/>
  <c r="AH109" i="4"/>
  <c r="AH141" i="4"/>
  <c r="AG167" i="4"/>
  <c r="AH125" i="4"/>
  <c r="AG112" i="4"/>
  <c r="AH149" i="4"/>
  <c r="AG120" i="4"/>
  <c r="AG53" i="4"/>
  <c r="AH147" i="4"/>
  <c r="AH202" i="4"/>
  <c r="AH62" i="4"/>
  <c r="AH121" i="4"/>
  <c r="AH16" i="4"/>
  <c r="AH106" i="4"/>
  <c r="AH104" i="4"/>
  <c r="AG35" i="4"/>
  <c r="AG93" i="4"/>
  <c r="AH120" i="4"/>
  <c r="AG55" i="4"/>
  <c r="AH84" i="4"/>
  <c r="AH161" i="4"/>
  <c r="AG69" i="4"/>
  <c r="AG47" i="4"/>
  <c r="AH55" i="4"/>
  <c r="AH162" i="4"/>
  <c r="AH152" i="4"/>
  <c r="AH116" i="4"/>
  <c r="AH45" i="4"/>
  <c r="AH46" i="4"/>
  <c r="AG190" i="4"/>
  <c r="AH145" i="4"/>
  <c r="AH85" i="4"/>
  <c r="AH35" i="4"/>
  <c r="AG66" i="4"/>
  <c r="AG127" i="4"/>
  <c r="AH127" i="4"/>
  <c r="AG30" i="4"/>
  <c r="AG42" i="4"/>
  <c r="AH40" i="4"/>
  <c r="AH130" i="4"/>
  <c r="AH194" i="4"/>
  <c r="AG141" i="4"/>
  <c r="AH107" i="4"/>
  <c r="AH43" i="4"/>
  <c r="AG122" i="4"/>
  <c r="AH166" i="4"/>
  <c r="AH188" i="4"/>
  <c r="AH201" i="4"/>
  <c r="AH20" i="4"/>
  <c r="AG177" i="4"/>
  <c r="AH177" i="4"/>
  <c r="AH79" i="4"/>
  <c r="AH131" i="4"/>
  <c r="AG193" i="4"/>
  <c r="AH41" i="4"/>
  <c r="AG95" i="4"/>
  <c r="AH95" i="4"/>
  <c r="AH115" i="4"/>
  <c r="AG89" i="4"/>
  <c r="AH170" i="4"/>
  <c r="AG40" i="4"/>
  <c r="AG31" i="4"/>
  <c r="AH66" i="4"/>
  <c r="AH33" i="4"/>
  <c r="AH118" i="4"/>
  <c r="AH133" i="4"/>
  <c r="AH155" i="4"/>
  <c r="AH122" i="4"/>
  <c r="AG184" i="4"/>
  <c r="AH175" i="4"/>
  <c r="AH158" i="4"/>
  <c r="AG74" i="4"/>
  <c r="AG76" i="4"/>
  <c r="AG159" i="4"/>
  <c r="AH159" i="4"/>
  <c r="AH198" i="4"/>
  <c r="AH93" i="4"/>
  <c r="AH174" i="4"/>
  <c r="AH199" i="4"/>
  <c r="AG90" i="4"/>
  <c r="AH90" i="4"/>
  <c r="AH21" i="4"/>
  <c r="AG23" i="4"/>
  <c r="AH64" i="4"/>
  <c r="AG44" i="4"/>
  <c r="AH44" i="4"/>
  <c r="AH151" i="4"/>
  <c r="AG79" i="4"/>
  <c r="AG172" i="4"/>
  <c r="AG75" i="4"/>
  <c r="AG160" i="4"/>
  <c r="AG134" i="4"/>
  <c r="AH135" i="4"/>
  <c r="AH184" i="4"/>
  <c r="AH163" i="4"/>
  <c r="F15" i="4"/>
  <c r="G15" i="4" l="1"/>
  <c r="AF15" i="4" l="1"/>
  <c r="O15" i="4"/>
  <c r="N15" i="4"/>
  <c r="AD15" i="4"/>
  <c r="AC15" i="4"/>
  <c r="M15" i="4"/>
  <c r="J15" i="4"/>
  <c r="AB15" i="4"/>
  <c r="L15" i="4"/>
  <c r="K15" i="4"/>
  <c r="I15" i="4"/>
  <c r="AA15" i="4"/>
  <c r="Z15" i="4"/>
  <c r="Y15" i="4"/>
  <c r="X15" i="4"/>
  <c r="W15" i="4"/>
  <c r="V15" i="4"/>
  <c r="U15" i="4"/>
  <c r="S15" i="4"/>
  <c r="T15" i="4"/>
  <c r="R15" i="4"/>
  <c r="Q15" i="4"/>
  <c r="P15" i="4"/>
  <c r="C8" i="4"/>
  <c r="B11" i="5"/>
  <c r="A15" i="4"/>
  <c r="B15" i="4"/>
  <c r="C15" i="4"/>
  <c r="E15" i="4"/>
  <c r="AH15" i="4" l="1"/>
  <c r="AG1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Pinckney</author>
  </authors>
  <commentList>
    <comment ref="D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 Pinckney:</t>
        </r>
        <r>
          <rPr>
            <sz val="9"/>
            <color indexed="81"/>
            <rFont val="Tahoma"/>
            <family val="2"/>
          </rPr>
          <t xml:space="preserve">
Volume of 90% acetone used for the extraction…amount added to the tube and filter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6" authorId="0" shapeId="0" xr:uid="{00000000-0006-0000-0200-000001000000}">
      <text>
        <r>
          <rPr>
            <sz val="10"/>
            <rFont val="Arial"/>
            <family val="2"/>
          </rPr>
          <t>The total volume of water filtered through the filter(s) in the microfuge tube</t>
        </r>
      </text>
    </comment>
    <comment ref="H6" authorId="0" shapeId="0" xr:uid="{00000000-0006-0000-0200-000002000000}">
      <text>
        <r>
          <rPr>
            <sz val="10"/>
            <rFont val="Arial"/>
            <family val="2"/>
          </rPr>
          <t>Volume of acetone added to the microfuge tube for extraction + volume of carotenal added</t>
        </r>
      </text>
    </comment>
    <comment ref="I6" authorId="0" shapeId="0" xr:uid="{00000000-0006-0000-0200-000003000000}">
      <text>
        <r>
          <rPr>
            <sz val="10"/>
            <rFont val="Arial"/>
            <family val="2"/>
          </rPr>
          <t>Volume of extract placed in the HPLC sample vial</t>
        </r>
      </text>
    </comment>
    <comment ref="J9" authorId="0" shapeId="0" xr:uid="{00000000-0006-0000-0200-000004000000}">
      <text>
        <r>
          <rPr>
            <sz val="10"/>
            <rFont val="Arial"/>
            <family val="2"/>
          </rPr>
          <t>Acetone + AmAc (ml) / Acetone (ml)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Jay Pinckney</author>
  </authors>
  <commentList>
    <comment ref="L9" authorId="0" shapeId="0" xr:uid="{00000000-0006-0000-0300-000001000000}">
      <text>
        <r>
          <rPr>
            <sz val="10"/>
            <rFont val="Arial"/>
            <family val="2"/>
          </rPr>
          <t>(peak area * coeff / inject volume) * (extract volume/ sample volume) = ug/liter</t>
        </r>
      </text>
    </comment>
    <comment ref="H13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Jay Pinckney:</t>
        </r>
        <r>
          <rPr>
            <sz val="9"/>
            <color indexed="81"/>
            <rFont val="Tahoma"/>
            <family val="2"/>
          </rPr>
          <t xml:space="preserve">
&gt;1 = Dilution (higher acetone volume added or lower volume of carotenal added)
&lt;1 = Evaporation (lower acetone volume added or higher volume of carotenal added)</t>
        </r>
      </text>
    </comment>
    <comment ref="I13" authorId="0" shapeId="0" xr:uid="{00000000-0006-0000-0300-000003000000}">
      <text>
        <r>
          <rPr>
            <sz val="10"/>
            <rFont val="Arial"/>
            <family val="2"/>
          </rPr>
          <t>Chlorophyll c3</t>
        </r>
      </text>
    </comment>
    <comment ref="J13" authorId="0" shapeId="0" xr:uid="{00000000-0006-0000-0300-000004000000}">
      <text>
        <r>
          <rPr>
            <sz val="10"/>
            <rFont val="Arial"/>
            <family val="2"/>
          </rPr>
          <t>Chlorophyll c1c2</t>
        </r>
      </text>
    </comment>
    <comment ref="K13" authorId="0" shapeId="0" xr:uid="{00000000-0006-0000-0300-000005000000}">
      <text>
        <r>
          <rPr>
            <sz val="10"/>
            <rFont val="Arial"/>
            <family val="2"/>
          </rPr>
          <t>Peridinin</t>
        </r>
      </text>
    </comment>
    <comment ref="L13" authorId="0" shapeId="0" xr:uid="{00000000-0006-0000-0300-000006000000}">
      <text>
        <r>
          <rPr>
            <sz val="10"/>
            <rFont val="Arial"/>
            <family val="2"/>
          </rPr>
          <t>19' Butanoyloxyfucoxanthin</t>
        </r>
      </text>
    </comment>
    <comment ref="M13" authorId="0" shapeId="0" xr:uid="{00000000-0006-0000-0300-000007000000}">
      <text>
        <r>
          <rPr>
            <sz val="10"/>
            <rFont val="Arial"/>
            <family val="2"/>
          </rPr>
          <t>Fucoxanthin</t>
        </r>
      </text>
    </comment>
    <comment ref="N13" authorId="0" shapeId="0" xr:uid="{00000000-0006-0000-0300-000008000000}">
      <text>
        <r>
          <rPr>
            <sz val="10"/>
            <rFont val="Arial"/>
            <family val="2"/>
          </rPr>
          <t>19' Hexanoyloxyfucoxanthin</t>
        </r>
      </text>
    </comment>
    <comment ref="O13" authorId="0" shapeId="0" xr:uid="{00000000-0006-0000-0300-000009000000}">
      <text>
        <r>
          <rPr>
            <sz val="10"/>
            <rFont val="Arial"/>
            <family val="2"/>
          </rPr>
          <t>9' cis-Neoxanthin</t>
        </r>
      </text>
    </comment>
    <comment ref="P13" authorId="0" shapeId="0" xr:uid="{00000000-0006-0000-0300-00000A000000}">
      <text>
        <r>
          <rPr>
            <sz val="10"/>
            <rFont val="Arial"/>
            <family val="2"/>
          </rPr>
          <t>Prasinoxanthin</t>
        </r>
      </text>
    </comment>
    <comment ref="Q13" authorId="0" shapeId="0" xr:uid="{00000000-0006-0000-0300-00000B000000}">
      <text>
        <r>
          <rPr>
            <sz val="10"/>
            <rFont val="Arial"/>
            <family val="2"/>
          </rPr>
          <t>Violaxanthin</t>
        </r>
      </text>
    </comment>
    <comment ref="R13" authorId="0" shapeId="0" xr:uid="{00000000-0006-0000-0300-00000C000000}">
      <text>
        <r>
          <rPr>
            <sz val="10"/>
            <rFont val="Arial"/>
            <family val="2"/>
          </rPr>
          <t>Diadinoxanthin</t>
        </r>
      </text>
    </comment>
    <comment ref="S13" authorId="0" shapeId="0" xr:uid="{00000000-0006-0000-0300-00000D000000}">
      <text>
        <r>
          <rPr>
            <sz val="10"/>
            <rFont val="Arial"/>
            <family val="2"/>
          </rPr>
          <t>Antheraxanthin</t>
        </r>
      </text>
    </comment>
    <comment ref="T13" authorId="0" shapeId="0" xr:uid="{00000000-0006-0000-0300-00000E000000}">
      <text>
        <r>
          <rPr>
            <sz val="10"/>
            <rFont val="Arial"/>
            <family val="2"/>
          </rPr>
          <t>Alloxanthin</t>
        </r>
      </text>
    </comment>
    <comment ref="U13" authorId="0" shapeId="0" xr:uid="{00000000-0006-0000-0300-00000F000000}">
      <text>
        <r>
          <rPr>
            <sz val="10"/>
            <rFont val="Arial"/>
            <family val="2"/>
          </rPr>
          <t>Diatoxanthin</t>
        </r>
      </text>
    </comment>
    <comment ref="W13" authorId="0" shapeId="0" xr:uid="{00000000-0006-0000-0300-000010000000}">
      <text>
        <r>
          <rPr>
            <sz val="10"/>
            <rFont val="Arial"/>
            <family val="2"/>
          </rPr>
          <t>Zeaxanthin</t>
        </r>
      </text>
    </comment>
    <comment ref="X13" authorId="0" shapeId="0" xr:uid="{00000000-0006-0000-0300-000011000000}">
      <text>
        <r>
          <rPr>
            <sz val="10"/>
            <rFont val="Arial"/>
            <family val="2"/>
          </rPr>
          <t>Gyroxanthin-diester</t>
        </r>
      </text>
    </comment>
    <comment ref="Y13" authorId="0" shapeId="0" xr:uid="{00000000-0006-0000-0300-000012000000}">
      <text>
        <r>
          <rPr>
            <sz val="10"/>
            <rFont val="Arial"/>
            <family val="2"/>
          </rPr>
          <t>Chlorophyll b</t>
        </r>
      </text>
    </comment>
    <comment ref="Z13" authorId="0" shapeId="0" xr:uid="{00000000-0006-0000-0300-000013000000}">
      <text>
        <r>
          <rPr>
            <sz val="10"/>
            <rFont val="Arial"/>
            <family val="2"/>
          </rPr>
          <t>Chlorophyll a Allomer</t>
        </r>
      </text>
    </comment>
    <comment ref="AA13" authorId="0" shapeId="0" xr:uid="{00000000-0006-0000-0300-000014000000}">
      <text>
        <r>
          <rPr>
            <sz val="10"/>
            <rFont val="Arial"/>
            <family val="2"/>
          </rPr>
          <t>Chlorophyll a + Divinyl Chl a</t>
        </r>
      </text>
    </comment>
    <comment ref="AB13" authorId="0" shapeId="0" xr:uid="{00000000-0006-0000-0300-000015000000}">
      <text>
        <r>
          <rPr>
            <sz val="10"/>
            <rFont val="Arial"/>
            <family val="2"/>
          </rPr>
          <t>Chlorophyll a'</t>
        </r>
      </text>
    </comment>
    <comment ref="AF13" authorId="0" shapeId="0" xr:uid="{00000000-0006-0000-0300-000016000000}">
      <text>
        <r>
          <rPr>
            <sz val="10"/>
            <rFont val="Arial"/>
            <family val="2"/>
          </rPr>
          <t>Chlorophyllide a</t>
        </r>
      </text>
    </comment>
    <comment ref="AG13" authorId="0" shapeId="0" xr:uid="{00000000-0006-0000-0300-000017000000}">
      <text>
        <r>
          <rPr>
            <sz val="10"/>
            <rFont val="Arial"/>
            <family val="2"/>
          </rPr>
          <t>Chl a + Divinyl Chl a + Chlide a</t>
        </r>
      </text>
    </comment>
    <comment ref="AH13" authorId="0" shapeId="0" xr:uid="{00000000-0006-0000-0300-000018000000}">
      <text>
        <r>
          <rPr>
            <sz val="10"/>
            <rFont val="Arial"/>
            <family val="2"/>
          </rPr>
          <t>Total Chl a + Chl a isomers</t>
        </r>
      </text>
    </comment>
  </commentList>
</comments>
</file>

<file path=xl/sharedStrings.xml><?xml version="1.0" encoding="utf-8"?>
<sst xmlns="http://schemas.openxmlformats.org/spreadsheetml/2006/main" count="495" uniqueCount="224">
  <si>
    <t>(µL)</t>
  </si>
  <si>
    <t>(Liters)</t>
  </si>
  <si>
    <t>(ml)</t>
  </si>
  <si>
    <t>[pigment] (mg/L) = abs/(E1% * 0.0001)</t>
  </si>
  <si>
    <t>19' but-Fuco</t>
  </si>
  <si>
    <t>19' hex-Fuco</t>
  </si>
  <si>
    <t>19'ButFuc</t>
  </si>
  <si>
    <t>19'HexFuc</t>
  </si>
  <si>
    <t>90%acetone</t>
  </si>
  <si>
    <t>Acetate</t>
  </si>
  <si>
    <t>acetone</t>
  </si>
  <si>
    <t>Acetone</t>
  </si>
  <si>
    <t>acetone/methanol</t>
  </si>
  <si>
    <t>Added</t>
  </si>
  <si>
    <t>ALL Chl a</t>
  </si>
  <si>
    <t>Allox</t>
  </si>
  <si>
    <t>Alloxanthin</t>
  </si>
  <si>
    <t>Ammonium</t>
  </si>
  <si>
    <t>and Jeffrey et al. 1997</t>
  </si>
  <si>
    <t>Anther</t>
  </si>
  <si>
    <t>Antheraxanthin</t>
  </si>
  <si>
    <t>Assume equal to Chla</t>
  </si>
  <si>
    <t>Assume equal to Chlb</t>
  </si>
  <si>
    <t>Astaxanthin</t>
  </si>
  <si>
    <t>Bacteriochlorophyll a</t>
  </si>
  <si>
    <t>Blank Line</t>
  </si>
  <si>
    <t xml:space="preserve">Calibration Date =  </t>
  </si>
  <si>
    <t>Canthaxanthin</t>
  </si>
  <si>
    <t>Chl a</t>
  </si>
  <si>
    <t>Chl b</t>
  </si>
  <si>
    <t>Chl c1c2</t>
  </si>
  <si>
    <t>Chl c3</t>
  </si>
  <si>
    <t>Chla Allomer</t>
  </si>
  <si>
    <t>Chla prime</t>
  </si>
  <si>
    <t>Chl-ide a</t>
  </si>
  <si>
    <t>Chlorophyll a</t>
  </si>
  <si>
    <t>Chlorophyll b</t>
  </si>
  <si>
    <t>Chlorophyll c1c2</t>
  </si>
  <si>
    <t>Chlorophyll c3</t>
  </si>
  <si>
    <t>Chlorophyllide a</t>
  </si>
  <si>
    <t>Chlorophyllide b</t>
  </si>
  <si>
    <t>Coefficient</t>
  </si>
  <si>
    <t>COEFFICIENT TABLE</t>
  </si>
  <si>
    <t>Constant</t>
  </si>
  <si>
    <t>Constants</t>
  </si>
  <si>
    <t>Crocoxanthin</t>
  </si>
  <si>
    <t>Date</t>
  </si>
  <si>
    <t>Detection (ng)</t>
  </si>
  <si>
    <t>DHI Standards</t>
  </si>
  <si>
    <t>Diad</t>
  </si>
  <si>
    <t>Diadinochrome</t>
  </si>
  <si>
    <t>Diadinoxanthin</t>
  </si>
  <si>
    <t>Diat</t>
  </si>
  <si>
    <t>Diatoxanthin</t>
  </si>
  <si>
    <t>diethyl ether</t>
  </si>
  <si>
    <t>Dinoxanthin</t>
  </si>
  <si>
    <t>Divinyl Chlorophyll a</t>
  </si>
  <si>
    <t>Divinyl Chlorophyll b</t>
  </si>
  <si>
    <t>E 1%</t>
  </si>
  <si>
    <t>E1% (1cm) = the extinction coefficient of a 1% solution in a 1 cm cuvette</t>
  </si>
  <si>
    <t>E1% values obtained from Mantoura &amp; Llewellyn 1983</t>
  </si>
  <si>
    <t>Echinenone</t>
  </si>
  <si>
    <t>Effective Limits of Detection and Quantification</t>
  </si>
  <si>
    <t>Estimated</t>
  </si>
  <si>
    <t>ethanol</t>
  </si>
  <si>
    <t>Extract</t>
  </si>
  <si>
    <t>Filtered</t>
  </si>
  <si>
    <t>Fuco</t>
  </si>
  <si>
    <t>Fucoxanthin</t>
  </si>
  <si>
    <t>Gyro</t>
  </si>
  <si>
    <t>Gyroxanthin-diester</t>
  </si>
  <si>
    <t>hexane</t>
  </si>
  <si>
    <t>Hirschberg &amp; Chamovitz 1994</t>
  </si>
  <si>
    <t>HPLC</t>
  </si>
  <si>
    <t>in Vial</t>
  </si>
  <si>
    <t>Injection</t>
  </si>
  <si>
    <t>Internal Standard Calculation Sheet</t>
  </si>
  <si>
    <t>Internal Std</t>
  </si>
  <si>
    <t>Limit of</t>
  </si>
  <si>
    <t>Lutein</t>
  </si>
  <si>
    <t>Lycopene</t>
  </si>
  <si>
    <t>methanol</t>
  </si>
  <si>
    <t>Mg DVP</t>
  </si>
  <si>
    <t>Monadoxanthin</t>
  </si>
  <si>
    <t>Myxoxanthophyll</t>
  </si>
  <si>
    <t>Neo</t>
  </si>
  <si>
    <t>Neoxanthin</t>
  </si>
  <si>
    <t>Notes</t>
  </si>
  <si>
    <t>Number</t>
  </si>
  <si>
    <t>Oelze 1985</t>
  </si>
  <si>
    <t>Other</t>
  </si>
  <si>
    <t>P-457</t>
  </si>
  <si>
    <t>PEAK AREAS</t>
  </si>
  <si>
    <t>Perid</t>
  </si>
  <si>
    <t>Peridinin</t>
  </si>
  <si>
    <t>pet ether</t>
  </si>
  <si>
    <t>Pheophorbide a</t>
  </si>
  <si>
    <t>Pheophorbide b</t>
  </si>
  <si>
    <t>Pheophytin a</t>
  </si>
  <si>
    <t>Pheophytin b</t>
  </si>
  <si>
    <t>Pigment</t>
  </si>
  <si>
    <t>PIGMENT CONCENTRATIONS</t>
  </si>
  <si>
    <t>Prasino</t>
  </si>
  <si>
    <t>Prasinoxanthin</t>
  </si>
  <si>
    <t>Pyropheophytin a</t>
  </si>
  <si>
    <t>Quantification (ng)</t>
  </si>
  <si>
    <t>Ratio</t>
  </si>
  <si>
    <t>Sample</t>
  </si>
  <si>
    <t>Sample ID:</t>
  </si>
  <si>
    <t>Siphonaxanthin</t>
  </si>
  <si>
    <t>Siphonein</t>
  </si>
  <si>
    <t>Solvent</t>
  </si>
  <si>
    <t>Special</t>
  </si>
  <si>
    <t>Standard Coefficients</t>
  </si>
  <si>
    <t xml:space="preserve">Standard ID =  </t>
  </si>
  <si>
    <t>Station</t>
  </si>
  <si>
    <t>Total Chl a</t>
  </si>
  <si>
    <t>Vaucheriaxanthin</t>
  </si>
  <si>
    <t>Viola</t>
  </si>
  <si>
    <t>Violaxanthin</t>
  </si>
  <si>
    <t>Volume</t>
  </si>
  <si>
    <t>Zeax</t>
  </si>
  <si>
    <t>Zeaxanthin</t>
  </si>
  <si>
    <t>β,ψ Carotene</t>
  </si>
  <si>
    <t>β,β Carotene</t>
  </si>
  <si>
    <t>Effective Limit of Detection</t>
  </si>
  <si>
    <t>Effective Limit of Quantification</t>
  </si>
  <si>
    <t>HPLC PHOTOPIGMENT ANALYSIS FACILITY</t>
  </si>
  <si>
    <t>UNIVERSITY OF SOUTH CAROLINA</t>
  </si>
  <si>
    <t>COLUMBIA, SC 29208  USA</t>
  </si>
  <si>
    <t>PINCKNEY@SC.EDU</t>
  </si>
  <si>
    <t>(803) 777.7133</t>
  </si>
  <si>
    <t>Volume (L)</t>
  </si>
  <si>
    <t>Protocols and Methods Link</t>
  </si>
  <si>
    <t>Carotenal</t>
  </si>
  <si>
    <t>Total Extract</t>
  </si>
  <si>
    <t xml:space="preserve">Volume of </t>
  </si>
  <si>
    <t>IP</t>
  </si>
  <si>
    <t>added to Vial</t>
  </si>
  <si>
    <t>Estimated Peak Area for Carotenal Standard Added</t>
  </si>
  <si>
    <t>β,ε Carotene</t>
  </si>
  <si>
    <t>ε,ε Carotene</t>
  </si>
  <si>
    <t>βε Carotene</t>
  </si>
  <si>
    <t>ββ Carotene</t>
  </si>
  <si>
    <t>α Carotene</t>
  </si>
  <si>
    <t>β Carotene</t>
  </si>
  <si>
    <t>Aphanizophyll</t>
  </si>
  <si>
    <t>Technical Description of Methods Link</t>
  </si>
  <si>
    <t>0 Concentrations Indicate "Below Limits of Detection"</t>
  </si>
  <si>
    <t>BARUCH INSTITUTE FOR MARINE AND COASTAL SCIENCES</t>
  </si>
  <si>
    <t>Y intercept</t>
  </si>
  <si>
    <t>Acetone + Carotenal</t>
  </si>
  <si>
    <t>All others were estimated using LC 10AD coefficients</t>
  </si>
  <si>
    <t>Dec 21</t>
  </si>
  <si>
    <r>
      <t>λ</t>
    </r>
    <r>
      <rPr>
        <b/>
        <vertAlign val="subscript"/>
        <sz val="12"/>
        <rFont val="Grandview Display"/>
        <family val="2"/>
      </rPr>
      <t>max</t>
    </r>
  </si>
  <si>
    <r>
      <rPr>
        <b/>
        <sz val="10"/>
        <color rgb="FFFF0000"/>
        <rFont val="Grandview Display"/>
        <family val="2"/>
      </rPr>
      <t>Red coefficients</t>
    </r>
    <r>
      <rPr>
        <sz val="10"/>
        <rFont val="Grandview Display"/>
        <family val="2"/>
      </rPr>
      <t xml:space="preserve"> were determined from standards</t>
    </r>
  </si>
  <si>
    <r>
      <t>(µg pigment liter</t>
    </r>
    <r>
      <rPr>
        <vertAlign val="superscript"/>
        <sz val="12"/>
        <rFont val="Grandview Display"/>
        <family val="2"/>
      </rPr>
      <t>-1</t>
    </r>
    <r>
      <rPr>
        <sz val="12"/>
        <rFont val="Grandview Display"/>
        <family val="2"/>
      </rPr>
      <t>)</t>
    </r>
  </si>
  <si>
    <r>
      <t>Chl c</t>
    </r>
    <r>
      <rPr>
        <vertAlign val="subscript"/>
        <sz val="10"/>
        <rFont val="Grandview Display"/>
        <family val="2"/>
      </rPr>
      <t>3</t>
    </r>
  </si>
  <si>
    <r>
      <t>Chl c</t>
    </r>
    <r>
      <rPr>
        <vertAlign val="subscript"/>
        <sz val="10"/>
        <rFont val="Grandview Display"/>
        <family val="2"/>
      </rPr>
      <t>1</t>
    </r>
    <r>
      <rPr>
        <sz val="10"/>
        <rFont val="Grandview Display"/>
        <family val="2"/>
      </rPr>
      <t>c</t>
    </r>
    <r>
      <rPr>
        <vertAlign val="subscript"/>
        <sz val="10"/>
        <rFont val="Grandview Display"/>
        <family val="2"/>
      </rPr>
      <t>2</t>
    </r>
  </si>
  <si>
    <r>
      <t>LOD</t>
    </r>
    <r>
      <rPr>
        <vertAlign val="subscript"/>
        <sz val="10"/>
        <rFont val="Grandview Display"/>
        <family val="2"/>
      </rPr>
      <t>eff</t>
    </r>
  </si>
  <si>
    <r>
      <t>LOQ</t>
    </r>
    <r>
      <rPr>
        <vertAlign val="subscript"/>
        <sz val="10"/>
        <rFont val="Grandview Display"/>
        <family val="2"/>
      </rPr>
      <t>eff</t>
    </r>
  </si>
  <si>
    <r>
      <t>Chl c</t>
    </r>
    <r>
      <rPr>
        <b/>
        <vertAlign val="subscript"/>
        <sz val="10"/>
        <rFont val="Grandview Display"/>
        <family val="2"/>
      </rPr>
      <t>3</t>
    </r>
  </si>
  <si>
    <t>23 Sep 25</t>
  </si>
  <si>
    <t>control</t>
  </si>
  <si>
    <t>solvent</t>
  </si>
  <si>
    <t>C low</t>
  </si>
  <si>
    <t xml:space="preserve">C high </t>
  </si>
  <si>
    <t>C low nut</t>
  </si>
  <si>
    <t xml:space="preserve">C high nut </t>
  </si>
  <si>
    <t>C+P low</t>
  </si>
  <si>
    <t>C+P high</t>
  </si>
  <si>
    <t xml:space="preserve">C+P low nut </t>
  </si>
  <si>
    <t>C+P high nut</t>
  </si>
  <si>
    <t xml:space="preserve">solvent nut </t>
  </si>
  <si>
    <t>C+Q low</t>
  </si>
  <si>
    <t>C+Q high</t>
  </si>
  <si>
    <t>C+Q low nut</t>
  </si>
  <si>
    <t>C+Q high nut</t>
  </si>
  <si>
    <t>C+D low</t>
  </si>
  <si>
    <t>C+D high</t>
  </si>
  <si>
    <t>C+D low nut</t>
  </si>
  <si>
    <t>C+D high nut</t>
  </si>
  <si>
    <t>nut</t>
  </si>
  <si>
    <t xml:space="preserve">control </t>
  </si>
  <si>
    <t>control 25</t>
  </si>
  <si>
    <t>control 50</t>
  </si>
  <si>
    <t>control 75</t>
  </si>
  <si>
    <t>control 100</t>
  </si>
  <si>
    <t>nut 25</t>
  </si>
  <si>
    <t>nut 50</t>
  </si>
  <si>
    <t>nut 75</t>
  </si>
  <si>
    <t>nut 100</t>
  </si>
  <si>
    <t>D low</t>
  </si>
  <si>
    <t>D high</t>
  </si>
  <si>
    <t>D low nut</t>
  </si>
  <si>
    <t>D high nut</t>
  </si>
  <si>
    <t>D+C low</t>
  </si>
  <si>
    <t>D+C high</t>
  </si>
  <si>
    <t>D+C low nut</t>
  </si>
  <si>
    <t>D+C high nut</t>
  </si>
  <si>
    <t xml:space="preserve">D+P low </t>
  </si>
  <si>
    <t>D+P high</t>
  </si>
  <si>
    <t>D+P low nut</t>
  </si>
  <si>
    <t>D+P high nut</t>
  </si>
  <si>
    <t>D+Q low</t>
  </si>
  <si>
    <t>D+Q high</t>
  </si>
  <si>
    <t>D+Q low nut</t>
  </si>
  <si>
    <t>D+Q high nut</t>
  </si>
  <si>
    <t>Q low</t>
  </si>
  <si>
    <t>Q high</t>
  </si>
  <si>
    <t>Q low nut</t>
  </si>
  <si>
    <t>Q high nut</t>
  </si>
  <si>
    <t>Q+C low</t>
  </si>
  <si>
    <t>Q+C high</t>
  </si>
  <si>
    <t>Q+C nut low</t>
  </si>
  <si>
    <t>Q+C nut high</t>
  </si>
  <si>
    <t>Q+P low</t>
  </si>
  <si>
    <t>Q+P high</t>
  </si>
  <si>
    <t>Q+P low nut</t>
  </si>
  <si>
    <t>Q+P high nut</t>
  </si>
  <si>
    <t>Q+D low</t>
  </si>
  <si>
    <t xml:space="preserve">Q+D high </t>
  </si>
  <si>
    <t>Q+D low nut</t>
  </si>
  <si>
    <t>Q+D high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</si>
</sst>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409]\ #,##0"/>
    <numFmt numFmtId="165" formatCode="0.000"/>
    <numFmt numFmtId="166" formatCode="[$-409]d\-mmm\-yy;@"/>
    <numFmt numFmtId="167" formatCode="0.000E+00"/>
    <numFmt numFmtId="168" formatCode="[$-409]dd\-mmm\-yy;@"/>
  </numFmts>
  <fonts count="2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name val="Grandview Display"/>
      <family val="2"/>
    </font>
    <font>
      <sz val="10"/>
      <name val="Grandview Display"/>
      <family val="2"/>
    </font>
    <font>
      <b/>
      <sz val="12"/>
      <name val="Grandview Display"/>
      <family val="2"/>
    </font>
    <font>
      <b/>
      <vertAlign val="subscript"/>
      <sz val="12"/>
      <name val="Grandview Display"/>
      <family val="2"/>
    </font>
    <font>
      <sz val="10"/>
      <color theme="1"/>
      <name val="Grandview Display"/>
      <family val="2"/>
    </font>
    <font>
      <b/>
      <sz val="10"/>
      <color rgb="FFFF0000"/>
      <name val="Grandview Display"/>
      <family val="2"/>
    </font>
    <font>
      <b/>
      <sz val="18"/>
      <color rgb="FFFF0000"/>
      <name val="Grandview Display"/>
      <family val="2"/>
    </font>
    <font>
      <b/>
      <sz val="14"/>
      <color rgb="FFFF0000"/>
      <name val="Grandview Display"/>
      <family val="2"/>
    </font>
    <font>
      <sz val="16"/>
      <name val="Grandview Display"/>
      <family val="2"/>
    </font>
    <font>
      <sz val="16"/>
      <color theme="10"/>
      <name val="Grandview Display"/>
      <family val="2"/>
    </font>
    <font>
      <u/>
      <sz val="16"/>
      <color theme="10"/>
      <name val="Grandview Display"/>
      <family val="2"/>
    </font>
    <font>
      <sz val="10"/>
      <color rgb="FF0070C0"/>
      <name val="Grandview Display"/>
      <family val="2"/>
    </font>
    <font>
      <b/>
      <sz val="14"/>
      <name val="Grandview Display"/>
      <family val="2"/>
    </font>
    <font>
      <sz val="12"/>
      <name val="Grandview Display"/>
      <family val="2"/>
    </font>
    <font>
      <vertAlign val="superscript"/>
      <sz val="12"/>
      <name val="Grandview Display"/>
      <family val="2"/>
    </font>
    <font>
      <b/>
      <i/>
      <sz val="10"/>
      <color rgb="FFFF0000"/>
      <name val="Grandview Display"/>
      <family val="2"/>
    </font>
    <font>
      <vertAlign val="subscript"/>
      <sz val="10"/>
      <name val="Grandview Display"/>
      <family val="2"/>
    </font>
    <font>
      <b/>
      <sz val="10"/>
      <name val="Grandview Display"/>
      <family val="2"/>
    </font>
    <font>
      <b/>
      <vertAlign val="subscript"/>
      <sz val="10"/>
      <name val="Grandview Display"/>
      <family val="2"/>
    </font>
  </fonts>
  <fills count="16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indexed="1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tted">
        <color rgb="FFFF0000"/>
      </left>
      <right style="dotted">
        <color rgb="FFFF0000"/>
      </right>
      <top style="dotted">
        <color rgb="FFFF0000"/>
      </top>
      <bottom style="dotted">
        <color rgb="FFFF0000"/>
      </bottom>
      <diagonal/>
    </border>
  </borders>
  <cellStyleXfs count="10">
    <xf numFmtId="0" fontId="0" fillId="0" borderId="0"/>
    <xf numFmtId="2" fontId="3" fillId="2" borderId="0"/>
    <xf numFmtId="0" fontId="3" fillId="2" borderId="0"/>
    <xf numFmtId="0" fontId="1" fillId="2" borderId="0"/>
    <xf numFmtId="0" fontId="2" fillId="2" borderId="0"/>
    <xf numFmtId="0" fontId="3" fillId="2" borderId="1"/>
    <xf numFmtId="3" fontId="3" fillId="2" borderId="0"/>
    <xf numFmtId="164" fontId="3" fillId="2" borderId="0"/>
    <xf numFmtId="0" fontId="3" fillId="3" borderId="2" applyNumberFormat="0" applyFont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103">
    <xf numFmtId="0" fontId="0" fillId="2" borderId="0" xfId="0" applyFill="1"/>
    <xf numFmtId="0" fontId="7" fillId="2" borderId="0" xfId="4" applyFont="1"/>
    <xf numFmtId="0" fontId="8" fillId="0" borderId="0" xfId="0" applyFont="1"/>
    <xf numFmtId="167" fontId="8" fillId="0" borderId="0" xfId="0" applyNumberFormat="1" applyFont="1"/>
    <xf numFmtId="165" fontId="8" fillId="0" borderId="0" xfId="0" applyNumberFormat="1" applyFont="1"/>
    <xf numFmtId="1" fontId="8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167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15" fontId="8" fillId="0" borderId="3" xfId="0" quotePrefix="1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7" fontId="11" fillId="0" borderId="0" xfId="0" applyNumberFormat="1" applyFont="1"/>
    <xf numFmtId="165" fontId="11" fillId="0" borderId="0" xfId="0" applyNumberFormat="1" applyFont="1"/>
    <xf numFmtId="49" fontId="8" fillId="0" borderId="0" xfId="0" applyNumberFormat="1" applyFont="1"/>
    <xf numFmtId="167" fontId="12" fillId="0" borderId="0" xfId="0" applyNumberFormat="1" applyFont="1"/>
    <xf numFmtId="165" fontId="12" fillId="0" borderId="0" xfId="0" applyNumberFormat="1" applyFont="1"/>
    <xf numFmtId="0" fontId="9" fillId="0" borderId="0" xfId="8" applyFont="1" applyFill="1" applyBorder="1"/>
    <xf numFmtId="0" fontId="8" fillId="0" borderId="0" xfId="8" applyFont="1" applyFill="1" applyBorder="1"/>
    <xf numFmtId="0" fontId="8" fillId="0" borderId="0" xfId="8" applyFont="1" applyFill="1" applyBorder="1" applyAlignment="1">
      <alignment horizontal="center"/>
    </xf>
    <xf numFmtId="0" fontId="8" fillId="4" borderId="11" xfId="8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11" borderId="0" xfId="0" applyFont="1" applyFill="1"/>
    <xf numFmtId="0" fontId="8" fillId="11" borderId="0" xfId="0" applyFont="1" applyFill="1"/>
    <xf numFmtId="0" fontId="8" fillId="11" borderId="0" xfId="0" applyFont="1" applyFill="1" applyAlignment="1">
      <alignment horizontal="center"/>
    </xf>
    <xf numFmtId="3" fontId="13" fillId="12" borderId="0" xfId="0" applyNumberFormat="1" applyFont="1" applyFill="1" applyAlignment="1">
      <alignment horizontal="center"/>
    </xf>
    <xf numFmtId="3" fontId="14" fillId="0" borderId="0" xfId="0" applyNumberFormat="1" applyFont="1" applyAlignment="1">
      <alignment horizontal="center"/>
    </xf>
    <xf numFmtId="166" fontId="8" fillId="13" borderId="0" xfId="0" applyNumberFormat="1" applyFont="1" applyFill="1"/>
    <xf numFmtId="2" fontId="8" fillId="0" borderId="0" xfId="0" applyNumberFormat="1" applyFont="1"/>
    <xf numFmtId="3" fontId="8" fillId="0" borderId="0" xfId="0" applyNumberFormat="1" applyFont="1"/>
    <xf numFmtId="166" fontId="8" fillId="0" borderId="0" xfId="0" applyNumberFormat="1" applyFont="1"/>
    <xf numFmtId="3" fontId="7" fillId="0" borderId="0" xfId="0" applyNumberFormat="1" applyFont="1"/>
    <xf numFmtId="0" fontId="8" fillId="4" borderId="4" xfId="0" applyFont="1" applyFill="1" applyBorder="1" applyAlignment="1">
      <alignment horizontal="center"/>
    </xf>
    <xf numFmtId="166" fontId="8" fillId="4" borderId="5" xfId="0" applyNumberFormat="1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" fontId="8" fillId="4" borderId="5" xfId="0" applyNumberFormat="1" applyFont="1" applyFill="1" applyBorder="1" applyAlignment="1">
      <alignment horizontal="center"/>
    </xf>
    <xf numFmtId="2" fontId="8" fillId="4" borderId="5" xfId="0" applyNumberFormat="1" applyFont="1" applyFill="1" applyBorder="1" applyAlignment="1">
      <alignment horizontal="center"/>
    </xf>
    <xf numFmtId="3" fontId="8" fillId="4" borderId="5" xfId="0" applyNumberFormat="1" applyFont="1" applyFill="1" applyBorder="1" applyAlignment="1">
      <alignment horizontal="center"/>
    </xf>
    <xf numFmtId="3" fontId="8" fillId="0" borderId="0" xfId="0" applyNumberFormat="1" applyFont="1" applyAlignment="1">
      <alignment horizontal="center"/>
    </xf>
    <xf numFmtId="0" fontId="8" fillId="4" borderId="7" xfId="0" applyFont="1" applyFill="1" applyBorder="1" applyAlignment="1">
      <alignment horizontal="center"/>
    </xf>
    <xf numFmtId="166" fontId="8" fillId="4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65" fontId="8" fillId="4" borderId="0" xfId="0" applyNumberFormat="1" applyFont="1" applyFill="1" applyAlignment="1">
      <alignment horizontal="center"/>
    </xf>
    <xf numFmtId="1" fontId="8" fillId="4" borderId="0" xfId="0" applyNumberFormat="1" applyFont="1" applyFill="1" applyAlignment="1">
      <alignment horizontal="center"/>
    </xf>
    <xf numFmtId="2" fontId="8" fillId="4" borderId="0" xfId="0" applyNumberFormat="1" applyFont="1" applyFill="1" applyAlignment="1">
      <alignment horizontal="center"/>
    </xf>
    <xf numFmtId="3" fontId="8" fillId="4" borderId="0" xfId="0" applyNumberFormat="1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166" fontId="8" fillId="4" borderId="9" xfId="0" applyNumberFormat="1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165" fontId="8" fillId="4" borderId="9" xfId="0" applyNumberFormat="1" applyFont="1" applyFill="1" applyBorder="1" applyAlignment="1">
      <alignment horizontal="center"/>
    </xf>
    <xf numFmtId="1" fontId="8" fillId="4" borderId="9" xfId="0" applyNumberFormat="1" applyFont="1" applyFill="1" applyBorder="1" applyAlignment="1">
      <alignment horizontal="center"/>
    </xf>
    <xf numFmtId="2" fontId="8" fillId="4" borderId="9" xfId="0" applyNumberFormat="1" applyFont="1" applyFill="1" applyBorder="1" applyAlignment="1">
      <alignment horizontal="center"/>
    </xf>
    <xf numFmtId="3" fontId="8" fillId="4" borderId="9" xfId="0" applyNumberFormat="1" applyFont="1" applyFill="1" applyBorder="1" applyAlignment="1">
      <alignment horizontal="center"/>
    </xf>
    <xf numFmtId="0" fontId="8" fillId="6" borderId="0" xfId="0" applyFont="1" applyFill="1"/>
    <xf numFmtId="166" fontId="8" fillId="6" borderId="0" xfId="0" applyNumberFormat="1" applyFont="1" applyFill="1"/>
    <xf numFmtId="165" fontId="8" fillId="6" borderId="0" xfId="0" applyNumberFormat="1" applyFont="1" applyFill="1"/>
    <xf numFmtId="1" fontId="8" fillId="6" borderId="0" xfId="0" applyNumberFormat="1" applyFont="1" applyFill="1"/>
    <xf numFmtId="2" fontId="8" fillId="6" borderId="0" xfId="0" applyNumberFormat="1" applyFont="1" applyFill="1"/>
    <xf numFmtId="3" fontId="8" fillId="6" borderId="0" xfId="0" applyNumberFormat="1" applyFont="1" applyFill="1"/>
    <xf numFmtId="168" fontId="8" fillId="0" borderId="0" xfId="0" applyNumberFormat="1" applyFont="1"/>
    <xf numFmtId="2" fontId="16" fillId="9" borderId="0" xfId="9" applyNumberFormat="1" applyFont="1" applyFill="1" applyAlignment="1" applyProtection="1"/>
    <xf numFmtId="2" fontId="17" fillId="9" borderId="0" xfId="9" applyNumberFormat="1" applyFont="1" applyFill="1" applyAlignment="1" applyProtection="1"/>
    <xf numFmtId="2" fontId="16" fillId="10" borderId="0" xfId="9" applyNumberFormat="1" applyFont="1" applyFill="1" applyAlignment="1" applyProtection="1"/>
    <xf numFmtId="2" fontId="17" fillId="10" borderId="0" xfId="9" applyNumberFormat="1" applyFont="1" applyFill="1" applyAlignment="1" applyProtection="1"/>
    <xf numFmtId="0" fontId="18" fillId="0" borderId="0" xfId="9" applyFont="1" applyAlignment="1" applyProtection="1"/>
    <xf numFmtId="0" fontId="19" fillId="0" borderId="0" xfId="0" applyFont="1"/>
    <xf numFmtId="168" fontId="9" fillId="0" borderId="0" xfId="0" applyNumberFormat="1" applyFont="1"/>
    <xf numFmtId="0" fontId="20" fillId="4" borderId="0" xfId="0" applyFont="1" applyFill="1"/>
    <xf numFmtId="0" fontId="20" fillId="0" borderId="0" xfId="0" applyFont="1"/>
    <xf numFmtId="2" fontId="7" fillId="0" borderId="0" xfId="0" applyNumberFormat="1" applyFont="1"/>
    <xf numFmtId="2" fontId="20" fillId="0" borderId="0" xfId="0" applyNumberFormat="1" applyFont="1"/>
    <xf numFmtId="2" fontId="22" fillId="0" borderId="0" xfId="0" applyNumberFormat="1" applyFont="1" applyAlignment="1">
      <alignment horizontal="center"/>
    </xf>
    <xf numFmtId="0" fontId="8" fillId="7" borderId="4" xfId="0" applyFont="1" applyFill="1" applyBorder="1" applyAlignment="1">
      <alignment horizontal="center"/>
    </xf>
    <xf numFmtId="168" fontId="8" fillId="7" borderId="5" xfId="0" applyNumberFormat="1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2" fontId="8" fillId="7" borderId="5" xfId="0" applyNumberFormat="1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168" fontId="8" fillId="7" borderId="9" xfId="0" applyNumberFormat="1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2" fontId="8" fillId="7" borderId="9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168" fontId="8" fillId="8" borderId="0" xfId="0" applyNumberFormat="1" applyFont="1" applyFill="1" applyAlignment="1">
      <alignment horizontal="center"/>
    </xf>
    <xf numFmtId="2" fontId="8" fillId="8" borderId="0" xfId="0" applyNumberFormat="1" applyFont="1" applyFill="1" applyAlignment="1">
      <alignment horizontal="center"/>
    </xf>
    <xf numFmtId="165" fontId="8" fillId="5" borderId="0" xfId="0" applyNumberFormat="1" applyFont="1" applyFill="1" applyAlignment="1">
      <alignment horizontal="center"/>
    </xf>
    <xf numFmtId="165" fontId="8" fillId="15" borderId="0" xfId="0" applyNumberFormat="1" applyFont="1" applyFill="1" applyAlignment="1">
      <alignment horizontal="center"/>
    </xf>
    <xf numFmtId="165" fontId="9" fillId="0" borderId="0" xfId="0" applyNumberFormat="1" applyFont="1"/>
    <xf numFmtId="165" fontId="20" fillId="0" borderId="0" xfId="0" applyNumberFormat="1" applyFont="1"/>
    <xf numFmtId="0" fontId="24" fillId="0" borderId="0" xfId="0" applyFont="1" applyAlignment="1">
      <alignment horizontal="center"/>
    </xf>
    <xf numFmtId="0" fontId="24" fillId="14" borderId="4" xfId="0" applyFont="1" applyFill="1" applyBorder="1" applyAlignment="1">
      <alignment horizontal="center"/>
    </xf>
    <xf numFmtId="0" fontId="24" fillId="14" borderId="5" xfId="0" applyFont="1" applyFill="1" applyBorder="1" applyAlignment="1">
      <alignment horizontal="center"/>
    </xf>
    <xf numFmtId="165" fontId="24" fillId="14" borderId="5" xfId="0" applyNumberFormat="1" applyFont="1" applyFill="1" applyBorder="1" applyAlignment="1">
      <alignment horizontal="center"/>
    </xf>
    <xf numFmtId="165" fontId="24" fillId="14" borderId="6" xfId="0" applyNumberFormat="1" applyFont="1" applyFill="1" applyBorder="1" applyAlignment="1">
      <alignment horizontal="center"/>
    </xf>
    <xf numFmtId="0" fontId="24" fillId="14" borderId="8" xfId="0" applyFont="1" applyFill="1" applyBorder="1" applyAlignment="1">
      <alignment horizontal="center"/>
    </xf>
    <xf numFmtId="0" fontId="24" fillId="14" borderId="9" xfId="0" applyFont="1" applyFill="1" applyBorder="1" applyAlignment="1">
      <alignment horizontal="center"/>
    </xf>
    <xf numFmtId="165" fontId="24" fillId="14" borderId="9" xfId="0" applyNumberFormat="1" applyFont="1" applyFill="1" applyBorder="1" applyAlignment="1">
      <alignment horizontal="center"/>
    </xf>
    <xf numFmtId="165" fontId="24" fillId="14" borderId="10" xfId="0" applyNumberFormat="1" applyFont="1" applyFill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0" borderId="0" xfId="0"/>
    <xf numFmtId="0" fontId="15" fillId="0" borderId="0" xfId="0" applyFont="1"/>
    <xf numFmtId="165" fontId="8" fillId="5" borderId="0" xfId="0" applyNumberFormat="1" applyFont="1" applyFill="1"/>
  </cellXfs>
  <cellStyles count="10">
    <cellStyle name="Comma0" xfId="6" xr:uid="{00000000-0005-0000-0000-000000000000}"/>
    <cellStyle name="Currency0" xfId="7" xr:uid="{00000000-0005-0000-0000-000001000000}"/>
    <cellStyle name="Date" xfId="2" xr:uid="{00000000-0005-0000-0000-000002000000}"/>
    <cellStyle name="Fixed" xfId="1" xr:uid="{00000000-0005-0000-0000-000003000000}"/>
    <cellStyle name="Heading 1" xfId="3" builtinId="16" customBuiltin="1"/>
    <cellStyle name="Heading 2" xfId="4" builtinId="17" customBuiltin="1"/>
    <cellStyle name="Hyperlink" xfId="9" builtinId="8"/>
    <cellStyle name="Normal" xfId="0" builtinId="0"/>
    <cellStyle name="Note" xfId="8" builtinId="10"/>
    <cellStyle name="Total" xfId="5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808080"/>
      <rgbColor rgb="00000000"/>
      <rgbColor rgb="00FF0000"/>
      <rgbColor rgb="0000FF00"/>
      <rgbColor rgb="000000FF"/>
      <rgbColor rgb="00FF00FF"/>
      <rgbColor rgb="00FFFF00"/>
      <rgbColor rgb="00008000"/>
      <rgbColor rgb="00800000"/>
      <rgbColor rgb="00FFFFFF"/>
      <rgbColor rgb="000080FF"/>
      <rgbColor rgb="00A0D0FF"/>
      <rgbColor rgb="00B0FFFF"/>
      <rgbColor rgb="00B0FFB0"/>
      <rgbColor rgb="00FFFF90"/>
      <rgbColor rgb="00FFB0B0"/>
      <rgbColor rgb="00FFB870"/>
      <rgbColor rgb="00FF8000"/>
      <rgbColor rgb="00FF6000"/>
      <rgbColor rgb="00909090"/>
      <rgbColor rgb="00FFCF9F"/>
      <rgbColor rgb="00FFFF80"/>
      <rgbColor rgb="00005050"/>
      <rgbColor rgb="000080FF"/>
      <rgbColor rgb="00A0D0FF"/>
      <rgbColor rgb="00B0FFFF"/>
      <rgbColor rgb="0070FFFF"/>
      <rgbColor rgb="00005000"/>
      <rgbColor rgb="00B0FFB0"/>
      <rgbColor rgb="00FFFF90"/>
      <rgbColor rgb="00FFCC00"/>
      <rgbColor rgb="00500000"/>
      <rgbColor rgb="00FFB0B0"/>
      <rgbColor rgb="00FFB870"/>
      <rgbColor rgb="00FF8000"/>
      <rgbColor rgb="00FF6000"/>
      <rgbColor rgb="00500050"/>
      <rgbColor rgb="00FFB0FF"/>
      <rgbColor rgb="00FFA0D0"/>
      <rgbColor rgb="00FF80C0"/>
      <rgbColor rgb="00FF0080"/>
      <rgbColor rgb="00909090"/>
      <rgbColor rgb="00E0B090"/>
      <rgbColor rgb="00B07050"/>
      <rgbColor rgb="00FFFFFF"/>
      <rgbColor rgb="00FFFFFF"/>
      <rgbColor rgb="00FFFFFF"/>
      <rgbColor rgb="00804040"/>
      <rgbColor rgb="00200000"/>
      <rgbColor rgb="00400000"/>
      <rgbColor rgb="00600000"/>
      <rgbColor rgb="00800000"/>
      <rgbColor rgb="009F0000"/>
      <rgbColor rgb="00BF0000"/>
      <rgbColor rgb="00D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18</xdr:col>
      <xdr:colOff>228600</xdr:colOff>
      <xdr:row>5</xdr:row>
      <xdr:rowOff>206899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A276A5-9347-415D-A0E1-A57D41FCE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4075" y="247650"/>
          <a:ext cx="3657600" cy="1033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8080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8080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0B8Eb6hE1PLL1VTl4akN6OEJPdEk/view" TargetMode="External"/><Relationship Id="rId7" Type="http://schemas.openxmlformats.org/officeDocument/2006/relationships/comments" Target="../comments3.xml"/><Relationship Id="rId2" Type="http://schemas.openxmlformats.org/officeDocument/2006/relationships/hyperlink" Target="https://phytoninja.com/lab-protocols/" TargetMode="External"/><Relationship Id="rId1" Type="http://schemas.openxmlformats.org/officeDocument/2006/relationships/hyperlink" Target="mailto:PINCKNEY@SC.EDU" TargetMode="External"/><Relationship Id="rId6" Type="http://schemas.openxmlformats.org/officeDocument/2006/relationships/vmlDrawing" Target="../drawings/vmlDrawing3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  <pageSetUpPr fitToPage="1"/>
  </sheetPr>
  <dimension ref="A1:M52"/>
  <sheetViews>
    <sheetView zoomScaleNormal="100" workbookViewId="0">
      <selection activeCell="B5" sqref="B5"/>
    </sheetView>
  </sheetViews>
  <sheetFormatPr defaultColWidth="9.109375" defaultRowHeight="13.2" x14ac:dyDescent="0.25"/>
  <cols>
    <col min="1" max="1" width="32.109375" style="2" customWidth="1"/>
    <col min="2" max="2" width="20.109375" style="2" customWidth="1"/>
    <col min="3" max="3" width="10.88671875" style="2" customWidth="1"/>
    <col min="4" max="4" width="8.88671875" style="2" customWidth="1"/>
    <col min="5" max="5" width="18.88671875" style="2" customWidth="1"/>
    <col min="6" max="6" width="9" style="2" customWidth="1"/>
    <col min="7" max="7" width="16.5546875" style="3" customWidth="1"/>
    <col min="8" max="8" width="16.5546875" style="4" customWidth="1"/>
    <col min="9" max="9" width="9" style="5" customWidth="1"/>
    <col min="10" max="10" width="17.109375" style="2" customWidth="1"/>
    <col min="11" max="11" width="22" style="3" customWidth="1"/>
    <col min="12" max="12" width="15.109375" style="3" customWidth="1"/>
    <col min="13" max="13" width="24.88671875" style="2" customWidth="1"/>
    <col min="14" max="257" width="8.44140625" style="2" customWidth="1"/>
    <col min="258" max="16384" width="9.109375" style="2"/>
  </cols>
  <sheetData>
    <row r="1" spans="1:13" ht="20.399999999999999" x14ac:dyDescent="0.35">
      <c r="A1" s="1" t="s">
        <v>113</v>
      </c>
    </row>
    <row r="2" spans="1:13" ht="15" x14ac:dyDescent="0.25">
      <c r="E2" s="6" t="s">
        <v>42</v>
      </c>
    </row>
    <row r="3" spans="1:13" ht="15" x14ac:dyDescent="0.25">
      <c r="E3" s="7"/>
      <c r="F3" s="7" t="s">
        <v>58</v>
      </c>
      <c r="G3" s="8" t="s">
        <v>63</v>
      </c>
      <c r="H3" s="9"/>
      <c r="I3" s="10"/>
      <c r="J3" s="7"/>
      <c r="K3" s="8" t="s">
        <v>78</v>
      </c>
      <c r="L3" s="8" t="s">
        <v>78</v>
      </c>
      <c r="M3" s="7"/>
    </row>
    <row r="4" spans="1:13" ht="18.600000000000001" x14ac:dyDescent="0.4">
      <c r="A4" s="11" t="s">
        <v>26</v>
      </c>
      <c r="B4" s="12">
        <v>45945</v>
      </c>
      <c r="E4" s="7" t="s">
        <v>100</v>
      </c>
      <c r="F4" s="7" t="s">
        <v>154</v>
      </c>
      <c r="G4" s="8" t="s">
        <v>41</v>
      </c>
      <c r="H4" s="9" t="s">
        <v>150</v>
      </c>
      <c r="I4" s="10" t="s">
        <v>154</v>
      </c>
      <c r="J4" s="7" t="s">
        <v>111</v>
      </c>
      <c r="K4" s="8" t="s">
        <v>105</v>
      </c>
      <c r="L4" s="8" t="s">
        <v>47</v>
      </c>
      <c r="M4" s="7" t="s">
        <v>87</v>
      </c>
    </row>
    <row r="5" spans="1:13" x14ac:dyDescent="0.25">
      <c r="A5" s="11" t="s">
        <v>114</v>
      </c>
      <c r="B5" s="13" t="s">
        <v>48</v>
      </c>
    </row>
    <row r="6" spans="1:13" x14ac:dyDescent="0.25">
      <c r="E6" s="2" t="s">
        <v>124</v>
      </c>
      <c r="F6" s="5">
        <v>2500</v>
      </c>
      <c r="G6" s="14">
        <v>2.3536279999999998E-4</v>
      </c>
      <c r="H6" s="15">
        <v>0</v>
      </c>
      <c r="I6" s="5">
        <v>454</v>
      </c>
      <c r="J6" s="2" t="s">
        <v>10</v>
      </c>
    </row>
    <row r="7" spans="1:13" x14ac:dyDescent="0.25">
      <c r="E7" s="2" t="s">
        <v>140</v>
      </c>
      <c r="F7" s="5">
        <v>2700</v>
      </c>
      <c r="G7" s="14">
        <v>2.1792239999999998E-4</v>
      </c>
      <c r="H7" s="15">
        <v>0</v>
      </c>
      <c r="I7" s="5">
        <v>448</v>
      </c>
      <c r="J7" s="2" t="s">
        <v>10</v>
      </c>
    </row>
    <row r="8" spans="1:13" x14ac:dyDescent="0.25">
      <c r="E8" s="2" t="s">
        <v>123</v>
      </c>
      <c r="F8" s="5">
        <v>3185</v>
      </c>
      <c r="G8" s="14">
        <v>1.847408E-4</v>
      </c>
      <c r="H8" s="15">
        <v>0</v>
      </c>
      <c r="I8" s="5">
        <v>459</v>
      </c>
      <c r="J8" s="2" t="s">
        <v>95</v>
      </c>
    </row>
    <row r="9" spans="1:13" x14ac:dyDescent="0.25">
      <c r="A9" s="2" t="s">
        <v>59</v>
      </c>
      <c r="E9" s="2" t="s">
        <v>141</v>
      </c>
      <c r="F9" s="5">
        <v>2900</v>
      </c>
      <c r="G9" s="14">
        <v>2.0290099999999999E-4</v>
      </c>
      <c r="H9" s="15">
        <v>0</v>
      </c>
      <c r="I9" s="5">
        <v>440</v>
      </c>
      <c r="J9" s="2" t="s">
        <v>95</v>
      </c>
    </row>
    <row r="10" spans="1:13" x14ac:dyDescent="0.25">
      <c r="E10" s="2" t="s">
        <v>4</v>
      </c>
      <c r="F10" s="5">
        <v>1470</v>
      </c>
      <c r="G10" s="14">
        <v>1.3205026E-4</v>
      </c>
      <c r="H10" s="15">
        <v>0</v>
      </c>
      <c r="I10" s="5">
        <v>445</v>
      </c>
      <c r="J10" s="2" t="s">
        <v>10</v>
      </c>
      <c r="K10" s="3">
        <v>0.53769487392285265</v>
      </c>
      <c r="L10" s="3">
        <v>0.16130846217685579</v>
      </c>
    </row>
    <row r="11" spans="1:13" x14ac:dyDescent="0.25">
      <c r="A11" s="2" t="s">
        <v>3</v>
      </c>
      <c r="E11" s="2" t="s">
        <v>5</v>
      </c>
      <c r="F11" s="5">
        <v>1420</v>
      </c>
      <c r="G11" s="14">
        <v>1.4815254000000001E-4</v>
      </c>
      <c r="H11" s="15">
        <v>0</v>
      </c>
      <c r="I11" s="5">
        <v>445</v>
      </c>
      <c r="J11" s="2" t="s">
        <v>10</v>
      </c>
      <c r="K11" s="3">
        <v>0.41342240028919153</v>
      </c>
      <c r="L11" s="3">
        <v>0.12402672008675746</v>
      </c>
    </row>
    <row r="12" spans="1:13" x14ac:dyDescent="0.25">
      <c r="E12" s="2" t="s">
        <v>16</v>
      </c>
      <c r="F12" s="5">
        <v>2500</v>
      </c>
      <c r="G12" s="14">
        <v>7.7922244000000005E-5</v>
      </c>
      <c r="H12" s="15">
        <v>0</v>
      </c>
      <c r="I12" s="5">
        <v>454</v>
      </c>
      <c r="J12" s="2" t="s">
        <v>10</v>
      </c>
      <c r="K12" s="3">
        <v>0.39327528307936355</v>
      </c>
      <c r="L12" s="3">
        <v>0.11798258492380906</v>
      </c>
    </row>
    <row r="13" spans="1:13" x14ac:dyDescent="0.25">
      <c r="A13" s="2" t="s">
        <v>60</v>
      </c>
      <c r="E13" s="2" t="s">
        <v>20</v>
      </c>
      <c r="F13" s="5">
        <v>2350</v>
      </c>
      <c r="G13" s="14">
        <v>1.1915286000000001E-4</v>
      </c>
      <c r="H13" s="15">
        <v>0</v>
      </c>
      <c r="I13" s="5">
        <v>446</v>
      </c>
      <c r="J13" s="2" t="s">
        <v>64</v>
      </c>
    </row>
    <row r="14" spans="1:13" x14ac:dyDescent="0.25">
      <c r="B14" s="2" t="s">
        <v>18</v>
      </c>
      <c r="E14" s="2" t="s">
        <v>146</v>
      </c>
      <c r="F14" s="5"/>
      <c r="G14" s="14">
        <v>1.6859013999999999E-4</v>
      </c>
      <c r="H14" s="15">
        <v>0</v>
      </c>
    </row>
    <row r="15" spans="1:13" x14ac:dyDescent="0.25">
      <c r="E15" s="2" t="s">
        <v>23</v>
      </c>
      <c r="F15" s="5">
        <v>2100</v>
      </c>
      <c r="G15" s="14">
        <v>1.0888096E-4</v>
      </c>
      <c r="H15" s="15">
        <v>0</v>
      </c>
      <c r="I15" s="5">
        <v>468</v>
      </c>
      <c r="J15" s="2" t="s">
        <v>71</v>
      </c>
    </row>
    <row r="16" spans="1:13" x14ac:dyDescent="0.25">
      <c r="E16" s="2" t="s">
        <v>24</v>
      </c>
      <c r="F16" s="5">
        <v>594</v>
      </c>
      <c r="G16" s="14">
        <v>9.4391739999999998E-3</v>
      </c>
      <c r="H16" s="15">
        <v>0</v>
      </c>
      <c r="I16" s="5">
        <v>771</v>
      </c>
      <c r="J16" s="2" t="s">
        <v>12</v>
      </c>
      <c r="M16" s="2" t="s">
        <v>89</v>
      </c>
    </row>
    <row r="17" spans="1:13" x14ac:dyDescent="0.25">
      <c r="A17" s="2" t="s">
        <v>155</v>
      </c>
      <c r="E17" s="2" t="s">
        <v>27</v>
      </c>
      <c r="F17" s="5">
        <v>2200</v>
      </c>
      <c r="G17" s="14">
        <v>1.0393204E-4</v>
      </c>
      <c r="H17" s="15">
        <v>0</v>
      </c>
      <c r="I17" s="5">
        <v>466</v>
      </c>
      <c r="J17" s="2" t="s">
        <v>95</v>
      </c>
    </row>
    <row r="18" spans="1:13" x14ac:dyDescent="0.25">
      <c r="A18" s="2" t="s">
        <v>152</v>
      </c>
      <c r="D18" s="16" t="s">
        <v>162</v>
      </c>
      <c r="E18" s="2" t="s">
        <v>35</v>
      </c>
      <c r="F18" s="5">
        <v>876.7</v>
      </c>
      <c r="G18" s="17">
        <v>4.1980000000000001E-4</v>
      </c>
      <c r="H18" s="18">
        <v>0</v>
      </c>
      <c r="I18" s="5">
        <v>664.3</v>
      </c>
      <c r="J18" s="2" t="s">
        <v>8</v>
      </c>
      <c r="K18" s="3">
        <v>1.3471794092636304</v>
      </c>
      <c r="L18" s="3">
        <v>0.40415382277908912</v>
      </c>
    </row>
    <row r="19" spans="1:13" x14ac:dyDescent="0.25">
      <c r="D19" s="16" t="s">
        <v>153</v>
      </c>
      <c r="E19" s="2" t="s">
        <v>36</v>
      </c>
      <c r="F19" s="5">
        <v>513.6</v>
      </c>
      <c r="G19" s="17">
        <v>4.5591000000000002E-4</v>
      </c>
      <c r="H19" s="18">
        <v>0</v>
      </c>
      <c r="I19" s="5">
        <v>646.79999999999995</v>
      </c>
      <c r="J19" s="2" t="s">
        <v>8</v>
      </c>
      <c r="K19" s="3">
        <v>1.7053635608594298</v>
      </c>
      <c r="L19" s="3">
        <v>0.51160906825782893</v>
      </c>
    </row>
    <row r="20" spans="1:13" x14ac:dyDescent="0.25">
      <c r="E20" s="2" t="s">
        <v>37</v>
      </c>
      <c r="F20" s="5">
        <v>426</v>
      </c>
      <c r="G20" s="14">
        <v>7.4207367999999996E-5</v>
      </c>
      <c r="H20" s="15">
        <v>0</v>
      </c>
      <c r="I20" s="5">
        <v>630.70000000000005</v>
      </c>
      <c r="J20" s="2" t="s">
        <v>8</v>
      </c>
      <c r="K20" s="3" t="s">
        <v>63</v>
      </c>
      <c r="L20" s="3" t="s">
        <v>63</v>
      </c>
      <c r="M20" s="2" t="s">
        <v>63</v>
      </c>
    </row>
    <row r="21" spans="1:13" x14ac:dyDescent="0.25">
      <c r="E21" s="2" t="s">
        <v>38</v>
      </c>
      <c r="F21" s="5">
        <v>3460</v>
      </c>
      <c r="G21" s="14">
        <v>1.4362252E-4</v>
      </c>
      <c r="H21" s="15">
        <v>0</v>
      </c>
      <c r="I21" s="5">
        <v>452.9</v>
      </c>
      <c r="J21" s="2" t="s">
        <v>8</v>
      </c>
      <c r="K21" s="3">
        <v>0.48770607716660413</v>
      </c>
      <c r="L21" s="3">
        <v>0.14631182314998123</v>
      </c>
    </row>
    <row r="22" spans="1:13" x14ac:dyDescent="0.25">
      <c r="E22" s="2" t="s">
        <v>39</v>
      </c>
      <c r="F22" s="5">
        <v>1270</v>
      </c>
      <c r="G22" s="14">
        <v>1.8166453999999998E-4</v>
      </c>
      <c r="H22" s="15">
        <v>0</v>
      </c>
      <c r="I22" s="5">
        <v>664</v>
      </c>
      <c r="J22" s="2" t="s">
        <v>8</v>
      </c>
    </row>
    <row r="23" spans="1:13" x14ac:dyDescent="0.25">
      <c r="E23" s="2" t="s">
        <v>40</v>
      </c>
      <c r="F23" s="5">
        <v>740.7</v>
      </c>
      <c r="G23" s="14">
        <v>2.9600299999999998E-4</v>
      </c>
      <c r="H23" s="15">
        <v>0</v>
      </c>
      <c r="I23" s="5">
        <v>645</v>
      </c>
      <c r="J23" s="2" t="s">
        <v>8</v>
      </c>
    </row>
    <row r="24" spans="1:13" x14ac:dyDescent="0.25">
      <c r="E24" s="2" t="s">
        <v>45</v>
      </c>
      <c r="F24" s="5">
        <v>2500</v>
      </c>
      <c r="G24" s="14">
        <v>8.1206419999999997E-5</v>
      </c>
      <c r="H24" s="15">
        <v>0</v>
      </c>
      <c r="I24" s="5">
        <v>443</v>
      </c>
      <c r="J24" s="2" t="s">
        <v>64</v>
      </c>
    </row>
    <row r="25" spans="1:13" x14ac:dyDescent="0.25">
      <c r="E25" s="2" t="s">
        <v>50</v>
      </c>
      <c r="F25" s="5">
        <v>2500</v>
      </c>
      <c r="G25" s="14">
        <v>7.6500580000000003E-5</v>
      </c>
      <c r="H25" s="15">
        <v>0</v>
      </c>
      <c r="I25" s="5">
        <v>428</v>
      </c>
      <c r="J25" s="2" t="s">
        <v>10</v>
      </c>
    </row>
    <row r="26" spans="1:13" x14ac:dyDescent="0.25">
      <c r="E26" s="2" t="s">
        <v>51</v>
      </c>
      <c r="F26" s="5">
        <v>2250</v>
      </c>
      <c r="G26" s="14">
        <v>9.1103905999999997E-5</v>
      </c>
      <c r="H26" s="15">
        <v>0</v>
      </c>
      <c r="I26" s="5">
        <v>444.5</v>
      </c>
      <c r="J26" s="2" t="s">
        <v>81</v>
      </c>
      <c r="K26" s="3">
        <v>0.37673066443869319</v>
      </c>
      <c r="L26" s="3">
        <v>0.11301919933160795</v>
      </c>
    </row>
    <row r="27" spans="1:13" x14ac:dyDescent="0.25">
      <c r="E27" s="2" t="s">
        <v>53</v>
      </c>
      <c r="F27" s="5">
        <v>2100</v>
      </c>
      <c r="G27" s="14">
        <v>1.2482393999999999E-4</v>
      </c>
      <c r="H27" s="15">
        <v>0</v>
      </c>
      <c r="I27" s="5">
        <v>452</v>
      </c>
      <c r="J27" s="2" t="s">
        <v>10</v>
      </c>
      <c r="K27" s="3">
        <v>0.47554779898017718</v>
      </c>
      <c r="L27" s="3">
        <v>0.14266433969405315</v>
      </c>
    </row>
    <row r="28" spans="1:13" x14ac:dyDescent="0.25">
      <c r="E28" s="2" t="s">
        <v>55</v>
      </c>
      <c r="F28" s="5">
        <v>2100</v>
      </c>
      <c r="G28" s="14">
        <v>9.6673859999999993E-5</v>
      </c>
      <c r="H28" s="15">
        <v>0</v>
      </c>
      <c r="I28" s="5">
        <v>442</v>
      </c>
      <c r="J28" s="2" t="s">
        <v>10</v>
      </c>
    </row>
    <row r="29" spans="1:13" x14ac:dyDescent="0.25">
      <c r="E29" s="2" t="s">
        <v>56</v>
      </c>
      <c r="F29" s="5">
        <v>876.7</v>
      </c>
      <c r="G29" s="14">
        <v>4.0626220000000002E-4</v>
      </c>
      <c r="H29" s="15">
        <v>0</v>
      </c>
      <c r="I29" s="5">
        <v>664.3</v>
      </c>
      <c r="J29" s="2" t="s">
        <v>8</v>
      </c>
      <c r="K29" s="3">
        <v>0.94742244001709985</v>
      </c>
      <c r="L29" s="3">
        <v>0.28422673200512999</v>
      </c>
      <c r="M29" s="2" t="s">
        <v>21</v>
      </c>
    </row>
    <row r="30" spans="1:13" x14ac:dyDescent="0.25">
      <c r="E30" s="2" t="s">
        <v>57</v>
      </c>
      <c r="F30" s="5">
        <v>513.6</v>
      </c>
      <c r="G30" s="14">
        <v>4.2688859999999993E-4</v>
      </c>
      <c r="H30" s="15">
        <v>0</v>
      </c>
      <c r="I30" s="5">
        <v>646.79999999999995</v>
      </c>
      <c r="J30" s="2" t="s">
        <v>8</v>
      </c>
      <c r="M30" s="2" t="s">
        <v>22</v>
      </c>
    </row>
    <row r="31" spans="1:13" x14ac:dyDescent="0.25">
      <c r="E31" s="2" t="s">
        <v>61</v>
      </c>
      <c r="F31" s="5">
        <v>2158</v>
      </c>
      <c r="G31" s="14">
        <v>2.4320979999999998E-4</v>
      </c>
      <c r="H31" s="15">
        <v>0</v>
      </c>
      <c r="I31" s="5">
        <v>458</v>
      </c>
      <c r="J31" s="2" t="s">
        <v>95</v>
      </c>
    </row>
    <row r="32" spans="1:13" x14ac:dyDescent="0.25">
      <c r="D32" s="16" t="s">
        <v>153</v>
      </c>
      <c r="E32" s="2" t="s">
        <v>68</v>
      </c>
      <c r="F32" s="5">
        <v>1660</v>
      </c>
      <c r="G32" s="17">
        <v>1.20961E-4</v>
      </c>
      <c r="H32" s="18">
        <v>0</v>
      </c>
      <c r="I32" s="5">
        <v>443</v>
      </c>
      <c r="J32" s="2" t="s">
        <v>10</v>
      </c>
      <c r="K32" s="3">
        <v>0.56341954508171088</v>
      </c>
      <c r="L32" s="3">
        <v>0.16902586352451324</v>
      </c>
    </row>
    <row r="33" spans="4:13" x14ac:dyDescent="0.25">
      <c r="E33" s="2" t="s">
        <v>70</v>
      </c>
      <c r="F33" s="5">
        <v>2620</v>
      </c>
      <c r="G33" s="14">
        <v>1.7864845999999998E-4</v>
      </c>
      <c r="H33" s="15">
        <v>0</v>
      </c>
      <c r="I33" s="5">
        <v>445</v>
      </c>
      <c r="J33" s="2" t="s">
        <v>64</v>
      </c>
      <c r="K33" s="3">
        <v>0.37706303035491756</v>
      </c>
      <c r="L33" s="3">
        <v>0.11311890910647528</v>
      </c>
    </row>
    <row r="34" spans="4:13" x14ac:dyDescent="0.25">
      <c r="E34" s="2" t="s">
        <v>79</v>
      </c>
      <c r="F34" s="5">
        <v>2550</v>
      </c>
      <c r="G34" s="14">
        <v>1.6679181999999999E-4</v>
      </c>
      <c r="H34" s="15">
        <v>0</v>
      </c>
      <c r="I34" s="5">
        <v>445</v>
      </c>
      <c r="J34" s="2" t="s">
        <v>64</v>
      </c>
      <c r="K34" s="3">
        <v>0.36284085235234426</v>
      </c>
      <c r="L34" s="3">
        <v>0.10885225570570328</v>
      </c>
    </row>
    <row r="35" spans="4:13" x14ac:dyDescent="0.25">
      <c r="E35" s="2" t="s">
        <v>80</v>
      </c>
      <c r="F35" s="5">
        <v>3446</v>
      </c>
      <c r="G35" s="14">
        <v>5.6603419999999994E-4</v>
      </c>
      <c r="H35" s="15">
        <v>0</v>
      </c>
      <c r="I35" s="5">
        <v>474</v>
      </c>
      <c r="J35" s="2" t="s">
        <v>10</v>
      </c>
    </row>
    <row r="36" spans="4:13" x14ac:dyDescent="0.25">
      <c r="E36" s="2" t="s">
        <v>82</v>
      </c>
      <c r="F36" s="5">
        <v>589</v>
      </c>
      <c r="G36" s="14">
        <v>3.7224279999999995E-4</v>
      </c>
      <c r="H36" s="15">
        <v>0</v>
      </c>
      <c r="I36" s="5">
        <v>623</v>
      </c>
      <c r="J36" s="2" t="s">
        <v>81</v>
      </c>
    </row>
    <row r="37" spans="4:13" x14ac:dyDescent="0.25">
      <c r="E37" s="2" t="s">
        <v>83</v>
      </c>
      <c r="F37" s="5">
        <v>2500</v>
      </c>
      <c r="G37" s="14">
        <v>9.7067979999999998E-5</v>
      </c>
      <c r="H37" s="15">
        <v>0</v>
      </c>
      <c r="I37" s="5">
        <v>446</v>
      </c>
      <c r="J37" s="2" t="s">
        <v>54</v>
      </c>
    </row>
    <row r="38" spans="4:13" x14ac:dyDescent="0.25">
      <c r="E38" s="2" t="s">
        <v>84</v>
      </c>
      <c r="F38" s="5">
        <v>2160</v>
      </c>
      <c r="G38" s="14">
        <v>1.7631441999999998E-4</v>
      </c>
      <c r="H38" s="15">
        <v>0</v>
      </c>
      <c r="I38" s="5">
        <v>478</v>
      </c>
      <c r="J38" s="2" t="s">
        <v>10</v>
      </c>
      <c r="K38" s="3">
        <v>1.0390830549905767</v>
      </c>
      <c r="L38" s="3">
        <v>0.31172491649717304</v>
      </c>
      <c r="M38" s="2" t="s">
        <v>72</v>
      </c>
    </row>
    <row r="39" spans="4:13" x14ac:dyDescent="0.25">
      <c r="E39" s="2" t="s">
        <v>86</v>
      </c>
      <c r="F39" s="5">
        <v>2270</v>
      </c>
      <c r="G39" s="14">
        <v>1.5527738E-4</v>
      </c>
      <c r="H39" s="15">
        <v>0</v>
      </c>
      <c r="I39" s="5">
        <v>438</v>
      </c>
      <c r="J39" s="2" t="s">
        <v>64</v>
      </c>
      <c r="K39" s="3">
        <v>0.3158607486760559</v>
      </c>
      <c r="L39" s="3">
        <v>9.4758224602816771E-2</v>
      </c>
    </row>
    <row r="40" spans="4:13" x14ac:dyDescent="0.25">
      <c r="E40" s="2" t="s">
        <v>91</v>
      </c>
      <c r="F40" s="5">
        <v>1640</v>
      </c>
      <c r="G40" s="14">
        <v>1.1893219999999998E-3</v>
      </c>
      <c r="H40" s="15">
        <v>0</v>
      </c>
      <c r="I40" s="5">
        <v>457</v>
      </c>
      <c r="J40" s="2" t="s">
        <v>10</v>
      </c>
    </row>
    <row r="41" spans="4:13" x14ac:dyDescent="0.25">
      <c r="D41" s="16" t="s">
        <v>153</v>
      </c>
      <c r="E41" s="2" t="s">
        <v>94</v>
      </c>
      <c r="F41" s="5">
        <v>1340</v>
      </c>
      <c r="G41" s="17">
        <v>1.7348400000000001E-4</v>
      </c>
      <c r="H41" s="18">
        <v>0</v>
      </c>
      <c r="I41" s="5">
        <v>466</v>
      </c>
      <c r="J41" s="2" t="s">
        <v>10</v>
      </c>
      <c r="K41" s="3">
        <v>0.53469293956058639</v>
      </c>
      <c r="L41" s="3">
        <v>0.16040788186817592</v>
      </c>
    </row>
    <row r="42" spans="4:13" x14ac:dyDescent="0.25">
      <c r="E42" s="2" t="s">
        <v>96</v>
      </c>
      <c r="F42" s="5">
        <v>742</v>
      </c>
      <c r="G42" s="14">
        <v>4.5341499999999998E-4</v>
      </c>
      <c r="H42" s="15">
        <v>0</v>
      </c>
      <c r="I42" s="5">
        <v>667</v>
      </c>
      <c r="J42" s="2" t="s">
        <v>8</v>
      </c>
    </row>
    <row r="43" spans="4:13" x14ac:dyDescent="0.25">
      <c r="E43" s="2" t="s">
        <v>97</v>
      </c>
      <c r="F43" s="5">
        <v>463.7</v>
      </c>
      <c r="G43" s="14">
        <v>4.7282599999999998E-4</v>
      </c>
      <c r="H43" s="15">
        <v>0</v>
      </c>
      <c r="I43" s="5">
        <v>657</v>
      </c>
      <c r="J43" s="2" t="s">
        <v>8</v>
      </c>
    </row>
    <row r="44" spans="4:13" x14ac:dyDescent="0.25">
      <c r="E44" s="2" t="s">
        <v>98</v>
      </c>
      <c r="F44" s="5">
        <v>512</v>
      </c>
      <c r="G44" s="14">
        <v>6.5709479999999994E-4</v>
      </c>
      <c r="H44" s="15">
        <v>0</v>
      </c>
      <c r="I44" s="5">
        <v>667</v>
      </c>
      <c r="J44" s="2" t="s">
        <v>8</v>
      </c>
    </row>
    <row r="45" spans="4:13" x14ac:dyDescent="0.25">
      <c r="E45" s="2" t="s">
        <v>99</v>
      </c>
      <c r="F45" s="5">
        <v>318</v>
      </c>
      <c r="G45" s="14">
        <v>6.8946220000000002E-4</v>
      </c>
      <c r="H45" s="15">
        <v>0</v>
      </c>
      <c r="I45" s="5">
        <v>657</v>
      </c>
      <c r="J45" s="2" t="s">
        <v>8</v>
      </c>
    </row>
    <row r="46" spans="4:13" x14ac:dyDescent="0.25">
      <c r="E46" s="2" t="s">
        <v>103</v>
      </c>
      <c r="F46" s="5">
        <v>2500</v>
      </c>
      <c r="G46" s="14">
        <v>2.1475999999999998E-4</v>
      </c>
      <c r="H46" s="15">
        <v>0</v>
      </c>
      <c r="I46" s="5">
        <v>446</v>
      </c>
      <c r="J46" s="2" t="s">
        <v>54</v>
      </c>
    </row>
    <row r="47" spans="4:13" x14ac:dyDescent="0.25">
      <c r="E47" s="2" t="s">
        <v>104</v>
      </c>
      <c r="F47" s="5">
        <v>602.9</v>
      </c>
      <c r="G47" s="14">
        <v>5.5802199999999992E-4</v>
      </c>
      <c r="H47" s="15">
        <v>0</v>
      </c>
      <c r="I47" s="5">
        <v>667</v>
      </c>
      <c r="J47" s="2" t="s">
        <v>54</v>
      </c>
    </row>
    <row r="48" spans="4:13" x14ac:dyDescent="0.25">
      <c r="E48" s="2" t="s">
        <v>109</v>
      </c>
      <c r="F48" s="5">
        <v>2500</v>
      </c>
      <c r="G48" s="14">
        <v>7.6500580000000003E-5</v>
      </c>
      <c r="H48" s="15">
        <v>0</v>
      </c>
      <c r="I48" s="5">
        <v>445</v>
      </c>
      <c r="J48" s="2" t="s">
        <v>10</v>
      </c>
    </row>
    <row r="49" spans="4:12" x14ac:dyDescent="0.25">
      <c r="E49" s="2" t="s">
        <v>110</v>
      </c>
      <c r="F49" s="5">
        <v>1920</v>
      </c>
      <c r="G49" s="14">
        <v>1.0159209999999999E-3</v>
      </c>
      <c r="H49" s="15">
        <v>0</v>
      </c>
      <c r="I49" s="5">
        <v>462</v>
      </c>
      <c r="J49" s="2" t="s">
        <v>64</v>
      </c>
    </row>
    <row r="50" spans="4:12" x14ac:dyDescent="0.25">
      <c r="E50" s="2" t="s">
        <v>117</v>
      </c>
      <c r="F50" s="5">
        <v>2500</v>
      </c>
      <c r="G50" s="14">
        <v>9.7067979999999998E-5</v>
      </c>
      <c r="H50" s="15">
        <v>0</v>
      </c>
      <c r="I50" s="5">
        <v>444</v>
      </c>
      <c r="J50" s="2" t="s">
        <v>10</v>
      </c>
    </row>
    <row r="51" spans="4:12" x14ac:dyDescent="0.25">
      <c r="E51" s="2" t="s">
        <v>119</v>
      </c>
      <c r="F51" s="5">
        <v>2400</v>
      </c>
      <c r="G51" s="14">
        <v>1.2073051999999999E-4</v>
      </c>
      <c r="H51" s="15">
        <v>0</v>
      </c>
      <c r="I51" s="5">
        <v>442</v>
      </c>
      <c r="J51" s="2" t="s">
        <v>10</v>
      </c>
      <c r="K51" s="3">
        <v>0.4370162194961299</v>
      </c>
      <c r="L51" s="3">
        <v>0.13110486584883896</v>
      </c>
    </row>
    <row r="52" spans="4:12" x14ac:dyDescent="0.25">
      <c r="D52" s="16" t="s">
        <v>153</v>
      </c>
      <c r="E52" s="2" t="s">
        <v>122</v>
      </c>
      <c r="F52" s="5">
        <v>2340</v>
      </c>
      <c r="G52" s="17">
        <v>8.5607599999999997E-5</v>
      </c>
      <c r="H52" s="18">
        <v>0</v>
      </c>
      <c r="I52" s="5">
        <v>452</v>
      </c>
      <c r="J52" s="2" t="s">
        <v>10</v>
      </c>
      <c r="K52" s="3">
        <v>0.47690759443622321</v>
      </c>
      <c r="L52" s="3">
        <v>0.14307227833086697</v>
      </c>
    </row>
  </sheetData>
  <printOptions gridLines="1"/>
  <pageMargins left="0.75" right="0.75" top="1" bottom="1" header="0.5" footer="0.5"/>
  <pageSetup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9.9978637043366805E-2"/>
    <pageSetUpPr fitToPage="1"/>
  </sheetPr>
  <dimension ref="A1:G28"/>
  <sheetViews>
    <sheetView zoomScale="130" zoomScaleNormal="130" workbookViewId="0">
      <selection activeCell="F14" sqref="F14"/>
    </sheetView>
  </sheetViews>
  <sheetFormatPr defaultColWidth="19.6640625" defaultRowHeight="13.2" x14ac:dyDescent="0.25"/>
  <cols>
    <col min="1" max="16384" width="19.6640625" style="2"/>
  </cols>
  <sheetData>
    <row r="1" spans="1:7" ht="15" x14ac:dyDescent="0.25">
      <c r="A1" s="19" t="s">
        <v>76</v>
      </c>
      <c r="B1" s="20"/>
      <c r="C1" s="20"/>
      <c r="D1" s="21"/>
      <c r="E1" s="21"/>
      <c r="F1" s="21"/>
      <c r="G1" s="21"/>
    </row>
    <row r="2" spans="1:7" x14ac:dyDescent="0.25">
      <c r="A2" s="20"/>
      <c r="B2" s="20"/>
      <c r="C2" s="20"/>
      <c r="D2" s="21"/>
      <c r="E2" s="21"/>
      <c r="F2" s="21"/>
      <c r="G2" s="21"/>
    </row>
    <row r="3" spans="1:7" x14ac:dyDescent="0.25">
      <c r="A3" s="20"/>
      <c r="B3" s="20"/>
      <c r="C3" s="20"/>
      <c r="D3" s="21"/>
      <c r="E3" s="21"/>
      <c r="F3" s="21"/>
      <c r="G3" s="21"/>
    </row>
    <row r="4" spans="1:7" x14ac:dyDescent="0.25">
      <c r="A4" s="20"/>
      <c r="B4" s="20"/>
      <c r="C4" s="20"/>
      <c r="D4" s="21"/>
      <c r="E4" s="21"/>
      <c r="F4" s="21"/>
      <c r="G4" s="21"/>
    </row>
    <row r="5" spans="1:7" x14ac:dyDescent="0.25">
      <c r="A5" s="20"/>
      <c r="B5" s="20"/>
      <c r="C5" s="20" t="s">
        <v>73</v>
      </c>
      <c r="D5" s="21" t="s">
        <v>11</v>
      </c>
      <c r="E5" s="21" t="s">
        <v>134</v>
      </c>
      <c r="F5" s="21" t="s">
        <v>135</v>
      </c>
      <c r="G5" s="21" t="s">
        <v>136</v>
      </c>
    </row>
    <row r="6" spans="1:7" x14ac:dyDescent="0.25">
      <c r="A6" s="20"/>
      <c r="B6" s="20"/>
      <c r="C6" s="20" t="s">
        <v>75</v>
      </c>
      <c r="D6" s="21" t="s">
        <v>120</v>
      </c>
      <c r="E6" s="21" t="s">
        <v>120</v>
      </c>
      <c r="F6" s="21" t="s">
        <v>120</v>
      </c>
      <c r="G6" s="21" t="s">
        <v>137</v>
      </c>
    </row>
    <row r="7" spans="1:7" x14ac:dyDescent="0.25">
      <c r="A7" s="20"/>
      <c r="B7" s="20"/>
      <c r="C7" s="20" t="s">
        <v>120</v>
      </c>
      <c r="D7" s="21" t="s">
        <v>13</v>
      </c>
      <c r="E7" s="21" t="s">
        <v>13</v>
      </c>
      <c r="F7" s="21" t="s">
        <v>138</v>
      </c>
      <c r="G7" s="21" t="s">
        <v>138</v>
      </c>
    </row>
    <row r="8" spans="1:7" x14ac:dyDescent="0.25">
      <c r="A8" s="20"/>
      <c r="B8" s="20"/>
      <c r="C8" s="20" t="s">
        <v>0</v>
      </c>
      <c r="D8" s="21" t="s">
        <v>0</v>
      </c>
      <c r="E8" s="21" t="s">
        <v>0</v>
      </c>
      <c r="F8" s="21" t="s">
        <v>0</v>
      </c>
      <c r="G8" s="21" t="s">
        <v>0</v>
      </c>
    </row>
    <row r="9" spans="1:7" x14ac:dyDescent="0.25">
      <c r="A9" s="20"/>
      <c r="B9" s="20"/>
      <c r="C9" s="20"/>
      <c r="D9" s="21"/>
      <c r="E9" s="21"/>
      <c r="F9" s="21"/>
      <c r="G9" s="21"/>
    </row>
    <row r="10" spans="1:7" x14ac:dyDescent="0.25">
      <c r="A10" s="20"/>
      <c r="B10" s="20"/>
      <c r="C10" s="22">
        <v>250</v>
      </c>
      <c r="D10" s="22">
        <v>750</v>
      </c>
      <c r="E10" s="22">
        <v>50</v>
      </c>
      <c r="F10" s="22">
        <v>500</v>
      </c>
      <c r="G10" s="22">
        <v>125</v>
      </c>
    </row>
    <row r="11" spans="1:7" x14ac:dyDescent="0.25">
      <c r="A11" s="20"/>
      <c r="B11" s="20"/>
      <c r="C11" s="20"/>
      <c r="D11" s="21"/>
      <c r="E11" s="21"/>
      <c r="F11" s="21"/>
      <c r="G11" s="21"/>
    </row>
    <row r="12" spans="1:7" x14ac:dyDescent="0.25">
      <c r="D12" s="23"/>
      <c r="E12" s="23"/>
      <c r="F12" s="23"/>
      <c r="G12" s="23"/>
    </row>
    <row r="13" spans="1:7" ht="22.2" x14ac:dyDescent="0.35">
      <c r="A13" s="24" t="s">
        <v>139</v>
      </c>
      <c r="B13" s="25"/>
      <c r="C13" s="25"/>
      <c r="D13" s="26"/>
      <c r="E13" s="26"/>
      <c r="F13" s="27">
        <f>31527*(C10*(E10/(D10+E10))*(F10/(F10+G10)))</f>
        <v>394087.5</v>
      </c>
      <c r="G13" s="28"/>
    </row>
    <row r="14" spans="1:7" x14ac:dyDescent="0.25">
      <c r="D14" s="23"/>
      <c r="E14" s="23"/>
      <c r="F14" s="23"/>
      <c r="G14" s="23"/>
    </row>
    <row r="15" spans="1:7" x14ac:dyDescent="0.25">
      <c r="A15" s="20"/>
      <c r="B15" s="20"/>
      <c r="C15" s="20"/>
      <c r="D15" s="20"/>
      <c r="E15" s="20"/>
    </row>
    <row r="16" spans="1:7" x14ac:dyDescent="0.25">
      <c r="A16" s="20"/>
      <c r="B16" s="20"/>
      <c r="C16" s="20"/>
      <c r="D16" s="20"/>
      <c r="E16" s="20"/>
    </row>
    <row r="17" spans="1:5" x14ac:dyDescent="0.25">
      <c r="A17" s="20"/>
      <c r="B17" s="20"/>
      <c r="C17" s="20"/>
      <c r="D17" s="20"/>
      <c r="E17" s="20"/>
    </row>
    <row r="18" spans="1:5" x14ac:dyDescent="0.25">
      <c r="A18" s="20"/>
      <c r="B18" s="20"/>
      <c r="C18" s="20"/>
      <c r="D18" s="20"/>
      <c r="E18" s="20"/>
    </row>
    <row r="19" spans="1:5" x14ac:dyDescent="0.25">
      <c r="A19" s="20"/>
      <c r="B19" s="20"/>
      <c r="C19" s="20"/>
      <c r="D19" s="20"/>
      <c r="E19" s="20"/>
    </row>
    <row r="20" spans="1:5" x14ac:dyDescent="0.25">
      <c r="A20" s="20"/>
      <c r="B20" s="20"/>
      <c r="C20" s="20"/>
      <c r="D20" s="20"/>
      <c r="E20" s="20"/>
    </row>
    <row r="21" spans="1:5" x14ac:dyDescent="0.25">
      <c r="A21" s="20"/>
      <c r="B21" s="20"/>
      <c r="C21" s="20"/>
      <c r="D21" s="20"/>
      <c r="E21" s="20"/>
    </row>
    <row r="22" spans="1:5" x14ac:dyDescent="0.25">
      <c r="A22" s="20"/>
      <c r="B22" s="20"/>
      <c r="C22" s="20"/>
      <c r="D22" s="20"/>
      <c r="E22" s="20"/>
    </row>
    <row r="23" spans="1:5" x14ac:dyDescent="0.25">
      <c r="A23" s="20"/>
      <c r="B23" s="20"/>
      <c r="C23" s="20"/>
      <c r="D23" s="20"/>
      <c r="E23" s="20"/>
    </row>
    <row r="24" spans="1:5" x14ac:dyDescent="0.25">
      <c r="A24" s="20"/>
      <c r="B24" s="20"/>
      <c r="C24" s="20"/>
      <c r="D24" s="20"/>
      <c r="E24" s="20"/>
    </row>
    <row r="25" spans="1:5" x14ac:dyDescent="0.25">
      <c r="A25" s="20"/>
      <c r="B25" s="20"/>
      <c r="C25" s="20"/>
      <c r="D25" s="20"/>
      <c r="E25" s="20"/>
    </row>
    <row r="26" spans="1:5" x14ac:dyDescent="0.25">
      <c r="A26" s="20"/>
      <c r="B26" s="20"/>
      <c r="C26" s="20"/>
      <c r="D26" s="20"/>
      <c r="E26" s="20"/>
    </row>
    <row r="27" spans="1:5" x14ac:dyDescent="0.25">
      <c r="A27" s="20"/>
      <c r="B27" s="20"/>
      <c r="C27" s="20"/>
      <c r="D27" s="20"/>
      <c r="E27" s="20"/>
    </row>
    <row r="28" spans="1:5" x14ac:dyDescent="0.25">
      <c r="A28" s="20"/>
      <c r="B28" s="20"/>
      <c r="C28" s="20"/>
      <c r="D28" s="20"/>
      <c r="E28" s="20"/>
    </row>
  </sheetData>
  <pageMargins left="0.75" right="0.75" top="1" bottom="1" header="0.5" footer="0.5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1"/>
    <pageSetUpPr fitToPage="1"/>
  </sheetPr>
  <dimension ref="A2:AJ198"/>
  <sheetViews>
    <sheetView tabSelected="1" workbookViewId="0">
      <selection activeCell="F90" sqref="F90:F198"/>
    </sheetView>
  </sheetViews>
  <sheetFormatPr defaultColWidth="9.109375" defaultRowHeight="13.2" x14ac:dyDescent="0.25"/>
  <cols>
    <col min="1" max="1" width="16.88671875" style="2" customWidth="1"/>
    <col min="2" max="2" width="10" style="32" bestFit="1" customWidth="1"/>
    <col min="3" max="4" width="8.88671875" style="2" customWidth="1"/>
    <col min="5" max="5" width="10.88671875" style="2" customWidth="1"/>
    <col min="6" max="6" width="8.88671875" style="4" customWidth="1"/>
    <col min="7" max="7" width="9.44140625" style="5" customWidth="1"/>
    <col min="8" max="8" width="15.88671875" style="4" bestFit="1" customWidth="1"/>
    <col min="9" max="9" width="8.88671875" style="5" customWidth="1"/>
    <col min="10" max="10" width="11.5546875" style="30" customWidth="1"/>
    <col min="11" max="27" width="11" style="31" customWidth="1"/>
    <col min="28" max="28" width="12.109375" style="31" customWidth="1"/>
    <col min="29" max="35" width="11" style="31" customWidth="1"/>
    <col min="36" max="43" width="11" style="2" customWidth="1"/>
    <col min="44" max="239" width="8.44140625" style="2" customWidth="1"/>
    <col min="240" max="16384" width="9.109375" style="2"/>
  </cols>
  <sheetData>
    <row r="2" spans="1:36" x14ac:dyDescent="0.25">
      <c r="A2" s="2" t="s">
        <v>108</v>
      </c>
      <c r="B2" s="29"/>
    </row>
    <row r="4" spans="1:36" ht="20.399999999999999" x14ac:dyDescent="0.35">
      <c r="S4" s="33" t="s">
        <v>92</v>
      </c>
    </row>
    <row r="6" spans="1:36" s="23" customFormat="1" x14ac:dyDescent="0.25">
      <c r="A6" s="34"/>
      <c r="B6" s="35"/>
      <c r="C6" s="36"/>
      <c r="D6" s="36"/>
      <c r="E6" s="36"/>
      <c r="F6" s="37" t="s">
        <v>107</v>
      </c>
      <c r="G6" s="38" t="s">
        <v>73</v>
      </c>
      <c r="H6" s="37" t="s">
        <v>151</v>
      </c>
      <c r="I6" s="38" t="s">
        <v>65</v>
      </c>
      <c r="J6" s="39" t="s">
        <v>17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1"/>
    </row>
    <row r="7" spans="1:36" s="23" customFormat="1" x14ac:dyDescent="0.25">
      <c r="A7" s="42"/>
      <c r="B7" s="43"/>
      <c r="C7" s="44"/>
      <c r="D7" s="44"/>
      <c r="E7" s="44"/>
      <c r="F7" s="45" t="s">
        <v>66</v>
      </c>
      <c r="G7" s="46" t="s">
        <v>75</v>
      </c>
      <c r="H7" s="45" t="s">
        <v>13</v>
      </c>
      <c r="I7" s="46" t="s">
        <v>120</v>
      </c>
      <c r="J7" s="47" t="s">
        <v>9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1"/>
    </row>
    <row r="8" spans="1:36" s="23" customFormat="1" x14ac:dyDescent="0.25">
      <c r="A8" s="42"/>
      <c r="B8" s="43"/>
      <c r="C8" s="44"/>
      <c r="D8" s="44"/>
      <c r="E8" s="44" t="s">
        <v>112</v>
      </c>
      <c r="F8" s="45" t="s">
        <v>120</v>
      </c>
      <c r="G8" s="46" t="s">
        <v>120</v>
      </c>
      <c r="H8" s="45" t="s">
        <v>120</v>
      </c>
      <c r="I8" s="46" t="s">
        <v>74</v>
      </c>
      <c r="J8" s="47" t="s">
        <v>106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1"/>
    </row>
    <row r="9" spans="1:36" s="23" customFormat="1" x14ac:dyDescent="0.25">
      <c r="A9" s="49" t="s">
        <v>88</v>
      </c>
      <c r="B9" s="50" t="s">
        <v>46</v>
      </c>
      <c r="C9" s="51" t="s">
        <v>115</v>
      </c>
      <c r="D9" s="51" t="s">
        <v>90</v>
      </c>
      <c r="E9" s="51" t="s">
        <v>87</v>
      </c>
      <c r="F9" s="52" t="s">
        <v>1</v>
      </c>
      <c r="G9" s="53" t="s">
        <v>0</v>
      </c>
      <c r="H9" s="52" t="s">
        <v>2</v>
      </c>
      <c r="I9" s="53" t="s">
        <v>0</v>
      </c>
      <c r="J9" s="54"/>
      <c r="K9" s="55" t="s">
        <v>34</v>
      </c>
      <c r="L9" s="55" t="s">
        <v>31</v>
      </c>
      <c r="M9" s="55" t="s">
        <v>30</v>
      </c>
      <c r="N9" s="55" t="s">
        <v>93</v>
      </c>
      <c r="O9" s="55" t="s">
        <v>6</v>
      </c>
      <c r="P9" s="55" t="s">
        <v>67</v>
      </c>
      <c r="Q9" s="55" t="s">
        <v>7</v>
      </c>
      <c r="R9" s="55" t="s">
        <v>85</v>
      </c>
      <c r="S9" s="55" t="s">
        <v>102</v>
      </c>
      <c r="T9" s="55" t="s">
        <v>118</v>
      </c>
      <c r="U9" s="55" t="s">
        <v>49</v>
      </c>
      <c r="V9" s="55" t="s">
        <v>19</v>
      </c>
      <c r="W9" s="55" t="s">
        <v>15</v>
      </c>
      <c r="X9" s="55" t="s">
        <v>52</v>
      </c>
      <c r="Y9" s="55" t="s">
        <v>79</v>
      </c>
      <c r="Z9" s="55" t="s">
        <v>121</v>
      </c>
      <c r="AA9" s="55" t="s">
        <v>69</v>
      </c>
      <c r="AB9" s="55" t="s">
        <v>134</v>
      </c>
      <c r="AC9" s="55" t="s">
        <v>29</v>
      </c>
      <c r="AD9" s="55" t="s">
        <v>32</v>
      </c>
      <c r="AE9" s="55" t="s">
        <v>28</v>
      </c>
      <c r="AF9" s="55" t="s">
        <v>33</v>
      </c>
      <c r="AG9" s="55" t="s">
        <v>142</v>
      </c>
      <c r="AH9" s="55" t="s">
        <v>143</v>
      </c>
      <c r="AI9" s="41" t="s">
        <v>84</v>
      </c>
      <c r="AJ9" s="23" t="s">
        <v>45</v>
      </c>
    </row>
    <row r="10" spans="1:36" x14ac:dyDescent="0.25">
      <c r="A10" s="56" t="s">
        <v>25</v>
      </c>
      <c r="B10" s="57"/>
      <c r="C10" s="56"/>
      <c r="D10" s="56"/>
      <c r="E10" s="56"/>
      <c r="F10" s="58"/>
      <c r="G10" s="59"/>
      <c r="H10" s="58"/>
      <c r="I10" s="59"/>
      <c r="J10" s="60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</row>
    <row r="11" spans="1:36" x14ac:dyDescent="0.25">
      <c r="A11" s="2">
        <v>1</v>
      </c>
      <c r="B11" s="32">
        <v>45809</v>
      </c>
      <c r="C11" s="2" t="s">
        <v>163</v>
      </c>
      <c r="F11" s="4">
        <v>0.1</v>
      </c>
      <c r="G11" s="5">
        <v>250</v>
      </c>
      <c r="H11" s="4">
        <v>0.8</v>
      </c>
      <c r="I11" s="5">
        <v>400</v>
      </c>
      <c r="J11" s="30">
        <v>1.25</v>
      </c>
      <c r="K11" s="100">
        <v>92030</v>
      </c>
      <c r="L11" s="100">
        <v>0</v>
      </c>
      <c r="M11" s="100">
        <v>155742</v>
      </c>
      <c r="N11" s="100">
        <v>11967</v>
      </c>
      <c r="O11" s="100">
        <v>0</v>
      </c>
      <c r="P11" s="100">
        <v>659149</v>
      </c>
      <c r="Q11" s="100">
        <v>4285</v>
      </c>
      <c r="R11" s="100">
        <v>159456</v>
      </c>
      <c r="S11" s="100">
        <v>0</v>
      </c>
      <c r="T11" s="100">
        <v>245619</v>
      </c>
      <c r="U11" s="100">
        <v>713555</v>
      </c>
      <c r="V11" s="100">
        <v>51550</v>
      </c>
      <c r="W11" s="100">
        <v>182650</v>
      </c>
      <c r="X11" s="100">
        <v>45035</v>
      </c>
      <c r="Y11" s="100">
        <v>319530</v>
      </c>
      <c r="Z11" s="100">
        <v>384517</v>
      </c>
      <c r="AA11" s="100">
        <v>36522</v>
      </c>
      <c r="AB11" s="100">
        <v>302433</v>
      </c>
      <c r="AC11" s="100">
        <v>186925</v>
      </c>
      <c r="AD11" s="100">
        <v>44990</v>
      </c>
      <c r="AE11" s="100">
        <v>1706500</v>
      </c>
      <c r="AF11" s="100">
        <v>36616</v>
      </c>
      <c r="AG11" s="100">
        <v>0</v>
      </c>
      <c r="AH11" s="100">
        <v>416293</v>
      </c>
      <c r="AI11" s="100">
        <v>34242</v>
      </c>
      <c r="AJ11" s="100">
        <v>13983</v>
      </c>
    </row>
    <row r="12" spans="1:36" x14ac:dyDescent="0.25">
      <c r="A12" s="2">
        <v>2</v>
      </c>
      <c r="B12" s="32">
        <v>45809</v>
      </c>
      <c r="C12" s="2" t="s">
        <v>163</v>
      </c>
      <c r="F12" s="4">
        <v>0.1</v>
      </c>
      <c r="G12" s="5">
        <v>250</v>
      </c>
      <c r="H12" s="4">
        <v>0.8</v>
      </c>
      <c r="I12" s="5">
        <v>400</v>
      </c>
      <c r="J12" s="30">
        <v>1.25</v>
      </c>
      <c r="K12" s="100">
        <v>62448</v>
      </c>
      <c r="L12" s="100">
        <v>0</v>
      </c>
      <c r="M12" s="100">
        <v>134223</v>
      </c>
      <c r="N12" s="100">
        <v>19049</v>
      </c>
      <c r="O12" s="100">
        <v>0</v>
      </c>
      <c r="P12" s="100">
        <v>652985</v>
      </c>
      <c r="Q12" s="100">
        <v>0</v>
      </c>
      <c r="R12" s="100">
        <v>163541</v>
      </c>
      <c r="S12" s="100">
        <v>0</v>
      </c>
      <c r="T12" s="100">
        <v>299991</v>
      </c>
      <c r="U12" s="100">
        <v>690212</v>
      </c>
      <c r="V12" s="100">
        <v>105248</v>
      </c>
      <c r="W12" s="100">
        <v>193217</v>
      </c>
      <c r="X12" s="100">
        <v>42277</v>
      </c>
      <c r="Y12" s="100">
        <v>317935</v>
      </c>
      <c r="Z12" s="100">
        <v>384473</v>
      </c>
      <c r="AA12" s="100">
        <v>35428</v>
      </c>
      <c r="AB12" s="100">
        <v>311790</v>
      </c>
      <c r="AC12" s="100">
        <v>189029</v>
      </c>
      <c r="AD12" s="100">
        <v>41263</v>
      </c>
      <c r="AE12" s="100">
        <v>1749729</v>
      </c>
      <c r="AF12" s="100">
        <v>40917</v>
      </c>
      <c r="AG12" s="100">
        <v>9317</v>
      </c>
      <c r="AH12" s="100">
        <v>410422</v>
      </c>
      <c r="AI12" s="100">
        <v>0</v>
      </c>
      <c r="AJ12" s="100">
        <v>13718</v>
      </c>
    </row>
    <row r="13" spans="1:36" x14ac:dyDescent="0.25">
      <c r="A13" s="2">
        <v>3</v>
      </c>
      <c r="B13" s="32">
        <v>45809</v>
      </c>
      <c r="C13" s="2" t="s">
        <v>164</v>
      </c>
      <c r="F13" s="4">
        <v>0.1</v>
      </c>
      <c r="G13" s="5">
        <v>250</v>
      </c>
      <c r="H13" s="4">
        <v>0.8</v>
      </c>
      <c r="I13" s="5">
        <v>400</v>
      </c>
      <c r="J13" s="30">
        <v>1.25</v>
      </c>
      <c r="K13" s="100">
        <v>51696</v>
      </c>
      <c r="L13" s="100">
        <v>0</v>
      </c>
      <c r="M13" s="100">
        <v>85770</v>
      </c>
      <c r="N13" s="100">
        <v>3702</v>
      </c>
      <c r="O13" s="100">
        <v>0</v>
      </c>
      <c r="P13" s="100">
        <v>443400</v>
      </c>
      <c r="Q13" s="100">
        <v>0</v>
      </c>
      <c r="R13" s="100">
        <v>147242</v>
      </c>
      <c r="S13" s="100">
        <v>0</v>
      </c>
      <c r="T13" s="100">
        <v>225387</v>
      </c>
      <c r="U13" s="100">
        <v>624782</v>
      </c>
      <c r="V13" s="100">
        <v>79843</v>
      </c>
      <c r="W13" s="100">
        <v>201631</v>
      </c>
      <c r="X13" s="100">
        <v>32197</v>
      </c>
      <c r="Y13" s="100">
        <v>351904</v>
      </c>
      <c r="Z13" s="100">
        <v>510445</v>
      </c>
      <c r="AA13" s="100">
        <v>32867</v>
      </c>
      <c r="AB13" s="100">
        <v>366166</v>
      </c>
      <c r="AC13" s="100">
        <v>173832</v>
      </c>
      <c r="AD13" s="100">
        <v>34767</v>
      </c>
      <c r="AE13" s="100">
        <v>1494339</v>
      </c>
      <c r="AF13" s="100">
        <v>39951</v>
      </c>
      <c r="AG13" s="100">
        <v>40669</v>
      </c>
      <c r="AH13" s="100">
        <v>428606</v>
      </c>
      <c r="AI13" s="100">
        <v>50653</v>
      </c>
      <c r="AJ13" s="100">
        <v>12720</v>
      </c>
    </row>
    <row r="14" spans="1:36" x14ac:dyDescent="0.25">
      <c r="A14" s="2">
        <v>4</v>
      </c>
      <c r="B14" s="32">
        <v>45809</v>
      </c>
      <c r="C14" s="2" t="s">
        <v>164</v>
      </c>
      <c r="F14" s="4">
        <v>0.1</v>
      </c>
      <c r="G14" s="5">
        <v>250</v>
      </c>
      <c r="H14" s="4">
        <v>0.8</v>
      </c>
      <c r="I14" s="5">
        <v>400</v>
      </c>
      <c r="J14" s="30">
        <v>1.25</v>
      </c>
      <c r="K14" s="100">
        <v>43556</v>
      </c>
      <c r="L14" s="100">
        <v>0</v>
      </c>
      <c r="M14" s="100">
        <v>78978</v>
      </c>
      <c r="N14" s="100">
        <v>10817</v>
      </c>
      <c r="O14" s="100">
        <v>0</v>
      </c>
      <c r="P14" s="100">
        <v>366462</v>
      </c>
      <c r="Q14" s="100">
        <v>0</v>
      </c>
      <c r="R14" s="100">
        <v>119987</v>
      </c>
      <c r="S14" s="100">
        <v>0</v>
      </c>
      <c r="T14" s="100">
        <v>185729</v>
      </c>
      <c r="U14" s="100">
        <v>540536</v>
      </c>
      <c r="V14" s="100">
        <v>65553</v>
      </c>
      <c r="W14" s="100">
        <v>177749</v>
      </c>
      <c r="X14" s="100">
        <v>28532</v>
      </c>
      <c r="Y14" s="100">
        <v>315208</v>
      </c>
      <c r="Z14" s="100">
        <v>471852</v>
      </c>
      <c r="AA14" s="100">
        <v>28807</v>
      </c>
      <c r="AB14" s="100">
        <v>329639</v>
      </c>
      <c r="AC14" s="100">
        <v>147330</v>
      </c>
      <c r="AD14" s="100">
        <v>29402</v>
      </c>
      <c r="AE14" s="100">
        <v>1264744</v>
      </c>
      <c r="AF14" s="100">
        <v>34318</v>
      </c>
      <c r="AG14" s="100">
        <v>36354</v>
      </c>
      <c r="AH14" s="100">
        <v>373079</v>
      </c>
      <c r="AI14" s="100">
        <v>42936</v>
      </c>
      <c r="AJ14" s="100">
        <v>9493</v>
      </c>
    </row>
    <row r="15" spans="1:36" x14ac:dyDescent="0.25">
      <c r="A15" s="2">
        <v>5</v>
      </c>
      <c r="B15" s="32">
        <v>45809</v>
      </c>
      <c r="C15" s="2" t="s">
        <v>173</v>
      </c>
      <c r="F15" s="4">
        <v>0.1</v>
      </c>
      <c r="G15" s="5">
        <v>250</v>
      </c>
      <c r="H15" s="4">
        <v>0.8</v>
      </c>
      <c r="I15" s="5">
        <v>400</v>
      </c>
      <c r="J15" s="30">
        <v>1.25</v>
      </c>
      <c r="K15" s="100">
        <v>48972</v>
      </c>
      <c r="L15" s="100">
        <v>0</v>
      </c>
      <c r="M15" s="100">
        <v>75703</v>
      </c>
      <c r="N15" s="100">
        <v>11680</v>
      </c>
      <c r="O15" s="100">
        <v>0</v>
      </c>
      <c r="P15" s="100">
        <v>301593</v>
      </c>
      <c r="Q15" s="100">
        <v>10780</v>
      </c>
      <c r="R15" s="100">
        <v>212933</v>
      </c>
      <c r="S15" s="100">
        <v>0</v>
      </c>
      <c r="T15" s="100">
        <v>244792</v>
      </c>
      <c r="U15" s="100">
        <v>500132</v>
      </c>
      <c r="V15" s="100">
        <v>61731</v>
      </c>
      <c r="W15" s="100">
        <v>218838</v>
      </c>
      <c r="X15" s="100">
        <v>29297</v>
      </c>
      <c r="Y15" s="100">
        <v>507787</v>
      </c>
      <c r="Z15" s="100">
        <v>470112</v>
      </c>
      <c r="AA15" s="100">
        <v>38505</v>
      </c>
      <c r="AB15" s="100">
        <v>370917</v>
      </c>
      <c r="AC15" s="100">
        <v>250911</v>
      </c>
      <c r="AD15" s="100">
        <v>42583</v>
      </c>
      <c r="AE15" s="100">
        <v>1720525</v>
      </c>
      <c r="AF15" s="100">
        <v>42458</v>
      </c>
      <c r="AG15" s="100">
        <v>71851</v>
      </c>
      <c r="AH15" s="100">
        <v>445168</v>
      </c>
      <c r="AI15" s="100">
        <v>40858</v>
      </c>
      <c r="AJ15" s="100">
        <v>16107</v>
      </c>
    </row>
    <row r="16" spans="1:36" x14ac:dyDescent="0.25">
      <c r="A16" s="2">
        <v>6</v>
      </c>
      <c r="B16" s="32">
        <v>45809</v>
      </c>
      <c r="C16" s="2" t="s">
        <v>173</v>
      </c>
      <c r="F16" s="4">
        <v>0.1</v>
      </c>
      <c r="G16" s="5">
        <v>250</v>
      </c>
      <c r="H16" s="4">
        <v>0.8</v>
      </c>
      <c r="I16" s="5">
        <v>400</v>
      </c>
      <c r="J16" s="30">
        <v>1.25</v>
      </c>
      <c r="K16" s="100">
        <v>59967</v>
      </c>
      <c r="L16" s="100">
        <v>0</v>
      </c>
      <c r="M16" s="100">
        <v>83780</v>
      </c>
      <c r="N16" s="100">
        <v>9211</v>
      </c>
      <c r="O16" s="100">
        <v>0</v>
      </c>
      <c r="P16" s="100">
        <v>297169</v>
      </c>
      <c r="Q16" s="100">
        <v>13039</v>
      </c>
      <c r="R16" s="100">
        <v>217726</v>
      </c>
      <c r="S16" s="100">
        <v>0</v>
      </c>
      <c r="T16" s="100">
        <v>251703</v>
      </c>
      <c r="U16" s="100">
        <v>514312</v>
      </c>
      <c r="V16" s="100">
        <v>63833</v>
      </c>
      <c r="W16" s="100">
        <v>230788</v>
      </c>
      <c r="X16" s="100">
        <v>30191</v>
      </c>
      <c r="Y16" s="100">
        <v>566274</v>
      </c>
      <c r="Z16" s="100">
        <v>488681</v>
      </c>
      <c r="AA16" s="100">
        <v>33177</v>
      </c>
      <c r="AB16" s="100">
        <v>359539</v>
      </c>
      <c r="AC16" s="100">
        <v>268890</v>
      </c>
      <c r="AD16" s="100">
        <v>46156</v>
      </c>
      <c r="AE16" s="100">
        <v>1763595</v>
      </c>
      <c r="AF16" s="100">
        <v>46375</v>
      </c>
      <c r="AG16" s="100">
        <v>76897</v>
      </c>
      <c r="AH16" s="100">
        <v>464402</v>
      </c>
      <c r="AI16" s="100">
        <v>39729</v>
      </c>
      <c r="AJ16" s="100">
        <v>16714</v>
      </c>
    </row>
    <row r="17" spans="1:36" x14ac:dyDescent="0.25">
      <c r="A17" s="2">
        <v>7</v>
      </c>
      <c r="B17" s="32">
        <v>45809</v>
      </c>
      <c r="C17" s="2" t="s">
        <v>165</v>
      </c>
      <c r="F17" s="4">
        <v>0.1</v>
      </c>
      <c r="G17" s="5">
        <v>250</v>
      </c>
      <c r="H17" s="4">
        <v>0.8</v>
      </c>
      <c r="I17" s="5">
        <v>400</v>
      </c>
      <c r="J17" s="30">
        <v>1.25</v>
      </c>
      <c r="K17" s="100">
        <v>58558</v>
      </c>
      <c r="L17" s="100">
        <v>0</v>
      </c>
      <c r="M17" s="100">
        <v>148157</v>
      </c>
      <c r="N17" s="100">
        <v>13090</v>
      </c>
      <c r="O17" s="100">
        <v>0</v>
      </c>
      <c r="P17" s="100">
        <v>821666</v>
      </c>
      <c r="Q17" s="100">
        <v>0</v>
      </c>
      <c r="R17" s="100">
        <v>95810</v>
      </c>
      <c r="S17" s="100">
        <v>0</v>
      </c>
      <c r="T17" s="100">
        <v>304100</v>
      </c>
      <c r="U17" s="100">
        <v>677506</v>
      </c>
      <c r="V17" s="100">
        <v>59771</v>
      </c>
      <c r="W17" s="100">
        <v>206643</v>
      </c>
      <c r="X17" s="100">
        <v>36905</v>
      </c>
      <c r="Y17" s="100">
        <v>404694</v>
      </c>
      <c r="Z17" s="100">
        <v>385902</v>
      </c>
      <c r="AA17" s="100">
        <v>40492</v>
      </c>
      <c r="AB17" s="100">
        <v>349004</v>
      </c>
      <c r="AC17" s="100">
        <v>224649</v>
      </c>
      <c r="AD17" s="100">
        <v>43466</v>
      </c>
      <c r="AE17" s="100">
        <v>2089468</v>
      </c>
      <c r="AF17" s="100">
        <v>53310</v>
      </c>
      <c r="AG17" s="100">
        <v>11257</v>
      </c>
      <c r="AH17" s="100">
        <v>487275</v>
      </c>
      <c r="AI17" s="100">
        <v>46851</v>
      </c>
      <c r="AJ17" s="100">
        <v>16597</v>
      </c>
    </row>
    <row r="18" spans="1:36" x14ac:dyDescent="0.25">
      <c r="A18" s="2">
        <v>8</v>
      </c>
      <c r="B18" s="32">
        <v>45809</v>
      </c>
      <c r="C18" s="2" t="s">
        <v>165</v>
      </c>
      <c r="F18" s="4">
        <v>0.1</v>
      </c>
      <c r="G18" s="5">
        <v>250</v>
      </c>
      <c r="H18" s="4">
        <v>0.8</v>
      </c>
      <c r="I18" s="5">
        <v>400</v>
      </c>
      <c r="J18" s="30">
        <v>1.25</v>
      </c>
      <c r="K18" s="100">
        <v>56641</v>
      </c>
      <c r="L18" s="100">
        <v>0</v>
      </c>
      <c r="M18" s="100">
        <v>154680</v>
      </c>
      <c r="N18" s="100">
        <v>13587</v>
      </c>
      <c r="O18" s="100">
        <v>0</v>
      </c>
      <c r="P18" s="100">
        <v>918788</v>
      </c>
      <c r="Q18" s="100">
        <v>0</v>
      </c>
      <c r="R18" s="100">
        <v>91346</v>
      </c>
      <c r="S18" s="100">
        <v>0</v>
      </c>
      <c r="T18" s="100">
        <v>304661</v>
      </c>
      <c r="U18" s="100">
        <v>733035</v>
      </c>
      <c r="V18" s="100">
        <v>47211</v>
      </c>
      <c r="W18" s="100">
        <v>207208</v>
      </c>
      <c r="X18" s="100">
        <v>38327</v>
      </c>
      <c r="Y18" s="100">
        <v>383358</v>
      </c>
      <c r="Z18" s="100">
        <v>407828</v>
      </c>
      <c r="AA18" s="100">
        <v>37264</v>
      </c>
      <c r="AB18" s="100">
        <v>370223</v>
      </c>
      <c r="AC18" s="100">
        <v>216246</v>
      </c>
      <c r="AD18" s="100">
        <v>39548</v>
      </c>
      <c r="AE18" s="100">
        <v>2207774</v>
      </c>
      <c r="AF18" s="100">
        <v>58138</v>
      </c>
      <c r="AG18" s="100">
        <v>12101</v>
      </c>
      <c r="AH18" s="100">
        <v>500329</v>
      </c>
      <c r="AI18" s="100">
        <v>50969</v>
      </c>
      <c r="AJ18" s="100">
        <v>15930</v>
      </c>
    </row>
    <row r="19" spans="1:36" x14ac:dyDescent="0.25">
      <c r="A19" s="2">
        <v>9</v>
      </c>
      <c r="B19" s="32">
        <v>45809</v>
      </c>
      <c r="C19" s="2" t="s">
        <v>166</v>
      </c>
      <c r="F19" s="4">
        <v>0.1</v>
      </c>
      <c r="G19" s="5">
        <v>250</v>
      </c>
      <c r="H19" s="4">
        <v>0.8</v>
      </c>
      <c r="I19" s="5">
        <v>400</v>
      </c>
      <c r="J19" s="30">
        <v>1.25</v>
      </c>
      <c r="K19" s="100">
        <v>41095</v>
      </c>
      <c r="L19" s="100">
        <v>0</v>
      </c>
      <c r="M19" s="100">
        <v>102330</v>
      </c>
      <c r="N19" s="100">
        <v>14764</v>
      </c>
      <c r="O19" s="100">
        <v>0</v>
      </c>
      <c r="P19" s="100">
        <v>525576</v>
      </c>
      <c r="Q19" s="100">
        <v>0</v>
      </c>
      <c r="R19" s="100">
        <v>79853</v>
      </c>
      <c r="S19" s="100">
        <v>0</v>
      </c>
      <c r="T19" s="100">
        <v>229225</v>
      </c>
      <c r="U19" s="100">
        <v>594249</v>
      </c>
      <c r="V19" s="100">
        <v>79540</v>
      </c>
      <c r="W19" s="100">
        <v>193883</v>
      </c>
      <c r="X19" s="100">
        <v>29569</v>
      </c>
      <c r="Y19" s="100">
        <v>350030</v>
      </c>
      <c r="Z19" s="100">
        <v>498945</v>
      </c>
      <c r="AA19" s="100">
        <v>30862</v>
      </c>
      <c r="AB19" s="100">
        <v>366561</v>
      </c>
      <c r="AC19" s="100">
        <v>188246</v>
      </c>
      <c r="AD19" s="100">
        <v>46815</v>
      </c>
      <c r="AE19" s="100">
        <v>1677275</v>
      </c>
      <c r="AF19" s="100">
        <v>49862</v>
      </c>
      <c r="AG19" s="100">
        <v>9226</v>
      </c>
      <c r="AH19" s="100">
        <v>443596</v>
      </c>
      <c r="AI19" s="100">
        <v>19362</v>
      </c>
      <c r="AJ19" s="100">
        <v>17335</v>
      </c>
    </row>
    <row r="20" spans="1:36" x14ac:dyDescent="0.25">
      <c r="A20" s="2">
        <v>10</v>
      </c>
      <c r="B20" s="32">
        <v>45809</v>
      </c>
      <c r="C20" s="2" t="s">
        <v>166</v>
      </c>
      <c r="F20" s="4">
        <v>0.1</v>
      </c>
      <c r="G20" s="5">
        <v>250</v>
      </c>
      <c r="H20" s="4">
        <v>0.8</v>
      </c>
      <c r="I20" s="5">
        <v>400</v>
      </c>
      <c r="J20" s="30">
        <v>1.25</v>
      </c>
      <c r="K20" s="100">
        <v>38123</v>
      </c>
      <c r="L20" s="100">
        <v>0</v>
      </c>
      <c r="M20" s="100">
        <v>94939</v>
      </c>
      <c r="N20" s="100">
        <v>12865</v>
      </c>
      <c r="O20" s="100">
        <v>0</v>
      </c>
      <c r="P20" s="100">
        <v>474316</v>
      </c>
      <c r="Q20" s="100">
        <v>0</v>
      </c>
      <c r="R20" s="100">
        <v>91852</v>
      </c>
      <c r="S20" s="100">
        <v>0</v>
      </c>
      <c r="T20" s="100">
        <v>225114</v>
      </c>
      <c r="U20" s="100">
        <v>576111</v>
      </c>
      <c r="V20" s="100">
        <v>74683</v>
      </c>
      <c r="W20" s="100">
        <v>192708</v>
      </c>
      <c r="X20" s="100">
        <v>29215</v>
      </c>
      <c r="Y20" s="100">
        <v>358562</v>
      </c>
      <c r="Z20" s="100">
        <v>541874</v>
      </c>
      <c r="AA20" s="100">
        <v>37170</v>
      </c>
      <c r="AB20" s="100">
        <v>369040</v>
      </c>
      <c r="AC20" s="100">
        <v>189892</v>
      </c>
      <c r="AD20" s="100">
        <v>43504</v>
      </c>
      <c r="AE20" s="100">
        <v>1682078</v>
      </c>
      <c r="AF20" s="100">
        <v>52211</v>
      </c>
      <c r="AG20" s="100">
        <v>44239</v>
      </c>
      <c r="AH20" s="100">
        <v>454212</v>
      </c>
      <c r="AI20" s="100">
        <v>20547</v>
      </c>
      <c r="AJ20" s="100">
        <v>15955</v>
      </c>
    </row>
    <row r="21" spans="1:36" x14ac:dyDescent="0.25">
      <c r="A21" s="2">
        <v>11</v>
      </c>
      <c r="B21" s="32">
        <v>45809</v>
      </c>
      <c r="C21" s="2" t="s">
        <v>167</v>
      </c>
      <c r="F21" s="4">
        <v>0.1</v>
      </c>
      <c r="G21" s="5">
        <v>250</v>
      </c>
      <c r="H21" s="4">
        <v>0.8</v>
      </c>
      <c r="I21" s="5">
        <v>400</v>
      </c>
      <c r="J21" s="30">
        <v>1.25</v>
      </c>
      <c r="K21" s="100">
        <v>35021</v>
      </c>
      <c r="L21" s="100">
        <v>0</v>
      </c>
      <c r="M21" s="100">
        <v>132070</v>
      </c>
      <c r="N21" s="100">
        <v>9815</v>
      </c>
      <c r="O21" s="100">
        <v>0</v>
      </c>
      <c r="P21" s="100">
        <v>867068</v>
      </c>
      <c r="Q21" s="100">
        <v>0</v>
      </c>
      <c r="R21" s="100">
        <v>192198</v>
      </c>
      <c r="S21" s="100">
        <v>0</v>
      </c>
      <c r="T21" s="100">
        <v>294493</v>
      </c>
      <c r="U21" s="100">
        <v>687431</v>
      </c>
      <c r="V21" s="100">
        <v>63693</v>
      </c>
      <c r="W21" s="100">
        <v>199281</v>
      </c>
      <c r="X21" s="100">
        <v>28616</v>
      </c>
      <c r="Y21" s="100">
        <v>404318</v>
      </c>
      <c r="Z21" s="100">
        <v>412643</v>
      </c>
      <c r="AA21" s="100">
        <v>24096</v>
      </c>
      <c r="AB21" s="100">
        <v>384491</v>
      </c>
      <c r="AC21" s="100">
        <v>212122</v>
      </c>
      <c r="AD21" s="100">
        <v>34880</v>
      </c>
      <c r="AE21" s="100">
        <v>2156838</v>
      </c>
      <c r="AF21" s="100">
        <v>65453</v>
      </c>
      <c r="AG21" s="100">
        <v>9277</v>
      </c>
      <c r="AH21" s="100">
        <v>548228</v>
      </c>
      <c r="AI21" s="100">
        <v>59140</v>
      </c>
      <c r="AJ21" s="100">
        <v>15009</v>
      </c>
    </row>
    <row r="22" spans="1:36" x14ac:dyDescent="0.25">
      <c r="A22" s="2">
        <v>12</v>
      </c>
      <c r="B22" s="32">
        <v>45809</v>
      </c>
      <c r="C22" s="2" t="s">
        <v>167</v>
      </c>
      <c r="F22" s="4">
        <v>0.1</v>
      </c>
      <c r="G22" s="5">
        <v>250</v>
      </c>
      <c r="H22" s="4">
        <v>0.8</v>
      </c>
      <c r="I22" s="5">
        <v>400</v>
      </c>
      <c r="J22" s="30">
        <v>1.25</v>
      </c>
      <c r="K22" s="100">
        <v>90278</v>
      </c>
      <c r="L22" s="100">
        <v>0</v>
      </c>
      <c r="M22" s="100">
        <v>180766</v>
      </c>
      <c r="N22" s="100">
        <v>13179</v>
      </c>
      <c r="O22" s="100">
        <v>0</v>
      </c>
      <c r="P22" s="100">
        <v>1000364</v>
      </c>
      <c r="Q22" s="100">
        <v>0</v>
      </c>
      <c r="R22" s="100">
        <v>219118</v>
      </c>
      <c r="S22" s="100">
        <v>0</v>
      </c>
      <c r="T22" s="100">
        <v>321767</v>
      </c>
      <c r="U22" s="100">
        <v>756236</v>
      </c>
      <c r="V22" s="100">
        <v>73617</v>
      </c>
      <c r="W22" s="100">
        <v>223675</v>
      </c>
      <c r="X22" s="100">
        <v>29206</v>
      </c>
      <c r="Y22" s="100">
        <v>436748</v>
      </c>
      <c r="Z22" s="100">
        <v>428496</v>
      </c>
      <c r="AA22" s="100">
        <v>50427</v>
      </c>
      <c r="AB22" s="100">
        <v>80854</v>
      </c>
      <c r="AC22" s="100">
        <v>238121</v>
      </c>
      <c r="AD22" s="100">
        <v>34680</v>
      </c>
      <c r="AE22" s="100">
        <v>2400117</v>
      </c>
      <c r="AF22" s="100">
        <v>73581</v>
      </c>
      <c r="AG22" s="100">
        <v>8899</v>
      </c>
      <c r="AH22" s="100">
        <v>595424</v>
      </c>
      <c r="AI22" s="100">
        <v>63086</v>
      </c>
      <c r="AJ22" s="100">
        <v>18289</v>
      </c>
    </row>
    <row r="23" spans="1:36" x14ac:dyDescent="0.25">
      <c r="A23" s="2">
        <v>13</v>
      </c>
      <c r="B23" s="32">
        <v>45809</v>
      </c>
      <c r="C23" s="2" t="s">
        <v>168</v>
      </c>
      <c r="F23" s="4">
        <v>0.1</v>
      </c>
      <c r="G23" s="5">
        <v>250</v>
      </c>
      <c r="H23" s="4">
        <v>0.8</v>
      </c>
      <c r="I23" s="5">
        <v>400</v>
      </c>
      <c r="J23" s="30">
        <v>1.25</v>
      </c>
      <c r="K23" s="100">
        <v>62336</v>
      </c>
      <c r="L23" s="100">
        <v>0</v>
      </c>
      <c r="M23" s="100">
        <v>99242</v>
      </c>
      <c r="N23" s="100">
        <v>10737</v>
      </c>
      <c r="O23" s="100">
        <v>0</v>
      </c>
      <c r="P23" s="100">
        <v>439217</v>
      </c>
      <c r="Q23" s="100">
        <v>12663</v>
      </c>
      <c r="R23" s="100">
        <v>225196</v>
      </c>
      <c r="S23" s="100">
        <v>0</v>
      </c>
      <c r="T23" s="100">
        <v>263033</v>
      </c>
      <c r="U23" s="100">
        <v>539363</v>
      </c>
      <c r="V23" s="100">
        <v>50518</v>
      </c>
      <c r="W23" s="100">
        <v>212170</v>
      </c>
      <c r="X23" s="100">
        <v>28374</v>
      </c>
      <c r="Y23" s="100">
        <v>507109</v>
      </c>
      <c r="Z23" s="100">
        <v>435472</v>
      </c>
      <c r="AA23" s="100">
        <v>35193</v>
      </c>
      <c r="AB23" s="100">
        <v>357085</v>
      </c>
      <c r="AC23" s="100">
        <v>251794</v>
      </c>
      <c r="AD23" s="100">
        <v>38298</v>
      </c>
      <c r="AE23" s="100">
        <v>1853953</v>
      </c>
      <c r="AF23" s="100">
        <v>60566</v>
      </c>
      <c r="AG23" s="100">
        <v>76916</v>
      </c>
      <c r="AH23" s="100">
        <v>476114</v>
      </c>
      <c r="AI23" s="100">
        <v>48131</v>
      </c>
      <c r="AJ23" s="100">
        <v>16351</v>
      </c>
    </row>
    <row r="24" spans="1:36" x14ac:dyDescent="0.25">
      <c r="A24" s="2">
        <v>14</v>
      </c>
      <c r="B24" s="32">
        <v>45809</v>
      </c>
      <c r="C24" s="2" t="s">
        <v>168</v>
      </c>
      <c r="F24" s="4">
        <v>0.1</v>
      </c>
      <c r="G24" s="5">
        <v>250</v>
      </c>
      <c r="H24" s="4">
        <v>0.8</v>
      </c>
      <c r="I24" s="5">
        <v>400</v>
      </c>
      <c r="J24" s="30">
        <v>1.25</v>
      </c>
      <c r="K24" s="100">
        <v>66342</v>
      </c>
      <c r="L24" s="100">
        <v>0</v>
      </c>
      <c r="M24" s="100">
        <v>100504</v>
      </c>
      <c r="N24" s="100">
        <v>12093</v>
      </c>
      <c r="O24" s="100">
        <v>0</v>
      </c>
      <c r="P24" s="100">
        <v>409437</v>
      </c>
      <c r="Q24" s="100">
        <v>12770</v>
      </c>
      <c r="R24" s="100">
        <v>125725</v>
      </c>
      <c r="S24" s="100">
        <v>0</v>
      </c>
      <c r="T24" s="100">
        <v>287311</v>
      </c>
      <c r="U24" s="100">
        <v>561548</v>
      </c>
      <c r="V24" s="100">
        <v>76972</v>
      </c>
      <c r="W24" s="100">
        <v>240813</v>
      </c>
      <c r="X24" s="100">
        <v>28176</v>
      </c>
      <c r="Y24" s="100">
        <v>577421</v>
      </c>
      <c r="Z24" s="100">
        <v>484168</v>
      </c>
      <c r="AA24" s="100">
        <v>37447</v>
      </c>
      <c r="AB24" s="100">
        <v>384357</v>
      </c>
      <c r="AC24" s="100">
        <v>283589</v>
      </c>
      <c r="AD24" s="100">
        <v>47920</v>
      </c>
      <c r="AE24" s="100">
        <v>1998003</v>
      </c>
      <c r="AF24" s="100">
        <v>66023</v>
      </c>
      <c r="AG24" s="100">
        <v>88201</v>
      </c>
      <c r="AH24" s="100">
        <v>523843</v>
      </c>
      <c r="AI24" s="100">
        <v>16311</v>
      </c>
      <c r="AJ24" s="100">
        <v>19587</v>
      </c>
    </row>
    <row r="25" spans="1:36" x14ac:dyDescent="0.25">
      <c r="A25" s="2">
        <v>15</v>
      </c>
      <c r="B25" s="32">
        <v>45809</v>
      </c>
      <c r="C25" s="2" t="s">
        <v>169</v>
      </c>
      <c r="F25" s="4">
        <v>0.1</v>
      </c>
      <c r="G25" s="5">
        <v>250</v>
      </c>
      <c r="H25" s="4">
        <v>0.8</v>
      </c>
      <c r="I25" s="5">
        <v>400</v>
      </c>
      <c r="J25" s="30">
        <v>1.25</v>
      </c>
      <c r="K25" s="100">
        <v>47764</v>
      </c>
      <c r="L25" s="100">
        <v>0</v>
      </c>
      <c r="M25" s="100">
        <v>143890</v>
      </c>
      <c r="N25" s="100">
        <v>14732</v>
      </c>
      <c r="O25" s="100">
        <v>0</v>
      </c>
      <c r="P25" s="100">
        <v>828383</v>
      </c>
      <c r="Q25" s="100">
        <v>0</v>
      </c>
      <c r="R25" s="100">
        <v>203908</v>
      </c>
      <c r="S25" s="100">
        <v>0</v>
      </c>
      <c r="T25" s="100">
        <v>291683</v>
      </c>
      <c r="U25" s="100">
        <v>711265</v>
      </c>
      <c r="V25" s="100">
        <v>63907</v>
      </c>
      <c r="W25" s="100">
        <v>211444</v>
      </c>
      <c r="X25" s="100">
        <v>40636</v>
      </c>
      <c r="Y25" s="100">
        <v>420739</v>
      </c>
      <c r="Z25" s="100">
        <v>450384</v>
      </c>
      <c r="AA25" s="100">
        <v>25293</v>
      </c>
      <c r="AB25" s="100">
        <v>375947</v>
      </c>
      <c r="AC25" s="100">
        <v>224462</v>
      </c>
      <c r="AD25" s="100">
        <v>43302</v>
      </c>
      <c r="AE25" s="100">
        <v>2160557</v>
      </c>
      <c r="AF25" s="100">
        <v>73168</v>
      </c>
      <c r="AG25" s="100">
        <v>2625</v>
      </c>
      <c r="AH25" s="100">
        <v>463138</v>
      </c>
      <c r="AI25" s="100">
        <v>58182</v>
      </c>
      <c r="AJ25" s="100">
        <v>16709</v>
      </c>
    </row>
    <row r="26" spans="1:36" x14ac:dyDescent="0.25">
      <c r="A26" s="2">
        <v>16</v>
      </c>
      <c r="B26" s="32">
        <v>45809</v>
      </c>
      <c r="C26" s="2" t="s">
        <v>169</v>
      </c>
      <c r="F26" s="4">
        <v>0.1</v>
      </c>
      <c r="G26" s="5">
        <v>250</v>
      </c>
      <c r="H26" s="4">
        <v>0.8</v>
      </c>
      <c r="I26" s="5">
        <v>400</v>
      </c>
      <c r="J26" s="30">
        <v>1.25</v>
      </c>
      <c r="K26" s="100">
        <v>47186</v>
      </c>
      <c r="L26" s="100">
        <v>0</v>
      </c>
      <c r="M26" s="100">
        <v>150505</v>
      </c>
      <c r="N26" s="100">
        <v>14288</v>
      </c>
      <c r="O26" s="100">
        <v>0</v>
      </c>
      <c r="P26" s="100">
        <v>873555</v>
      </c>
      <c r="Q26" s="100">
        <v>0</v>
      </c>
      <c r="R26" s="100">
        <v>199254</v>
      </c>
      <c r="S26" s="100">
        <v>0</v>
      </c>
      <c r="T26" s="100">
        <v>294331</v>
      </c>
      <c r="U26" s="100">
        <v>726792</v>
      </c>
      <c r="V26" s="100">
        <v>68978</v>
      </c>
      <c r="W26" s="100">
        <v>211704</v>
      </c>
      <c r="X26" s="100">
        <v>42703</v>
      </c>
      <c r="Y26" s="100">
        <v>388786</v>
      </c>
      <c r="Z26" s="100">
        <v>460761</v>
      </c>
      <c r="AA26" s="100">
        <v>23141</v>
      </c>
      <c r="AB26" s="100">
        <v>385008</v>
      </c>
      <c r="AC26" s="100">
        <v>220156</v>
      </c>
      <c r="AD26" s="100">
        <v>44990</v>
      </c>
      <c r="AE26" s="100">
        <v>2174664</v>
      </c>
      <c r="AF26" s="100">
        <v>74166</v>
      </c>
      <c r="AG26" s="100">
        <v>13536</v>
      </c>
      <c r="AH26" s="100">
        <v>517896</v>
      </c>
      <c r="AI26" s="100">
        <v>59699</v>
      </c>
      <c r="AJ26" s="100">
        <v>17188</v>
      </c>
    </row>
    <row r="27" spans="1:36" x14ac:dyDescent="0.25">
      <c r="A27" s="2">
        <v>17</v>
      </c>
      <c r="B27" s="32">
        <v>45809</v>
      </c>
      <c r="C27" s="2" t="s">
        <v>170</v>
      </c>
      <c r="F27" s="4">
        <v>0.1</v>
      </c>
      <c r="G27" s="5">
        <v>250</v>
      </c>
      <c r="H27" s="4">
        <v>0.8</v>
      </c>
      <c r="I27" s="5">
        <v>400</v>
      </c>
      <c r="J27" s="30">
        <v>1.25</v>
      </c>
      <c r="K27" s="100">
        <v>23062</v>
      </c>
      <c r="L27" s="100">
        <v>0</v>
      </c>
      <c r="M27" s="100">
        <v>44870</v>
      </c>
      <c r="N27" s="100">
        <v>7780</v>
      </c>
      <c r="O27" s="100">
        <v>0</v>
      </c>
      <c r="P27" s="100">
        <v>227266</v>
      </c>
      <c r="Q27" s="100">
        <v>0</v>
      </c>
      <c r="R27" s="100">
        <v>62796</v>
      </c>
      <c r="S27" s="100">
        <v>0</v>
      </c>
      <c r="T27" s="100">
        <v>88231</v>
      </c>
      <c r="U27" s="100">
        <v>267740</v>
      </c>
      <c r="V27" s="100">
        <v>48060</v>
      </c>
      <c r="W27" s="100">
        <v>68120</v>
      </c>
      <c r="X27" s="100">
        <v>28950</v>
      </c>
      <c r="Y27" s="100">
        <v>182604</v>
      </c>
      <c r="Z27" s="100">
        <v>200965</v>
      </c>
      <c r="AA27" s="100">
        <v>18675</v>
      </c>
      <c r="AB27" s="100">
        <v>398896</v>
      </c>
      <c r="AC27" s="100">
        <v>102590</v>
      </c>
      <c r="AD27" s="100">
        <v>47052</v>
      </c>
      <c r="AE27" s="100">
        <v>742316</v>
      </c>
      <c r="AF27" s="100">
        <v>24127</v>
      </c>
      <c r="AG27" s="100">
        <v>3029</v>
      </c>
      <c r="AH27" s="100">
        <v>171932</v>
      </c>
      <c r="AI27" s="100">
        <v>20370</v>
      </c>
      <c r="AJ27" s="100">
        <v>7233</v>
      </c>
    </row>
    <row r="28" spans="1:36" x14ac:dyDescent="0.25">
      <c r="A28" s="2">
        <v>18</v>
      </c>
      <c r="B28" s="32">
        <v>45809</v>
      </c>
      <c r="C28" s="2" t="s">
        <v>170</v>
      </c>
      <c r="F28" s="4">
        <v>0.1</v>
      </c>
      <c r="G28" s="5">
        <v>250</v>
      </c>
      <c r="H28" s="4">
        <v>0.8</v>
      </c>
      <c r="I28" s="5">
        <v>400</v>
      </c>
      <c r="J28" s="30">
        <v>1.25</v>
      </c>
      <c r="K28" s="100">
        <v>10603</v>
      </c>
      <c r="L28" s="100">
        <v>0</v>
      </c>
      <c r="M28" s="100">
        <v>15993</v>
      </c>
      <c r="N28" s="100">
        <v>3620</v>
      </c>
      <c r="O28" s="100">
        <v>0</v>
      </c>
      <c r="P28" s="100">
        <v>113730</v>
      </c>
      <c r="Q28" s="100">
        <v>0</v>
      </c>
      <c r="R28" s="100">
        <v>41168</v>
      </c>
      <c r="S28" s="100">
        <v>0</v>
      </c>
      <c r="T28" s="100">
        <v>51727</v>
      </c>
      <c r="U28" s="100">
        <v>175892</v>
      </c>
      <c r="V28" s="100">
        <v>32660</v>
      </c>
      <c r="W28" s="100">
        <v>42228</v>
      </c>
      <c r="X28" s="100">
        <v>22268</v>
      </c>
      <c r="Y28" s="100">
        <v>130473</v>
      </c>
      <c r="Z28" s="100">
        <v>143628</v>
      </c>
      <c r="AA28" s="100">
        <v>21841</v>
      </c>
      <c r="AB28" s="100">
        <v>397477</v>
      </c>
      <c r="AC28" s="100">
        <v>80213</v>
      </c>
      <c r="AD28" s="100">
        <v>42813</v>
      </c>
      <c r="AE28" s="100">
        <v>470269</v>
      </c>
      <c r="AF28" s="100">
        <v>16345</v>
      </c>
      <c r="AG28" s="100">
        <v>0</v>
      </c>
      <c r="AH28" s="100">
        <v>105128</v>
      </c>
      <c r="AI28" s="100">
        <v>15040</v>
      </c>
      <c r="AJ28" s="100">
        <v>5362</v>
      </c>
    </row>
    <row r="29" spans="1:36" x14ac:dyDescent="0.25">
      <c r="A29" s="2">
        <v>19</v>
      </c>
      <c r="B29" s="32">
        <v>45809</v>
      </c>
      <c r="C29" s="2" t="s">
        <v>171</v>
      </c>
      <c r="F29" s="4">
        <v>0.1</v>
      </c>
      <c r="G29" s="5">
        <v>250</v>
      </c>
      <c r="H29" s="4">
        <v>0.8</v>
      </c>
      <c r="I29" s="5">
        <v>400</v>
      </c>
      <c r="J29" s="30">
        <v>1.25</v>
      </c>
      <c r="K29" s="100">
        <v>29679</v>
      </c>
      <c r="L29" s="100">
        <v>0</v>
      </c>
      <c r="M29" s="100">
        <v>114258</v>
      </c>
      <c r="N29" s="100">
        <v>10540</v>
      </c>
      <c r="O29" s="100">
        <v>0</v>
      </c>
      <c r="P29" s="100">
        <v>773361</v>
      </c>
      <c r="Q29" s="100">
        <v>0</v>
      </c>
      <c r="R29" s="100">
        <v>184907</v>
      </c>
      <c r="S29" s="100">
        <v>0</v>
      </c>
      <c r="T29" s="100">
        <v>266152</v>
      </c>
      <c r="U29" s="100">
        <v>606597</v>
      </c>
      <c r="V29" s="100">
        <v>63767</v>
      </c>
      <c r="W29" s="100">
        <v>189394</v>
      </c>
      <c r="X29" s="100">
        <v>21057</v>
      </c>
      <c r="Y29" s="100">
        <v>378159</v>
      </c>
      <c r="Z29" s="100">
        <v>408443</v>
      </c>
      <c r="AA29" s="100">
        <v>45636</v>
      </c>
      <c r="AB29" s="100">
        <v>379062</v>
      </c>
      <c r="AC29" s="100">
        <v>194799</v>
      </c>
      <c r="AD29" s="100">
        <v>34452</v>
      </c>
      <c r="AE29" s="100">
        <v>1981834</v>
      </c>
      <c r="AF29" s="100">
        <v>75752</v>
      </c>
      <c r="AG29" s="100">
        <v>9928</v>
      </c>
      <c r="AH29" s="100">
        <v>481373</v>
      </c>
      <c r="AI29" s="100">
        <v>58559</v>
      </c>
      <c r="AJ29" s="100">
        <v>14289</v>
      </c>
    </row>
    <row r="30" spans="1:36" x14ac:dyDescent="0.25">
      <c r="A30" s="2">
        <v>20</v>
      </c>
      <c r="B30" s="32">
        <v>45809</v>
      </c>
      <c r="C30" s="2" t="s">
        <v>171</v>
      </c>
      <c r="F30" s="4">
        <v>0.1</v>
      </c>
      <c r="G30" s="5">
        <v>250</v>
      </c>
      <c r="H30" s="4">
        <v>0.8</v>
      </c>
      <c r="I30" s="5">
        <v>400</v>
      </c>
      <c r="J30" s="30">
        <v>1.25</v>
      </c>
      <c r="K30" s="100">
        <v>31894</v>
      </c>
      <c r="L30" s="100">
        <v>0</v>
      </c>
      <c r="M30" s="100">
        <v>120837</v>
      </c>
      <c r="N30" s="100">
        <v>11453</v>
      </c>
      <c r="O30" s="100">
        <v>0</v>
      </c>
      <c r="P30" s="100">
        <v>816742</v>
      </c>
      <c r="Q30" s="100">
        <v>0</v>
      </c>
      <c r="R30" s="100">
        <v>174689</v>
      </c>
      <c r="S30" s="100">
        <v>0</v>
      </c>
      <c r="T30" s="100">
        <v>275767</v>
      </c>
      <c r="U30" s="100">
        <v>603532</v>
      </c>
      <c r="V30" s="100">
        <v>65893</v>
      </c>
      <c r="W30" s="100">
        <v>188987</v>
      </c>
      <c r="X30" s="100">
        <v>20268</v>
      </c>
      <c r="Y30" s="100">
        <v>376904</v>
      </c>
      <c r="Z30" s="100">
        <v>377963</v>
      </c>
      <c r="AA30" s="100">
        <v>43870</v>
      </c>
      <c r="AB30" s="100">
        <v>387856</v>
      </c>
      <c r="AC30" s="100">
        <v>192025</v>
      </c>
      <c r="AD30" s="100">
        <v>28873</v>
      </c>
      <c r="AE30" s="100">
        <v>1983004</v>
      </c>
      <c r="AF30" s="100">
        <v>76141</v>
      </c>
      <c r="AG30" s="100">
        <v>10445</v>
      </c>
      <c r="AH30" s="100">
        <v>495824</v>
      </c>
      <c r="AI30" s="100">
        <v>60414</v>
      </c>
      <c r="AJ30" s="100">
        <v>13751</v>
      </c>
    </row>
    <row r="31" spans="1:36" x14ac:dyDescent="0.25">
      <c r="A31" s="2">
        <v>21</v>
      </c>
      <c r="B31" s="32">
        <v>45809</v>
      </c>
      <c r="C31" s="2" t="s">
        <v>172</v>
      </c>
      <c r="F31" s="4">
        <v>0.1</v>
      </c>
      <c r="G31" s="5">
        <v>250</v>
      </c>
      <c r="H31" s="4">
        <v>0.8</v>
      </c>
      <c r="I31" s="5">
        <v>400</v>
      </c>
      <c r="J31" s="30">
        <v>1.25</v>
      </c>
      <c r="K31" s="100">
        <v>14365</v>
      </c>
      <c r="L31" s="100">
        <v>0</v>
      </c>
      <c r="M31" s="100">
        <v>0</v>
      </c>
      <c r="N31" s="100">
        <v>6745</v>
      </c>
      <c r="O31" s="100">
        <v>0</v>
      </c>
      <c r="P31" s="100">
        <v>128957</v>
      </c>
      <c r="Q31" s="100">
        <v>0</v>
      </c>
      <c r="R31" s="100">
        <v>48498</v>
      </c>
      <c r="S31" s="100">
        <v>0</v>
      </c>
      <c r="T31" s="100">
        <v>59848</v>
      </c>
      <c r="U31" s="100">
        <v>199774</v>
      </c>
      <c r="V31" s="100">
        <v>25333</v>
      </c>
      <c r="W31" s="100">
        <v>53928</v>
      </c>
      <c r="X31" s="100">
        <v>19382</v>
      </c>
      <c r="Y31" s="100">
        <v>147699</v>
      </c>
      <c r="Z31" s="100">
        <v>144910</v>
      </c>
      <c r="AA31" s="100">
        <v>32681</v>
      </c>
      <c r="AB31" s="100">
        <v>387432</v>
      </c>
      <c r="AC31" s="100">
        <v>90391</v>
      </c>
      <c r="AD31" s="100">
        <v>40948</v>
      </c>
      <c r="AE31" s="100">
        <v>569052</v>
      </c>
      <c r="AF31" s="100">
        <v>22043</v>
      </c>
      <c r="AG31" s="100">
        <v>0</v>
      </c>
      <c r="AH31" s="100">
        <v>133483</v>
      </c>
      <c r="AI31" s="100">
        <v>13635</v>
      </c>
      <c r="AJ31" s="100">
        <v>8847</v>
      </c>
    </row>
    <row r="32" spans="1:36" x14ac:dyDescent="0.25">
      <c r="A32" s="2">
        <v>22</v>
      </c>
      <c r="B32" s="32">
        <v>45809</v>
      </c>
      <c r="C32" s="2" t="s">
        <v>172</v>
      </c>
      <c r="F32" s="4">
        <v>0.1</v>
      </c>
      <c r="G32" s="5">
        <v>250</v>
      </c>
      <c r="H32" s="4">
        <v>0.8</v>
      </c>
      <c r="I32" s="5">
        <v>400</v>
      </c>
      <c r="J32" s="30">
        <v>1.25</v>
      </c>
      <c r="K32" s="100">
        <v>15593</v>
      </c>
      <c r="L32" s="100">
        <v>0</v>
      </c>
      <c r="M32" s="100">
        <v>0</v>
      </c>
      <c r="N32" s="100">
        <v>5595</v>
      </c>
      <c r="O32" s="100">
        <v>0</v>
      </c>
      <c r="P32" s="100">
        <v>87870</v>
      </c>
      <c r="Q32" s="100">
        <v>0</v>
      </c>
      <c r="R32" s="100">
        <v>53739</v>
      </c>
      <c r="S32" s="100">
        <v>0</v>
      </c>
      <c r="T32" s="100">
        <v>49841</v>
      </c>
      <c r="U32" s="100">
        <v>169576</v>
      </c>
      <c r="V32" s="100">
        <v>35609</v>
      </c>
      <c r="W32" s="100">
        <v>42694</v>
      </c>
      <c r="X32" s="100">
        <v>19173</v>
      </c>
      <c r="Y32" s="100">
        <v>148815</v>
      </c>
      <c r="Z32" s="100">
        <v>133984</v>
      </c>
      <c r="AA32" s="100">
        <v>19094</v>
      </c>
      <c r="AB32" s="100">
        <v>378963</v>
      </c>
      <c r="AC32" s="100">
        <v>84299</v>
      </c>
      <c r="AD32" s="100">
        <v>40312</v>
      </c>
      <c r="AE32" s="100">
        <v>479447</v>
      </c>
      <c r="AF32" s="100">
        <v>20644</v>
      </c>
      <c r="AG32" s="100">
        <v>0</v>
      </c>
      <c r="AH32" s="100">
        <v>110969</v>
      </c>
      <c r="AI32" s="100">
        <v>12535</v>
      </c>
      <c r="AJ32" s="100">
        <v>7331</v>
      </c>
    </row>
    <row r="33" spans="1:36" x14ac:dyDescent="0.25">
      <c r="A33" s="2">
        <v>23</v>
      </c>
      <c r="B33" s="32">
        <v>45809</v>
      </c>
      <c r="C33" s="2" t="s">
        <v>174</v>
      </c>
      <c r="F33" s="4">
        <v>0.1</v>
      </c>
      <c r="G33" s="5">
        <v>250</v>
      </c>
      <c r="H33" s="4">
        <v>0.8</v>
      </c>
      <c r="I33" s="5">
        <v>400</v>
      </c>
      <c r="J33" s="30">
        <v>1.25</v>
      </c>
      <c r="K33" s="100">
        <v>50111</v>
      </c>
      <c r="L33" s="100">
        <v>0</v>
      </c>
      <c r="M33" s="100">
        <v>128033</v>
      </c>
      <c r="N33" s="100">
        <v>11706</v>
      </c>
      <c r="O33" s="100">
        <v>0</v>
      </c>
      <c r="P33" s="100">
        <v>759465</v>
      </c>
      <c r="Q33" s="100">
        <v>0</v>
      </c>
      <c r="R33" s="100">
        <v>79809</v>
      </c>
      <c r="S33" s="100">
        <v>0</v>
      </c>
      <c r="T33" s="100">
        <v>261086</v>
      </c>
      <c r="U33" s="100">
        <v>655779</v>
      </c>
      <c r="V33" s="100">
        <v>70842</v>
      </c>
      <c r="W33" s="100">
        <v>184548</v>
      </c>
      <c r="X33" s="100">
        <v>34118</v>
      </c>
      <c r="Y33" s="100">
        <v>357009</v>
      </c>
      <c r="Z33" s="100">
        <v>410586</v>
      </c>
      <c r="AA33" s="100">
        <v>24365</v>
      </c>
      <c r="AB33" s="100">
        <v>365704</v>
      </c>
      <c r="AC33" s="100">
        <v>196764</v>
      </c>
      <c r="AD33" s="100">
        <v>37776</v>
      </c>
      <c r="AE33" s="100">
        <v>1898462</v>
      </c>
      <c r="AF33" s="100">
        <v>72123</v>
      </c>
      <c r="AG33" s="100">
        <v>7444</v>
      </c>
      <c r="AH33" s="100">
        <v>383187</v>
      </c>
      <c r="AI33" s="100">
        <v>49772</v>
      </c>
      <c r="AJ33" s="100">
        <v>14058</v>
      </c>
    </row>
    <row r="34" spans="1:36" x14ac:dyDescent="0.25">
      <c r="A34" s="2">
        <v>24</v>
      </c>
      <c r="B34" s="32">
        <v>45809</v>
      </c>
      <c r="C34" s="2" t="s">
        <v>174</v>
      </c>
      <c r="F34" s="4">
        <v>0.1</v>
      </c>
      <c r="G34" s="5">
        <v>250</v>
      </c>
      <c r="H34" s="4">
        <v>0.8</v>
      </c>
      <c r="I34" s="5">
        <v>400</v>
      </c>
      <c r="J34" s="30">
        <v>1.25</v>
      </c>
      <c r="K34" s="100">
        <v>42361</v>
      </c>
      <c r="L34" s="100">
        <v>0</v>
      </c>
      <c r="M34" s="100">
        <v>143589</v>
      </c>
      <c r="N34" s="100">
        <v>18687</v>
      </c>
      <c r="O34" s="100">
        <v>0</v>
      </c>
      <c r="P34" s="100">
        <v>850055</v>
      </c>
      <c r="Q34" s="100">
        <v>0</v>
      </c>
      <c r="R34" s="100">
        <v>86532</v>
      </c>
      <c r="S34" s="100">
        <v>0</v>
      </c>
      <c r="T34" s="100">
        <v>265757</v>
      </c>
      <c r="U34" s="100">
        <v>710248</v>
      </c>
      <c r="V34" s="100">
        <v>79959</v>
      </c>
      <c r="W34" s="100">
        <v>203301</v>
      </c>
      <c r="X34" s="100">
        <v>42562</v>
      </c>
      <c r="Y34" s="100">
        <v>357783</v>
      </c>
      <c r="Z34" s="100">
        <v>459204</v>
      </c>
      <c r="AA34" s="100">
        <v>23466</v>
      </c>
      <c r="AB34" s="100">
        <v>376907</v>
      </c>
      <c r="AC34" s="100">
        <v>194350</v>
      </c>
      <c r="AD34" s="100">
        <v>37979</v>
      </c>
      <c r="AE34" s="100">
        <v>2008555</v>
      </c>
      <c r="AF34" s="100">
        <v>80769</v>
      </c>
      <c r="AG34" s="100">
        <v>8607</v>
      </c>
      <c r="AH34" s="100">
        <v>474972</v>
      </c>
      <c r="AI34" s="100">
        <v>57943</v>
      </c>
      <c r="AJ34" s="100">
        <v>15100</v>
      </c>
    </row>
    <row r="35" spans="1:36" x14ac:dyDescent="0.25">
      <c r="A35" s="2">
        <v>25</v>
      </c>
      <c r="B35" s="32">
        <v>45809</v>
      </c>
      <c r="C35" s="2" t="s">
        <v>175</v>
      </c>
      <c r="F35" s="4">
        <v>0.1</v>
      </c>
      <c r="G35" s="5">
        <v>250</v>
      </c>
      <c r="H35" s="4">
        <v>0.8</v>
      </c>
      <c r="I35" s="5">
        <v>400</v>
      </c>
      <c r="J35" s="30">
        <v>1.25</v>
      </c>
      <c r="K35" s="100">
        <v>23395</v>
      </c>
      <c r="L35" s="100">
        <v>0</v>
      </c>
      <c r="M35" s="100">
        <v>53773</v>
      </c>
      <c r="N35" s="100">
        <v>11870</v>
      </c>
      <c r="O35" s="100">
        <v>0</v>
      </c>
      <c r="P35" s="100">
        <v>262922</v>
      </c>
      <c r="Q35" s="100">
        <v>0</v>
      </c>
      <c r="R35" s="100">
        <v>44983</v>
      </c>
      <c r="S35" s="100">
        <v>0</v>
      </c>
      <c r="T35" s="100">
        <v>120759</v>
      </c>
      <c r="U35" s="100">
        <v>339163</v>
      </c>
      <c r="V35" s="100">
        <v>59402</v>
      </c>
      <c r="W35" s="100">
        <v>90173</v>
      </c>
      <c r="X35" s="100">
        <v>43717</v>
      </c>
      <c r="Y35" s="100">
        <v>247337</v>
      </c>
      <c r="Z35" s="100">
        <v>303950</v>
      </c>
      <c r="AA35" s="100">
        <v>28570</v>
      </c>
      <c r="AB35" s="100">
        <v>380067</v>
      </c>
      <c r="AC35" s="100">
        <v>132663</v>
      </c>
      <c r="AD35" s="100">
        <v>59602</v>
      </c>
      <c r="AE35" s="100">
        <v>964282</v>
      </c>
      <c r="AF35" s="100">
        <v>38589</v>
      </c>
      <c r="AG35" s="100">
        <v>4119</v>
      </c>
      <c r="AH35" s="100">
        <v>232145</v>
      </c>
      <c r="AI35" s="100">
        <v>28945</v>
      </c>
      <c r="AJ35" s="100">
        <v>12778</v>
      </c>
    </row>
    <row r="36" spans="1:36" x14ac:dyDescent="0.25">
      <c r="A36" s="2">
        <v>26</v>
      </c>
      <c r="B36" s="32">
        <v>45809</v>
      </c>
      <c r="C36" s="2" t="s">
        <v>175</v>
      </c>
      <c r="F36" s="4">
        <v>0.1</v>
      </c>
      <c r="G36" s="5">
        <v>250</v>
      </c>
      <c r="H36" s="4">
        <v>0.8</v>
      </c>
      <c r="I36" s="5">
        <v>400</v>
      </c>
      <c r="J36" s="30">
        <v>1.25</v>
      </c>
      <c r="K36" s="100">
        <v>18837</v>
      </c>
      <c r="L36" s="100">
        <v>0</v>
      </c>
      <c r="M36" s="100">
        <v>34817</v>
      </c>
      <c r="N36" s="100">
        <v>7745</v>
      </c>
      <c r="O36" s="100">
        <v>0</v>
      </c>
      <c r="P36" s="100">
        <v>149908</v>
      </c>
      <c r="Q36" s="100">
        <v>0</v>
      </c>
      <c r="R36" s="100">
        <v>63552</v>
      </c>
      <c r="S36" s="100">
        <v>0</v>
      </c>
      <c r="T36" s="100">
        <v>86047</v>
      </c>
      <c r="U36" s="100">
        <v>252050</v>
      </c>
      <c r="V36" s="100">
        <v>43768</v>
      </c>
      <c r="W36" s="100">
        <v>67618</v>
      </c>
      <c r="X36" s="100">
        <v>41228</v>
      </c>
      <c r="Y36" s="100">
        <v>190727</v>
      </c>
      <c r="Z36" s="100">
        <v>268024</v>
      </c>
      <c r="AA36" s="100">
        <v>29925</v>
      </c>
      <c r="AB36" s="100">
        <v>385855</v>
      </c>
      <c r="AC36" s="100">
        <v>102581</v>
      </c>
      <c r="AD36" s="100">
        <v>53705</v>
      </c>
      <c r="AE36" s="100">
        <v>683889</v>
      </c>
      <c r="AF36" s="100">
        <v>28927</v>
      </c>
      <c r="AG36" s="100">
        <v>0</v>
      </c>
      <c r="AH36" s="100">
        <v>128200</v>
      </c>
      <c r="AI36" s="100">
        <v>20996</v>
      </c>
      <c r="AJ36" s="100">
        <v>9584</v>
      </c>
    </row>
    <row r="37" spans="1:36" x14ac:dyDescent="0.25">
      <c r="A37" s="2">
        <v>27</v>
      </c>
      <c r="B37" s="32">
        <v>45809</v>
      </c>
      <c r="C37" s="2" t="s">
        <v>176</v>
      </c>
      <c r="F37" s="4">
        <v>0.1</v>
      </c>
      <c r="G37" s="5">
        <v>250</v>
      </c>
      <c r="H37" s="4">
        <v>0.8</v>
      </c>
      <c r="I37" s="5">
        <v>400</v>
      </c>
      <c r="J37" s="30">
        <v>1.25</v>
      </c>
      <c r="K37" s="100">
        <v>60039</v>
      </c>
      <c r="L37" s="100">
        <v>0</v>
      </c>
      <c r="M37" s="100">
        <v>157388</v>
      </c>
      <c r="N37" s="100">
        <v>17437</v>
      </c>
      <c r="O37" s="100">
        <v>0</v>
      </c>
      <c r="P37" s="100">
        <v>874345</v>
      </c>
      <c r="Q37" s="100">
        <v>0</v>
      </c>
      <c r="R37" s="100">
        <v>96261</v>
      </c>
      <c r="S37" s="100">
        <v>0</v>
      </c>
      <c r="T37" s="100">
        <v>281383</v>
      </c>
      <c r="U37" s="100">
        <v>600131</v>
      </c>
      <c r="V37" s="100">
        <v>59652</v>
      </c>
      <c r="W37" s="100">
        <v>198564</v>
      </c>
      <c r="X37" s="100">
        <v>25300</v>
      </c>
      <c r="Y37" s="100">
        <v>392200</v>
      </c>
      <c r="Z37" s="100">
        <v>358961</v>
      </c>
      <c r="AA37" s="100">
        <v>22896</v>
      </c>
      <c r="AB37" s="100">
        <v>380548</v>
      </c>
      <c r="AC37" s="100">
        <v>206757</v>
      </c>
      <c r="AD37" s="100">
        <v>41800</v>
      </c>
      <c r="AE37" s="100">
        <v>2032654</v>
      </c>
      <c r="AF37" s="100">
        <v>78954</v>
      </c>
      <c r="AG37" s="100">
        <v>2664</v>
      </c>
      <c r="AH37" s="100">
        <v>464963</v>
      </c>
      <c r="AI37" s="100">
        <v>53535</v>
      </c>
      <c r="AJ37" s="100">
        <v>17065</v>
      </c>
    </row>
    <row r="38" spans="1:36" x14ac:dyDescent="0.25">
      <c r="A38" s="2">
        <v>28</v>
      </c>
      <c r="B38" s="32">
        <v>45809</v>
      </c>
      <c r="C38" s="2" t="s">
        <v>176</v>
      </c>
      <c r="F38" s="4">
        <v>0.1</v>
      </c>
      <c r="G38" s="5">
        <v>250</v>
      </c>
      <c r="H38" s="4">
        <v>0.8</v>
      </c>
      <c r="I38" s="5">
        <v>400</v>
      </c>
      <c r="J38" s="30">
        <v>1.25</v>
      </c>
      <c r="K38" s="100">
        <v>66992</v>
      </c>
      <c r="L38" s="100">
        <v>0</v>
      </c>
      <c r="M38" s="100">
        <v>172790</v>
      </c>
      <c r="N38" s="100">
        <v>14669</v>
      </c>
      <c r="O38" s="100">
        <v>0</v>
      </c>
      <c r="P38" s="100">
        <v>945166</v>
      </c>
      <c r="Q38" s="100">
        <v>0</v>
      </c>
      <c r="R38" s="100">
        <v>195543</v>
      </c>
      <c r="S38" s="100">
        <v>0</v>
      </c>
      <c r="T38" s="100">
        <v>291756</v>
      </c>
      <c r="U38" s="100">
        <v>638864</v>
      </c>
      <c r="V38" s="100">
        <v>63511</v>
      </c>
      <c r="W38" s="100">
        <v>209642</v>
      </c>
      <c r="X38" s="100">
        <v>24724</v>
      </c>
      <c r="Y38" s="100">
        <v>397252</v>
      </c>
      <c r="Z38" s="100">
        <v>370241</v>
      </c>
      <c r="AA38" s="100">
        <v>44923</v>
      </c>
      <c r="AB38" s="100">
        <v>386291</v>
      </c>
      <c r="AC38" s="100">
        <v>203331</v>
      </c>
      <c r="AD38" s="100">
        <v>37511</v>
      </c>
      <c r="AE38" s="100">
        <v>2100032</v>
      </c>
      <c r="AF38" s="100">
        <v>85074</v>
      </c>
      <c r="AG38" s="100">
        <v>7299</v>
      </c>
      <c r="AH38" s="100">
        <v>304926</v>
      </c>
      <c r="AI38" s="100">
        <v>56647</v>
      </c>
      <c r="AJ38" s="100">
        <v>16984</v>
      </c>
    </row>
    <row r="39" spans="1:36" x14ac:dyDescent="0.25">
      <c r="A39" s="2">
        <v>29</v>
      </c>
      <c r="B39" s="32">
        <v>45809</v>
      </c>
      <c r="C39" s="2" t="s">
        <v>177</v>
      </c>
      <c r="F39" s="4">
        <v>0.1</v>
      </c>
      <c r="G39" s="5">
        <v>250</v>
      </c>
      <c r="H39" s="4">
        <v>0.8</v>
      </c>
      <c r="I39" s="5">
        <v>400</v>
      </c>
      <c r="J39" s="30">
        <v>1.25</v>
      </c>
      <c r="K39" s="100">
        <v>17233</v>
      </c>
      <c r="L39" s="100">
        <v>0</v>
      </c>
      <c r="M39" s="100">
        <v>0</v>
      </c>
      <c r="N39" s="100">
        <v>7680</v>
      </c>
      <c r="O39" s="100">
        <v>0</v>
      </c>
      <c r="P39" s="100">
        <v>193633</v>
      </c>
      <c r="Q39" s="100">
        <v>0</v>
      </c>
      <c r="R39" s="100">
        <v>56596</v>
      </c>
      <c r="S39" s="100">
        <v>0</v>
      </c>
      <c r="T39" s="100">
        <v>82214</v>
      </c>
      <c r="U39" s="100">
        <v>237255</v>
      </c>
      <c r="V39" s="100">
        <v>43412</v>
      </c>
      <c r="W39" s="100">
        <v>66725</v>
      </c>
      <c r="X39" s="100">
        <v>23511</v>
      </c>
      <c r="Y39" s="100">
        <v>169256</v>
      </c>
      <c r="Z39" s="100">
        <v>181026</v>
      </c>
      <c r="AA39" s="100">
        <v>32746</v>
      </c>
      <c r="AB39" s="100">
        <v>365732</v>
      </c>
      <c r="AC39" s="100">
        <v>97406</v>
      </c>
      <c r="AD39" s="100">
        <v>48133</v>
      </c>
      <c r="AE39" s="100">
        <v>685972</v>
      </c>
      <c r="AF39" s="100">
        <v>28963</v>
      </c>
      <c r="AG39" s="100">
        <v>0</v>
      </c>
      <c r="AH39" s="100">
        <v>150400</v>
      </c>
      <c r="AI39" s="100">
        <v>19718</v>
      </c>
      <c r="AJ39" s="100">
        <v>13383</v>
      </c>
    </row>
    <row r="40" spans="1:36" x14ac:dyDescent="0.25">
      <c r="A40" s="2">
        <v>30</v>
      </c>
      <c r="B40" s="32">
        <v>45809</v>
      </c>
      <c r="C40" s="2" t="s">
        <v>177</v>
      </c>
      <c r="F40" s="4">
        <v>0.1</v>
      </c>
      <c r="G40" s="5">
        <v>250</v>
      </c>
      <c r="H40" s="4">
        <v>0.8</v>
      </c>
      <c r="I40" s="5">
        <v>400</v>
      </c>
      <c r="J40" s="30">
        <v>1.25</v>
      </c>
      <c r="K40" s="100">
        <v>15111</v>
      </c>
      <c r="L40" s="100">
        <v>0</v>
      </c>
      <c r="M40" s="100">
        <v>0</v>
      </c>
      <c r="N40" s="100">
        <v>5563</v>
      </c>
      <c r="O40" s="100">
        <v>0</v>
      </c>
      <c r="P40" s="100">
        <v>88258</v>
      </c>
      <c r="Q40" s="100">
        <v>0</v>
      </c>
      <c r="R40" s="100">
        <v>42464</v>
      </c>
      <c r="S40" s="100">
        <v>0</v>
      </c>
      <c r="T40" s="100">
        <v>48799</v>
      </c>
      <c r="U40" s="100">
        <v>169648</v>
      </c>
      <c r="V40" s="100">
        <v>32898</v>
      </c>
      <c r="W40" s="100">
        <v>43341</v>
      </c>
      <c r="X40" s="100">
        <v>18742</v>
      </c>
      <c r="Y40" s="100">
        <v>140132</v>
      </c>
      <c r="Z40" s="100">
        <v>149616</v>
      </c>
      <c r="AA40" s="100">
        <v>34036</v>
      </c>
      <c r="AB40" s="100">
        <v>384940</v>
      </c>
      <c r="AC40" s="100">
        <v>83232</v>
      </c>
      <c r="AD40" s="100">
        <v>49807</v>
      </c>
      <c r="AE40" s="100">
        <v>449787</v>
      </c>
      <c r="AF40" s="100">
        <v>19834</v>
      </c>
      <c r="AG40" s="100">
        <v>0</v>
      </c>
      <c r="AH40" s="100">
        <v>91929</v>
      </c>
      <c r="AI40" s="100">
        <v>11626</v>
      </c>
      <c r="AJ40" s="100">
        <v>8511</v>
      </c>
    </row>
    <row r="41" spans="1:36" x14ac:dyDescent="0.25">
      <c r="A41" s="2">
        <v>31</v>
      </c>
      <c r="B41" s="32">
        <v>45809</v>
      </c>
      <c r="C41" s="2" t="s">
        <v>178</v>
      </c>
      <c r="F41" s="4">
        <v>0.1</v>
      </c>
      <c r="G41" s="5">
        <v>250</v>
      </c>
      <c r="H41" s="4">
        <v>0.8</v>
      </c>
      <c r="I41" s="5">
        <v>400</v>
      </c>
      <c r="J41" s="30">
        <v>1.25</v>
      </c>
      <c r="K41" s="100">
        <v>48398</v>
      </c>
      <c r="L41" s="100">
        <v>0</v>
      </c>
      <c r="M41" s="100">
        <v>175143</v>
      </c>
      <c r="N41" s="100">
        <v>12905</v>
      </c>
      <c r="O41" s="100">
        <v>0</v>
      </c>
      <c r="P41" s="100">
        <v>987137</v>
      </c>
      <c r="Q41" s="100">
        <v>0</v>
      </c>
      <c r="R41" s="100">
        <v>197697</v>
      </c>
      <c r="S41" s="100">
        <v>0</v>
      </c>
      <c r="T41" s="100">
        <v>266826</v>
      </c>
      <c r="U41" s="100">
        <v>679174</v>
      </c>
      <c r="V41" s="100">
        <v>77045</v>
      </c>
      <c r="W41" s="100">
        <v>204761</v>
      </c>
      <c r="X41" s="100">
        <v>31780</v>
      </c>
      <c r="Y41" s="100">
        <v>364623</v>
      </c>
      <c r="Z41" s="100">
        <v>376491</v>
      </c>
      <c r="AA41" s="100">
        <v>37667</v>
      </c>
      <c r="AB41" s="100">
        <v>372452</v>
      </c>
      <c r="AC41" s="100">
        <v>200166</v>
      </c>
      <c r="AD41" s="100">
        <v>43498</v>
      </c>
      <c r="AE41" s="100">
        <v>2170351</v>
      </c>
      <c r="AF41" s="100">
        <v>94327</v>
      </c>
      <c r="AG41" s="100">
        <v>3132</v>
      </c>
      <c r="AH41" s="100">
        <v>409684</v>
      </c>
      <c r="AI41" s="100">
        <v>55322</v>
      </c>
      <c r="AJ41" s="100">
        <v>17042</v>
      </c>
    </row>
    <row r="42" spans="1:36" x14ac:dyDescent="0.25">
      <c r="A42" s="2">
        <v>32</v>
      </c>
      <c r="B42" s="32">
        <v>45809</v>
      </c>
      <c r="C42" s="2" t="s">
        <v>178</v>
      </c>
      <c r="F42" s="4">
        <v>0.1</v>
      </c>
      <c r="G42" s="5">
        <v>250</v>
      </c>
      <c r="H42" s="4">
        <v>0.8</v>
      </c>
      <c r="I42" s="5">
        <v>400</v>
      </c>
      <c r="J42" s="30">
        <v>1.25</v>
      </c>
      <c r="K42" s="100">
        <v>62011</v>
      </c>
      <c r="L42" s="100">
        <v>0</v>
      </c>
      <c r="M42" s="100">
        <v>181804</v>
      </c>
      <c r="N42" s="100">
        <v>13084</v>
      </c>
      <c r="O42" s="100">
        <v>0</v>
      </c>
      <c r="P42" s="100">
        <v>1077578</v>
      </c>
      <c r="Q42" s="100">
        <v>0</v>
      </c>
      <c r="R42" s="100">
        <v>99672</v>
      </c>
      <c r="S42" s="100">
        <v>0</v>
      </c>
      <c r="T42" s="100">
        <v>278503</v>
      </c>
      <c r="U42" s="100">
        <v>723739</v>
      </c>
      <c r="V42" s="100">
        <v>83336</v>
      </c>
      <c r="W42" s="100">
        <v>215132</v>
      </c>
      <c r="X42" s="100">
        <v>30490</v>
      </c>
      <c r="Y42" s="100">
        <v>367381</v>
      </c>
      <c r="Z42" s="100">
        <v>403903</v>
      </c>
      <c r="AA42" s="100">
        <v>20652</v>
      </c>
      <c r="AB42" s="100">
        <v>379644</v>
      </c>
      <c r="AC42" s="100">
        <v>202949</v>
      </c>
      <c r="AD42" s="100">
        <v>43571</v>
      </c>
      <c r="AE42" s="100">
        <v>2324599</v>
      </c>
      <c r="AF42" s="100">
        <v>99504</v>
      </c>
      <c r="AG42" s="100">
        <v>7616</v>
      </c>
      <c r="AH42" s="100">
        <v>457884</v>
      </c>
      <c r="AI42" s="100">
        <v>57446</v>
      </c>
      <c r="AJ42" s="100">
        <v>17431</v>
      </c>
    </row>
    <row r="43" spans="1:36" x14ac:dyDescent="0.25">
      <c r="A43" s="2">
        <v>33</v>
      </c>
      <c r="B43" s="32">
        <v>45809</v>
      </c>
      <c r="C43" s="2" t="s">
        <v>179</v>
      </c>
      <c r="F43" s="4">
        <v>0.1</v>
      </c>
      <c r="G43" s="5">
        <v>250</v>
      </c>
      <c r="H43" s="4">
        <v>0.8</v>
      </c>
      <c r="I43" s="5">
        <v>400</v>
      </c>
      <c r="J43" s="30">
        <v>1.25</v>
      </c>
      <c r="K43" s="100">
        <v>15351</v>
      </c>
      <c r="L43" s="100">
        <v>0</v>
      </c>
      <c r="M43" s="100">
        <v>34383</v>
      </c>
      <c r="N43" s="100">
        <v>5545</v>
      </c>
      <c r="O43" s="100">
        <v>0</v>
      </c>
      <c r="P43" s="100">
        <v>250314</v>
      </c>
      <c r="Q43" s="100">
        <v>0</v>
      </c>
      <c r="R43" s="100">
        <v>78065</v>
      </c>
      <c r="S43" s="100">
        <v>0</v>
      </c>
      <c r="T43" s="100">
        <v>84441</v>
      </c>
      <c r="U43" s="100">
        <v>259239</v>
      </c>
      <c r="V43" s="100">
        <v>46745</v>
      </c>
      <c r="W43" s="100">
        <v>65741</v>
      </c>
      <c r="X43" s="100">
        <v>28073</v>
      </c>
      <c r="Y43" s="100">
        <v>178194</v>
      </c>
      <c r="Z43" s="100">
        <v>182644</v>
      </c>
      <c r="AA43" s="100">
        <v>29113</v>
      </c>
      <c r="AB43" s="100">
        <v>382990</v>
      </c>
      <c r="AC43" s="100">
        <v>102271</v>
      </c>
      <c r="AD43" s="100">
        <v>54187</v>
      </c>
      <c r="AE43" s="100">
        <v>722857</v>
      </c>
      <c r="AF43" s="100">
        <v>32554</v>
      </c>
      <c r="AG43" s="100">
        <v>0</v>
      </c>
      <c r="AH43" s="100">
        <v>135733</v>
      </c>
      <c r="AI43" s="100">
        <v>21124</v>
      </c>
      <c r="AJ43" s="100">
        <v>12019</v>
      </c>
    </row>
    <row r="44" spans="1:36" x14ac:dyDescent="0.25">
      <c r="A44" s="2">
        <v>34</v>
      </c>
      <c r="B44" s="32">
        <v>45809</v>
      </c>
      <c r="C44" s="2" t="s">
        <v>179</v>
      </c>
      <c r="F44" s="4">
        <v>6.2E-2</v>
      </c>
      <c r="G44" s="5">
        <v>250</v>
      </c>
      <c r="H44" s="4">
        <v>0.8</v>
      </c>
      <c r="I44" s="5">
        <v>400</v>
      </c>
      <c r="J44" s="30">
        <v>1.25</v>
      </c>
      <c r="K44" s="100">
        <v>12599</v>
      </c>
      <c r="L44" s="100">
        <v>0</v>
      </c>
      <c r="M44" s="100">
        <v>0</v>
      </c>
      <c r="N44" s="100">
        <v>5958</v>
      </c>
      <c r="O44" s="100">
        <v>0</v>
      </c>
      <c r="P44" s="100">
        <v>87385</v>
      </c>
      <c r="Q44" s="100">
        <v>0</v>
      </c>
      <c r="R44" s="100">
        <v>35480</v>
      </c>
      <c r="S44" s="100">
        <v>0</v>
      </c>
      <c r="T44" s="100">
        <v>42716</v>
      </c>
      <c r="U44" s="100">
        <v>138295</v>
      </c>
      <c r="V44" s="100">
        <v>25417</v>
      </c>
      <c r="W44" s="100">
        <v>32284</v>
      </c>
      <c r="X44" s="100">
        <v>15776</v>
      </c>
      <c r="Y44" s="100">
        <v>109273</v>
      </c>
      <c r="Z44" s="100">
        <v>104328</v>
      </c>
      <c r="AA44" s="100">
        <v>14849</v>
      </c>
      <c r="AB44" s="100">
        <v>415666</v>
      </c>
      <c r="AC44" s="100">
        <v>63315</v>
      </c>
      <c r="AD44" s="100">
        <v>39567</v>
      </c>
      <c r="AE44" s="100">
        <v>364910</v>
      </c>
      <c r="AF44" s="100">
        <v>16475</v>
      </c>
      <c r="AG44" s="100">
        <v>0</v>
      </c>
      <c r="AH44" s="100">
        <v>65062</v>
      </c>
      <c r="AI44" s="100">
        <v>9976</v>
      </c>
      <c r="AJ44" s="100">
        <v>8501</v>
      </c>
    </row>
    <row r="45" spans="1:36" x14ac:dyDescent="0.25">
      <c r="A45" s="2">
        <v>35</v>
      </c>
      <c r="B45" s="32">
        <v>45809</v>
      </c>
      <c r="C45" s="2" t="s">
        <v>180</v>
      </c>
      <c r="F45" s="4">
        <v>0.1</v>
      </c>
      <c r="G45" s="5">
        <v>250</v>
      </c>
      <c r="H45" s="4">
        <v>0.8</v>
      </c>
      <c r="I45" s="5">
        <v>400</v>
      </c>
      <c r="J45" s="30">
        <v>1.25</v>
      </c>
      <c r="K45" s="100">
        <v>72816</v>
      </c>
      <c r="L45" s="100">
        <v>0</v>
      </c>
      <c r="M45" s="100">
        <v>139484</v>
      </c>
      <c r="N45" s="100">
        <v>13104</v>
      </c>
      <c r="O45" s="100">
        <v>0</v>
      </c>
      <c r="P45" s="100">
        <v>772544</v>
      </c>
      <c r="Q45" s="100">
        <v>0</v>
      </c>
      <c r="R45" s="100">
        <v>176916</v>
      </c>
      <c r="S45" s="100">
        <v>0</v>
      </c>
      <c r="T45" s="100">
        <v>269119</v>
      </c>
      <c r="U45" s="100">
        <v>632902</v>
      </c>
      <c r="V45" s="100">
        <v>63014</v>
      </c>
      <c r="W45" s="100">
        <v>191338</v>
      </c>
      <c r="X45" s="100">
        <v>32987</v>
      </c>
      <c r="Y45" s="100">
        <v>394043</v>
      </c>
      <c r="Z45" s="100">
        <v>390146</v>
      </c>
      <c r="AA45" s="100">
        <v>23034</v>
      </c>
      <c r="AB45" s="100">
        <v>367354</v>
      </c>
      <c r="AC45" s="100">
        <v>190117</v>
      </c>
      <c r="AD45" s="100">
        <v>31074</v>
      </c>
      <c r="AE45" s="100">
        <v>1854503</v>
      </c>
      <c r="AF45" s="100">
        <v>82961</v>
      </c>
      <c r="AG45" s="100">
        <v>6926</v>
      </c>
      <c r="AH45" s="100">
        <v>371712</v>
      </c>
      <c r="AI45" s="100">
        <v>53981</v>
      </c>
      <c r="AJ45" s="100">
        <v>14241</v>
      </c>
    </row>
    <row r="46" spans="1:36" x14ac:dyDescent="0.25">
      <c r="A46" s="2">
        <v>36</v>
      </c>
      <c r="B46" s="32">
        <v>45809</v>
      </c>
      <c r="C46" s="2" t="s">
        <v>180</v>
      </c>
      <c r="F46" s="4">
        <v>0.1</v>
      </c>
      <c r="G46" s="5">
        <v>250</v>
      </c>
      <c r="H46" s="4">
        <v>0.8</v>
      </c>
      <c r="I46" s="5">
        <v>400</v>
      </c>
      <c r="J46" s="30">
        <v>1.25</v>
      </c>
      <c r="K46" s="100">
        <v>75432</v>
      </c>
      <c r="L46" s="100">
        <v>0</v>
      </c>
      <c r="M46" s="100">
        <v>150303</v>
      </c>
      <c r="N46" s="100">
        <v>13052</v>
      </c>
      <c r="O46" s="100">
        <v>0</v>
      </c>
      <c r="P46" s="100">
        <v>856329</v>
      </c>
      <c r="Q46" s="100">
        <v>0</v>
      </c>
      <c r="R46" s="100">
        <v>190747</v>
      </c>
      <c r="S46" s="100">
        <v>0</v>
      </c>
      <c r="T46" s="100">
        <v>290849</v>
      </c>
      <c r="U46" s="100">
        <v>703156</v>
      </c>
      <c r="V46" s="100">
        <v>67695</v>
      </c>
      <c r="W46" s="100">
        <v>210111</v>
      </c>
      <c r="X46" s="100">
        <v>34670</v>
      </c>
      <c r="Y46" s="100">
        <v>410507</v>
      </c>
      <c r="Z46" s="100">
        <v>418836</v>
      </c>
      <c r="AA46" s="100">
        <v>22766</v>
      </c>
      <c r="AB46" s="100">
        <v>376061</v>
      </c>
      <c r="AC46" s="100">
        <v>195261</v>
      </c>
      <c r="AD46" s="100">
        <v>28742</v>
      </c>
      <c r="AE46" s="100">
        <v>1985708</v>
      </c>
      <c r="AF46" s="100">
        <v>89389</v>
      </c>
      <c r="AG46" s="100">
        <v>10529</v>
      </c>
      <c r="AH46" s="100">
        <v>426907</v>
      </c>
      <c r="AI46" s="100">
        <v>59209</v>
      </c>
      <c r="AJ46" s="100">
        <v>14657</v>
      </c>
    </row>
    <row r="47" spans="1:36" x14ac:dyDescent="0.25">
      <c r="A47" s="2">
        <v>37</v>
      </c>
      <c r="B47" s="32">
        <v>45809</v>
      </c>
      <c r="C47" s="2" t="s">
        <v>181</v>
      </c>
      <c r="F47" s="4">
        <v>0.1</v>
      </c>
      <c r="G47" s="5">
        <v>250</v>
      </c>
      <c r="H47" s="4">
        <v>0.8</v>
      </c>
      <c r="I47" s="5">
        <v>400</v>
      </c>
      <c r="J47" s="30">
        <v>1.25</v>
      </c>
      <c r="K47" s="100">
        <v>15047</v>
      </c>
      <c r="L47" s="100">
        <v>0</v>
      </c>
      <c r="M47" s="100">
        <v>0</v>
      </c>
      <c r="N47" s="100">
        <v>4458</v>
      </c>
      <c r="O47" s="100">
        <v>0</v>
      </c>
      <c r="P47" s="100">
        <v>163331</v>
      </c>
      <c r="Q47" s="100">
        <v>0</v>
      </c>
      <c r="R47" s="100">
        <v>53657</v>
      </c>
      <c r="S47" s="100">
        <v>0</v>
      </c>
      <c r="T47" s="100">
        <v>72597</v>
      </c>
      <c r="U47" s="100">
        <v>232342</v>
      </c>
      <c r="V47" s="100">
        <v>43366</v>
      </c>
      <c r="W47" s="100">
        <v>64725</v>
      </c>
      <c r="X47" s="100">
        <v>21823</v>
      </c>
      <c r="Y47" s="100">
        <v>166484</v>
      </c>
      <c r="Z47" s="100">
        <v>165431</v>
      </c>
      <c r="AA47" s="100">
        <v>31226</v>
      </c>
      <c r="AB47" s="100">
        <v>379166</v>
      </c>
      <c r="AC47" s="100">
        <v>92107</v>
      </c>
      <c r="AD47" s="100">
        <v>51622</v>
      </c>
      <c r="AE47" s="100">
        <v>610352</v>
      </c>
      <c r="AF47" s="100">
        <v>28494</v>
      </c>
      <c r="AG47" s="100">
        <v>0</v>
      </c>
      <c r="AH47" s="100">
        <v>115668</v>
      </c>
      <c r="AI47" s="100">
        <v>15444</v>
      </c>
      <c r="AJ47" s="100">
        <v>10823</v>
      </c>
    </row>
    <row r="48" spans="1:36" x14ac:dyDescent="0.25">
      <c r="A48" s="2">
        <v>38</v>
      </c>
      <c r="B48" s="32">
        <v>45809</v>
      </c>
      <c r="C48" s="2" t="s">
        <v>181</v>
      </c>
      <c r="F48" s="4">
        <v>0.1</v>
      </c>
      <c r="G48" s="5">
        <v>250</v>
      </c>
      <c r="H48" s="4">
        <v>0.8</v>
      </c>
      <c r="I48" s="5">
        <v>400</v>
      </c>
      <c r="J48" s="30">
        <v>1.25</v>
      </c>
      <c r="K48" s="100">
        <v>15952</v>
      </c>
      <c r="L48" s="100">
        <v>0</v>
      </c>
      <c r="M48" s="100">
        <v>0</v>
      </c>
      <c r="N48" s="100">
        <v>6229</v>
      </c>
      <c r="O48" s="100">
        <v>0</v>
      </c>
      <c r="P48" s="100">
        <v>97001</v>
      </c>
      <c r="Q48" s="100">
        <v>0</v>
      </c>
      <c r="R48" s="100">
        <v>60187</v>
      </c>
      <c r="S48" s="100">
        <v>0</v>
      </c>
      <c r="T48" s="100">
        <v>49492</v>
      </c>
      <c r="U48" s="100">
        <v>174809</v>
      </c>
      <c r="V48" s="100">
        <v>34927</v>
      </c>
      <c r="W48" s="100">
        <v>45211</v>
      </c>
      <c r="X48" s="100">
        <v>21271</v>
      </c>
      <c r="Y48" s="100">
        <v>152193</v>
      </c>
      <c r="Z48" s="100">
        <v>141543</v>
      </c>
      <c r="AA48" s="100">
        <v>29418</v>
      </c>
      <c r="AB48" s="100">
        <v>393143</v>
      </c>
      <c r="AC48" s="100">
        <v>84862</v>
      </c>
      <c r="AD48" s="100">
        <v>52426</v>
      </c>
      <c r="AE48" s="100">
        <v>457723</v>
      </c>
      <c r="AF48" s="100">
        <v>22358</v>
      </c>
      <c r="AG48" s="100">
        <v>0</v>
      </c>
      <c r="AH48" s="100">
        <v>93720</v>
      </c>
      <c r="AI48" s="100">
        <v>10341</v>
      </c>
      <c r="AJ48" s="100">
        <v>9705</v>
      </c>
    </row>
    <row r="49" spans="1:36" x14ac:dyDescent="0.25">
      <c r="A49" s="2">
        <v>39</v>
      </c>
      <c r="B49" s="32">
        <v>45841</v>
      </c>
      <c r="C49" s="2" t="s">
        <v>163</v>
      </c>
      <c r="F49" s="4">
        <v>0.1</v>
      </c>
      <c r="G49" s="5">
        <v>250</v>
      </c>
      <c r="H49" s="4">
        <v>0.8</v>
      </c>
      <c r="I49" s="5">
        <v>400</v>
      </c>
      <c r="J49" s="30">
        <v>1.25</v>
      </c>
      <c r="K49" s="100">
        <v>3493</v>
      </c>
      <c r="L49" s="100">
        <v>9050</v>
      </c>
      <c r="M49" s="100">
        <v>50511</v>
      </c>
      <c r="N49" s="100">
        <v>10575</v>
      </c>
      <c r="O49" s="100">
        <v>0</v>
      </c>
      <c r="P49" s="100">
        <v>212800</v>
      </c>
      <c r="Q49" s="100">
        <v>18800</v>
      </c>
      <c r="R49" s="100">
        <v>26693</v>
      </c>
      <c r="S49" s="100">
        <v>0</v>
      </c>
      <c r="T49" s="100">
        <v>85279</v>
      </c>
      <c r="U49" s="100">
        <v>111344</v>
      </c>
      <c r="V49" s="100">
        <v>32396</v>
      </c>
      <c r="W49" s="100">
        <v>44316</v>
      </c>
      <c r="X49" s="100">
        <v>7379</v>
      </c>
      <c r="Y49" s="100">
        <v>96404</v>
      </c>
      <c r="Z49" s="100">
        <v>97247</v>
      </c>
      <c r="AA49" s="100">
        <v>7827</v>
      </c>
      <c r="AB49" s="100">
        <v>381951</v>
      </c>
      <c r="AC49" s="100">
        <v>31200</v>
      </c>
      <c r="AD49" s="100">
        <v>11369</v>
      </c>
      <c r="AE49" s="100">
        <v>317299</v>
      </c>
      <c r="AF49" s="100">
        <v>18241</v>
      </c>
      <c r="AG49" s="100">
        <v>0</v>
      </c>
      <c r="AH49" s="100">
        <v>77661</v>
      </c>
      <c r="AI49" s="100">
        <v>12583</v>
      </c>
      <c r="AJ49" s="100">
        <v>3111</v>
      </c>
    </row>
    <row r="50" spans="1:36" x14ac:dyDescent="0.25">
      <c r="A50" s="2">
        <v>40</v>
      </c>
      <c r="B50" s="32">
        <v>45841</v>
      </c>
      <c r="C50" s="2" t="s">
        <v>163</v>
      </c>
      <c r="F50" s="4">
        <v>0.1</v>
      </c>
      <c r="G50" s="5">
        <v>250</v>
      </c>
      <c r="H50" s="4">
        <v>0.8</v>
      </c>
      <c r="I50" s="5">
        <v>400</v>
      </c>
      <c r="J50" s="30">
        <v>1.25</v>
      </c>
      <c r="K50" s="100">
        <v>2757</v>
      </c>
      <c r="L50" s="100">
        <v>11160</v>
      </c>
      <c r="M50" s="100">
        <v>55837</v>
      </c>
      <c r="N50" s="100">
        <v>11277</v>
      </c>
      <c r="O50" s="100">
        <v>0</v>
      </c>
      <c r="P50" s="100">
        <v>236840</v>
      </c>
      <c r="Q50" s="100">
        <v>20879</v>
      </c>
      <c r="R50" s="100">
        <v>28567</v>
      </c>
      <c r="S50" s="100">
        <v>0</v>
      </c>
      <c r="T50" s="100">
        <v>96009</v>
      </c>
      <c r="U50" s="100">
        <v>107233</v>
      </c>
      <c r="V50" s="100">
        <v>34697</v>
      </c>
      <c r="W50" s="100">
        <v>44775</v>
      </c>
      <c r="X50" s="100">
        <v>5807</v>
      </c>
      <c r="Y50" s="100">
        <v>103977</v>
      </c>
      <c r="Z50" s="100">
        <v>101417</v>
      </c>
      <c r="AA50" s="100">
        <v>5710</v>
      </c>
      <c r="AB50" s="100">
        <v>376871</v>
      </c>
      <c r="AC50" s="100">
        <v>30130</v>
      </c>
      <c r="AD50" s="100">
        <v>6951</v>
      </c>
      <c r="AE50" s="100">
        <v>325571</v>
      </c>
      <c r="AF50" s="100">
        <v>18981</v>
      </c>
      <c r="AG50" s="100">
        <v>0</v>
      </c>
      <c r="AH50" s="100">
        <v>89974</v>
      </c>
      <c r="AI50" s="100">
        <v>14143</v>
      </c>
      <c r="AJ50" s="100">
        <v>4095</v>
      </c>
    </row>
    <row r="51" spans="1:36" x14ac:dyDescent="0.25">
      <c r="A51" s="2">
        <v>41</v>
      </c>
      <c r="B51" s="32">
        <v>45841</v>
      </c>
      <c r="C51" s="2" t="s">
        <v>164</v>
      </c>
      <c r="F51" s="4">
        <v>0.1</v>
      </c>
      <c r="G51" s="5">
        <v>250</v>
      </c>
      <c r="H51" s="4">
        <v>0.8</v>
      </c>
      <c r="I51" s="5">
        <v>400</v>
      </c>
      <c r="J51" s="30">
        <v>1.25</v>
      </c>
      <c r="K51" s="100">
        <v>2743</v>
      </c>
      <c r="L51" s="100">
        <v>7471</v>
      </c>
      <c r="M51" s="100">
        <v>45018</v>
      </c>
      <c r="N51" s="100">
        <v>11731</v>
      </c>
      <c r="O51" s="100">
        <v>0</v>
      </c>
      <c r="P51" s="100">
        <v>175612</v>
      </c>
      <c r="Q51" s="100">
        <v>16774</v>
      </c>
      <c r="R51" s="100">
        <v>24089</v>
      </c>
      <c r="S51" s="100">
        <v>0</v>
      </c>
      <c r="T51" s="100">
        <v>86319</v>
      </c>
      <c r="U51" s="100">
        <v>97097</v>
      </c>
      <c r="V51" s="100">
        <v>26442</v>
      </c>
      <c r="W51" s="100">
        <v>42561</v>
      </c>
      <c r="X51" s="100">
        <v>4815</v>
      </c>
      <c r="Y51" s="100">
        <v>94856</v>
      </c>
      <c r="Z51" s="100">
        <v>105804</v>
      </c>
      <c r="AA51" s="100">
        <v>6575</v>
      </c>
      <c r="AB51" s="100">
        <v>383456</v>
      </c>
      <c r="AC51" s="100">
        <v>26572</v>
      </c>
      <c r="AD51" s="100">
        <v>5784</v>
      </c>
      <c r="AE51" s="100">
        <v>277678</v>
      </c>
      <c r="AF51" s="100">
        <v>17122</v>
      </c>
      <c r="AG51" s="100">
        <v>0</v>
      </c>
      <c r="AH51" s="100">
        <v>64477</v>
      </c>
      <c r="AI51" s="100">
        <v>13250</v>
      </c>
      <c r="AJ51" s="100">
        <v>2878</v>
      </c>
    </row>
    <row r="52" spans="1:36" x14ac:dyDescent="0.25">
      <c r="A52" s="2">
        <v>42</v>
      </c>
      <c r="B52" s="32">
        <v>45841</v>
      </c>
      <c r="C52" s="2" t="s">
        <v>164</v>
      </c>
      <c r="F52" s="4">
        <v>0.1</v>
      </c>
      <c r="G52" s="5">
        <v>250</v>
      </c>
      <c r="H52" s="4">
        <v>0.8</v>
      </c>
      <c r="I52" s="5">
        <v>400</v>
      </c>
      <c r="J52" s="30">
        <v>1.25</v>
      </c>
      <c r="K52" s="100">
        <v>2844</v>
      </c>
      <c r="L52" s="100">
        <v>7005</v>
      </c>
      <c r="M52" s="100">
        <v>43524</v>
      </c>
      <c r="N52" s="100">
        <v>13279</v>
      </c>
      <c r="O52" s="100">
        <v>0</v>
      </c>
      <c r="P52" s="100">
        <v>170135</v>
      </c>
      <c r="Q52" s="100">
        <v>16449</v>
      </c>
      <c r="R52" s="100">
        <v>25097</v>
      </c>
      <c r="S52" s="100">
        <v>0</v>
      </c>
      <c r="T52" s="100">
        <v>85316</v>
      </c>
      <c r="U52" s="100">
        <v>97008</v>
      </c>
      <c r="V52" s="100">
        <v>26061</v>
      </c>
      <c r="W52" s="100">
        <v>54397</v>
      </c>
      <c r="X52" s="100">
        <v>7356</v>
      </c>
      <c r="Y52" s="100">
        <v>101749</v>
      </c>
      <c r="Z52" s="100">
        <v>114167</v>
      </c>
      <c r="AA52" s="100">
        <v>6983</v>
      </c>
      <c r="AB52" s="100">
        <v>388363</v>
      </c>
      <c r="AC52" s="100">
        <v>26275</v>
      </c>
      <c r="AD52" s="100">
        <v>5536</v>
      </c>
      <c r="AE52" s="100">
        <v>275427</v>
      </c>
      <c r="AF52" s="100">
        <v>17981</v>
      </c>
      <c r="AG52" s="100">
        <v>0</v>
      </c>
      <c r="AH52" s="100">
        <v>72059</v>
      </c>
      <c r="AI52" s="100">
        <v>13133</v>
      </c>
      <c r="AJ52" s="100">
        <v>3301</v>
      </c>
    </row>
    <row r="53" spans="1:36" x14ac:dyDescent="0.25">
      <c r="A53" s="2">
        <v>43</v>
      </c>
      <c r="B53" s="32">
        <v>45841</v>
      </c>
      <c r="C53" s="2" t="s">
        <v>182</v>
      </c>
      <c r="F53" s="4">
        <v>0.1</v>
      </c>
      <c r="G53" s="5">
        <v>250</v>
      </c>
      <c r="H53" s="4">
        <v>0.8</v>
      </c>
      <c r="I53" s="5">
        <v>400</v>
      </c>
      <c r="J53" s="30">
        <v>1.25</v>
      </c>
      <c r="K53" s="100">
        <v>11789</v>
      </c>
      <c r="L53" s="100">
        <v>30295</v>
      </c>
      <c r="M53" s="100">
        <v>151520</v>
      </c>
      <c r="N53" s="100">
        <v>21939</v>
      </c>
      <c r="O53" s="100">
        <v>0</v>
      </c>
      <c r="P53" s="100">
        <v>577091</v>
      </c>
      <c r="Q53" s="100">
        <v>25118</v>
      </c>
      <c r="R53" s="100">
        <v>67310</v>
      </c>
      <c r="S53" s="100">
        <v>0</v>
      </c>
      <c r="T53" s="100">
        <v>130927</v>
      </c>
      <c r="U53" s="100">
        <v>167733</v>
      </c>
      <c r="V53" s="100">
        <v>34513</v>
      </c>
      <c r="W53" s="100">
        <v>89203</v>
      </c>
      <c r="X53" s="100">
        <v>11037</v>
      </c>
      <c r="Y53" s="100">
        <v>196917</v>
      </c>
      <c r="Z53" s="100">
        <v>126704</v>
      </c>
      <c r="AA53" s="100">
        <v>6007</v>
      </c>
      <c r="AB53" s="100">
        <v>374680</v>
      </c>
      <c r="AC53" s="100">
        <v>72058</v>
      </c>
      <c r="AD53" s="100">
        <v>12690</v>
      </c>
      <c r="AE53" s="100">
        <v>660864</v>
      </c>
      <c r="AF53" s="100">
        <v>32532</v>
      </c>
      <c r="AG53" s="100">
        <v>24492</v>
      </c>
      <c r="AH53" s="100">
        <v>130412</v>
      </c>
      <c r="AI53" s="100">
        <v>12042</v>
      </c>
      <c r="AJ53" s="100">
        <v>4522</v>
      </c>
    </row>
    <row r="54" spans="1:36" x14ac:dyDescent="0.25">
      <c r="A54" s="2">
        <v>44</v>
      </c>
      <c r="B54" s="32">
        <v>45841</v>
      </c>
      <c r="C54" s="2" t="s">
        <v>182</v>
      </c>
      <c r="F54" s="4">
        <v>0.1</v>
      </c>
      <c r="G54" s="5">
        <v>250</v>
      </c>
      <c r="H54" s="4">
        <v>0.8</v>
      </c>
      <c r="I54" s="5">
        <v>400</v>
      </c>
      <c r="J54" s="30">
        <v>1.25</v>
      </c>
      <c r="K54" s="100">
        <v>14856</v>
      </c>
      <c r="L54" s="100">
        <v>41206</v>
      </c>
      <c r="M54" s="100">
        <v>170122</v>
      </c>
      <c r="N54" s="100">
        <v>22580</v>
      </c>
      <c r="O54" s="100">
        <v>0</v>
      </c>
      <c r="P54" s="100">
        <v>662400</v>
      </c>
      <c r="Q54" s="100">
        <v>5035</v>
      </c>
      <c r="R54" s="100">
        <v>49448</v>
      </c>
      <c r="S54" s="100">
        <v>0</v>
      </c>
      <c r="T54" s="100">
        <v>136702</v>
      </c>
      <c r="U54" s="100">
        <v>171883</v>
      </c>
      <c r="V54" s="100">
        <v>35460</v>
      </c>
      <c r="W54" s="100">
        <v>78337</v>
      </c>
      <c r="X54" s="100">
        <v>12379</v>
      </c>
      <c r="Y54" s="100">
        <v>217421</v>
      </c>
      <c r="Z54" s="100">
        <v>133015</v>
      </c>
      <c r="AA54" s="100">
        <v>7308</v>
      </c>
      <c r="AB54" s="100">
        <v>381830</v>
      </c>
      <c r="AC54" s="100">
        <v>83830</v>
      </c>
      <c r="AD54" s="100">
        <v>14716</v>
      </c>
      <c r="AE54" s="100">
        <v>722547</v>
      </c>
      <c r="AF54" s="100">
        <v>34926</v>
      </c>
      <c r="AG54" s="100">
        <v>25987</v>
      </c>
      <c r="AH54" s="100">
        <v>136128</v>
      </c>
      <c r="AI54" s="100">
        <v>11938</v>
      </c>
      <c r="AJ54" s="100">
        <v>3893</v>
      </c>
    </row>
    <row r="55" spans="1:36" x14ac:dyDescent="0.25">
      <c r="A55" s="2">
        <v>45</v>
      </c>
      <c r="B55" s="32">
        <v>45841</v>
      </c>
      <c r="C55" s="2" t="s">
        <v>173</v>
      </c>
      <c r="F55" s="4">
        <v>0.1</v>
      </c>
      <c r="G55" s="5">
        <v>250</v>
      </c>
      <c r="H55" s="4">
        <v>0.8</v>
      </c>
      <c r="I55" s="5">
        <v>400</v>
      </c>
      <c r="J55" s="30">
        <v>1.25</v>
      </c>
      <c r="K55" s="100">
        <v>15532</v>
      </c>
      <c r="L55" s="100">
        <v>24809</v>
      </c>
      <c r="M55" s="100">
        <v>129905</v>
      </c>
      <c r="N55" s="100">
        <v>15050</v>
      </c>
      <c r="O55" s="100">
        <v>0</v>
      </c>
      <c r="P55" s="100">
        <v>408326</v>
      </c>
      <c r="Q55" s="100">
        <v>18049</v>
      </c>
      <c r="R55" s="100">
        <v>99726</v>
      </c>
      <c r="S55" s="100">
        <v>0</v>
      </c>
      <c r="T55" s="100">
        <v>152683</v>
      </c>
      <c r="U55" s="100">
        <v>131260</v>
      </c>
      <c r="V55" s="100">
        <v>36452</v>
      </c>
      <c r="W55" s="100">
        <v>102929</v>
      </c>
      <c r="X55" s="100">
        <v>12190</v>
      </c>
      <c r="Y55" s="100">
        <v>297867</v>
      </c>
      <c r="Z55" s="100">
        <v>170120</v>
      </c>
      <c r="AA55" s="100">
        <v>9670</v>
      </c>
      <c r="AB55" s="100">
        <v>364480</v>
      </c>
      <c r="AC55" s="100">
        <v>118631</v>
      </c>
      <c r="AD55" s="100">
        <v>17259</v>
      </c>
      <c r="AE55" s="100">
        <v>765739</v>
      </c>
      <c r="AF55" s="100">
        <v>34549</v>
      </c>
      <c r="AG55" s="100">
        <v>21210</v>
      </c>
      <c r="AH55" s="100">
        <v>133538</v>
      </c>
      <c r="AI55" s="100">
        <v>10855</v>
      </c>
      <c r="AJ55" s="100">
        <v>5882</v>
      </c>
    </row>
    <row r="56" spans="1:36" x14ac:dyDescent="0.25">
      <c r="A56" s="2">
        <v>46</v>
      </c>
      <c r="B56" s="32">
        <v>45841</v>
      </c>
      <c r="C56" s="2" t="s">
        <v>173</v>
      </c>
      <c r="F56" s="4">
        <v>0.1</v>
      </c>
      <c r="G56" s="5">
        <v>250</v>
      </c>
      <c r="H56" s="4">
        <v>0.8</v>
      </c>
      <c r="I56" s="5">
        <v>400</v>
      </c>
      <c r="J56" s="30">
        <v>1.25</v>
      </c>
      <c r="K56" s="100">
        <v>12931</v>
      </c>
      <c r="L56" s="100">
        <v>18602</v>
      </c>
      <c r="M56" s="100">
        <v>107407</v>
      </c>
      <c r="N56" s="100">
        <v>11337</v>
      </c>
      <c r="O56" s="100">
        <v>0</v>
      </c>
      <c r="P56" s="100">
        <v>340302</v>
      </c>
      <c r="Q56" s="100">
        <v>15632</v>
      </c>
      <c r="R56" s="100">
        <v>85941</v>
      </c>
      <c r="S56" s="100">
        <v>0</v>
      </c>
      <c r="T56" s="100">
        <v>145270</v>
      </c>
      <c r="U56" s="100">
        <v>109820</v>
      </c>
      <c r="V56" s="100">
        <v>33323</v>
      </c>
      <c r="W56" s="100">
        <v>95333</v>
      </c>
      <c r="X56" s="100">
        <v>11173</v>
      </c>
      <c r="Y56" s="100">
        <v>257343</v>
      </c>
      <c r="Z56" s="100">
        <v>164183</v>
      </c>
      <c r="AA56" s="100">
        <v>6608</v>
      </c>
      <c r="AB56" s="100">
        <v>376635</v>
      </c>
      <c r="AC56" s="100">
        <v>97686</v>
      </c>
      <c r="AD56" s="100">
        <v>13302</v>
      </c>
      <c r="AE56" s="100">
        <v>666054</v>
      </c>
      <c r="AF56" s="100">
        <v>33700</v>
      </c>
      <c r="AG56" s="100">
        <v>23283</v>
      </c>
      <c r="AH56" s="100">
        <v>155277</v>
      </c>
      <c r="AI56" s="100">
        <v>9840</v>
      </c>
      <c r="AJ56" s="100">
        <v>5398</v>
      </c>
    </row>
    <row r="57" spans="1:36" x14ac:dyDescent="0.25">
      <c r="A57" s="2">
        <v>47</v>
      </c>
      <c r="B57" s="32">
        <v>45841</v>
      </c>
      <c r="C57" s="2" t="s">
        <v>165</v>
      </c>
      <c r="F57" s="4">
        <v>0.1</v>
      </c>
      <c r="G57" s="5">
        <v>250</v>
      </c>
      <c r="H57" s="4">
        <v>0.8</v>
      </c>
      <c r="I57" s="5">
        <v>400</v>
      </c>
      <c r="J57" s="30">
        <v>1.25</v>
      </c>
      <c r="K57" s="100">
        <v>3333</v>
      </c>
      <c r="L57" s="100">
        <v>9381</v>
      </c>
      <c r="M57" s="100">
        <v>53762</v>
      </c>
      <c r="N57" s="100">
        <v>9308</v>
      </c>
      <c r="O57" s="100">
        <v>0</v>
      </c>
      <c r="P57" s="100">
        <v>211695</v>
      </c>
      <c r="Q57" s="100">
        <v>11780</v>
      </c>
      <c r="R57" s="100">
        <v>29886</v>
      </c>
      <c r="S57" s="100">
        <v>0</v>
      </c>
      <c r="T57" s="100">
        <v>94075</v>
      </c>
      <c r="U57" s="100">
        <v>101260</v>
      </c>
      <c r="V57" s="100">
        <v>31028</v>
      </c>
      <c r="W57" s="100">
        <v>42550</v>
      </c>
      <c r="X57" s="100">
        <v>6306</v>
      </c>
      <c r="Y57" s="100">
        <v>120934</v>
      </c>
      <c r="Z57" s="100">
        <v>115209</v>
      </c>
      <c r="AA57" s="100">
        <v>5332</v>
      </c>
      <c r="AB57" s="100">
        <v>384978</v>
      </c>
      <c r="AC57" s="100">
        <v>34706</v>
      </c>
      <c r="AD57" s="100">
        <v>8036</v>
      </c>
      <c r="AE57" s="100">
        <v>333990</v>
      </c>
      <c r="AF57" s="100">
        <v>21002</v>
      </c>
      <c r="AG57" s="100">
        <v>8363</v>
      </c>
      <c r="AH57" s="100">
        <v>92300</v>
      </c>
      <c r="AI57" s="100">
        <v>13891</v>
      </c>
      <c r="AJ57" s="100">
        <v>2195</v>
      </c>
    </row>
    <row r="58" spans="1:36" x14ac:dyDescent="0.25">
      <c r="A58" s="2">
        <v>48</v>
      </c>
      <c r="B58" s="32">
        <v>45841</v>
      </c>
      <c r="C58" s="2" t="s">
        <v>165</v>
      </c>
      <c r="F58" s="4">
        <v>0.1</v>
      </c>
      <c r="G58" s="5">
        <v>250</v>
      </c>
      <c r="H58" s="4">
        <v>0.8</v>
      </c>
      <c r="I58" s="5">
        <v>400</v>
      </c>
      <c r="J58" s="30">
        <v>1.25</v>
      </c>
      <c r="K58" s="100">
        <v>2660</v>
      </c>
      <c r="L58" s="100">
        <v>8193</v>
      </c>
      <c r="M58" s="100">
        <v>47129</v>
      </c>
      <c r="N58" s="100">
        <v>10296</v>
      </c>
      <c r="O58" s="100">
        <v>0</v>
      </c>
      <c r="P58" s="100">
        <v>194389</v>
      </c>
      <c r="Q58" s="100">
        <v>11712</v>
      </c>
      <c r="R58" s="100">
        <v>27931</v>
      </c>
      <c r="S58" s="100">
        <v>0</v>
      </c>
      <c r="T58" s="100">
        <v>93839</v>
      </c>
      <c r="U58" s="100">
        <v>103927</v>
      </c>
      <c r="V58" s="100">
        <v>32649</v>
      </c>
      <c r="W58" s="100">
        <v>47604</v>
      </c>
      <c r="X58" s="100">
        <v>7041</v>
      </c>
      <c r="Y58" s="100">
        <v>114023</v>
      </c>
      <c r="Z58" s="100">
        <v>115408</v>
      </c>
      <c r="AA58" s="100">
        <v>6145</v>
      </c>
      <c r="AB58" s="100">
        <v>387358</v>
      </c>
      <c r="AC58" s="100">
        <v>31153</v>
      </c>
      <c r="AD58" s="100">
        <v>6530</v>
      </c>
      <c r="AE58" s="100">
        <v>309730</v>
      </c>
      <c r="AF58" s="100">
        <v>20023</v>
      </c>
      <c r="AG58" s="100">
        <v>6771</v>
      </c>
      <c r="AH58" s="100">
        <v>88280</v>
      </c>
      <c r="AI58" s="100">
        <v>14593</v>
      </c>
      <c r="AJ58" s="100">
        <v>4788</v>
      </c>
    </row>
    <row r="59" spans="1:36" x14ac:dyDescent="0.25">
      <c r="A59" s="2">
        <v>49</v>
      </c>
      <c r="B59" s="32">
        <v>45841</v>
      </c>
      <c r="C59" s="2" t="s">
        <v>166</v>
      </c>
      <c r="F59" s="4">
        <v>0.1</v>
      </c>
      <c r="G59" s="5">
        <v>250</v>
      </c>
      <c r="H59" s="4">
        <v>0.8</v>
      </c>
      <c r="I59" s="5">
        <v>400</v>
      </c>
      <c r="J59" s="30">
        <v>1.25</v>
      </c>
      <c r="K59" s="100">
        <v>3483</v>
      </c>
      <c r="L59" s="100">
        <v>10293</v>
      </c>
      <c r="M59" s="100">
        <v>53093</v>
      </c>
      <c r="N59" s="100">
        <v>8521</v>
      </c>
      <c r="O59" s="100">
        <v>0</v>
      </c>
      <c r="P59" s="100">
        <v>208175</v>
      </c>
      <c r="Q59" s="100">
        <v>18221</v>
      </c>
      <c r="R59" s="100">
        <v>25442</v>
      </c>
      <c r="S59" s="100">
        <v>0</v>
      </c>
      <c r="T59" s="100">
        <v>87809</v>
      </c>
      <c r="U59" s="100">
        <v>98299</v>
      </c>
      <c r="V59" s="100">
        <v>29205</v>
      </c>
      <c r="W59" s="100">
        <v>44675</v>
      </c>
      <c r="X59" s="100">
        <v>5316</v>
      </c>
      <c r="Y59" s="100">
        <v>101174</v>
      </c>
      <c r="Z59" s="100">
        <v>137766</v>
      </c>
      <c r="AA59" s="100">
        <v>7968</v>
      </c>
      <c r="AB59" s="100">
        <v>378020</v>
      </c>
      <c r="AC59" s="100">
        <v>30719</v>
      </c>
      <c r="AD59" s="100">
        <v>8714</v>
      </c>
      <c r="AE59" s="100">
        <v>324525</v>
      </c>
      <c r="AF59" s="100">
        <v>21577</v>
      </c>
      <c r="AG59" s="100">
        <v>0</v>
      </c>
      <c r="AH59" s="100">
        <v>68625</v>
      </c>
      <c r="AI59" s="100">
        <v>15592</v>
      </c>
      <c r="AJ59" s="100">
        <v>2520</v>
      </c>
    </row>
    <row r="60" spans="1:36" x14ac:dyDescent="0.25">
      <c r="A60" s="2">
        <v>50</v>
      </c>
      <c r="B60" s="32">
        <v>45841</v>
      </c>
      <c r="C60" s="2" t="s">
        <v>166</v>
      </c>
      <c r="F60" s="4">
        <v>0.1</v>
      </c>
      <c r="G60" s="5">
        <v>250</v>
      </c>
      <c r="H60" s="4">
        <v>0.8</v>
      </c>
      <c r="I60" s="5">
        <v>400</v>
      </c>
      <c r="J60" s="30">
        <v>1.25</v>
      </c>
      <c r="K60" s="100">
        <v>3167</v>
      </c>
      <c r="L60" s="100">
        <v>9906</v>
      </c>
      <c r="M60" s="100">
        <v>54119</v>
      </c>
      <c r="N60" s="100">
        <v>8866</v>
      </c>
      <c r="O60" s="100">
        <v>0</v>
      </c>
      <c r="P60" s="100">
        <v>207239</v>
      </c>
      <c r="Q60" s="100">
        <v>18087</v>
      </c>
      <c r="R60" s="100">
        <v>27789</v>
      </c>
      <c r="S60" s="100">
        <v>0</v>
      </c>
      <c r="T60" s="100">
        <v>87591</v>
      </c>
      <c r="U60" s="100">
        <v>96501</v>
      </c>
      <c r="V60" s="100">
        <v>28574</v>
      </c>
      <c r="W60" s="100">
        <v>52999</v>
      </c>
      <c r="X60" s="100">
        <v>5623</v>
      </c>
      <c r="Y60" s="100">
        <v>107403</v>
      </c>
      <c r="Z60" s="100">
        <v>141052</v>
      </c>
      <c r="AA60" s="100">
        <v>9250</v>
      </c>
      <c r="AB60" s="100">
        <v>387139</v>
      </c>
      <c r="AC60" s="100">
        <v>34256</v>
      </c>
      <c r="AD60" s="100">
        <v>6626</v>
      </c>
      <c r="AE60" s="100">
        <v>349497</v>
      </c>
      <c r="AF60" s="100">
        <v>22735</v>
      </c>
      <c r="AG60" s="100">
        <v>0</v>
      </c>
      <c r="AH60" s="100">
        <v>90310</v>
      </c>
      <c r="AI60" s="100">
        <v>14458</v>
      </c>
      <c r="AJ60" s="100">
        <v>1571</v>
      </c>
    </row>
    <row r="61" spans="1:36" x14ac:dyDescent="0.25">
      <c r="A61" s="2">
        <v>51</v>
      </c>
      <c r="B61" s="32">
        <v>45841</v>
      </c>
      <c r="C61" s="2" t="s">
        <v>167</v>
      </c>
      <c r="F61" s="4">
        <v>0.1</v>
      </c>
      <c r="G61" s="5">
        <v>250</v>
      </c>
      <c r="H61" s="4">
        <v>0.8</v>
      </c>
      <c r="I61" s="5">
        <v>400</v>
      </c>
      <c r="J61" s="30">
        <v>1.25</v>
      </c>
      <c r="K61" s="100">
        <v>13475</v>
      </c>
      <c r="L61" s="100">
        <v>32148</v>
      </c>
      <c r="M61" s="100">
        <v>133500</v>
      </c>
      <c r="N61" s="100">
        <v>13017</v>
      </c>
      <c r="O61" s="100">
        <v>0</v>
      </c>
      <c r="P61" s="100">
        <v>495532</v>
      </c>
      <c r="Q61" s="100">
        <v>21530</v>
      </c>
      <c r="R61" s="100">
        <v>77921</v>
      </c>
      <c r="S61" s="100">
        <v>0</v>
      </c>
      <c r="T61" s="100">
        <v>132589</v>
      </c>
      <c r="U61" s="100">
        <v>128488</v>
      </c>
      <c r="V61" s="100">
        <v>36801</v>
      </c>
      <c r="W61" s="100">
        <v>71075</v>
      </c>
      <c r="X61" s="100">
        <v>10995</v>
      </c>
      <c r="Y61" s="100">
        <v>241352</v>
      </c>
      <c r="Z61" s="100">
        <v>162015</v>
      </c>
      <c r="AA61" s="100">
        <v>8989</v>
      </c>
      <c r="AB61" s="100">
        <v>397353</v>
      </c>
      <c r="AC61" s="100">
        <v>85758</v>
      </c>
      <c r="AD61" s="100">
        <v>9834</v>
      </c>
      <c r="AE61" s="100">
        <v>664278</v>
      </c>
      <c r="AF61" s="100">
        <v>35523</v>
      </c>
      <c r="AG61" s="100">
        <v>16708</v>
      </c>
      <c r="AH61" s="100">
        <v>112736</v>
      </c>
      <c r="AI61" s="100">
        <v>12742</v>
      </c>
      <c r="AJ61" s="100">
        <v>2598</v>
      </c>
    </row>
    <row r="62" spans="1:36" x14ac:dyDescent="0.25">
      <c r="A62" s="2">
        <v>52</v>
      </c>
      <c r="B62" s="32">
        <v>45841</v>
      </c>
      <c r="C62" s="2" t="s">
        <v>167</v>
      </c>
      <c r="F62" s="4">
        <v>0.1</v>
      </c>
      <c r="G62" s="5">
        <v>250</v>
      </c>
      <c r="H62" s="4">
        <v>0.8</v>
      </c>
      <c r="I62" s="5">
        <v>400</v>
      </c>
      <c r="J62" s="30">
        <v>1.25</v>
      </c>
      <c r="K62" s="100">
        <v>12607</v>
      </c>
      <c r="L62" s="100">
        <v>33627</v>
      </c>
      <c r="M62" s="100">
        <v>139231</v>
      </c>
      <c r="N62" s="100">
        <v>13992</v>
      </c>
      <c r="O62" s="100">
        <v>0</v>
      </c>
      <c r="P62" s="100">
        <v>522155</v>
      </c>
      <c r="Q62" s="100">
        <v>20599</v>
      </c>
      <c r="R62" s="100">
        <v>87424</v>
      </c>
      <c r="S62" s="100">
        <v>0</v>
      </c>
      <c r="T62" s="100">
        <v>140898</v>
      </c>
      <c r="U62" s="100">
        <v>132209</v>
      </c>
      <c r="V62" s="100">
        <v>37749</v>
      </c>
      <c r="W62" s="100">
        <v>67564</v>
      </c>
      <c r="X62" s="100">
        <v>8044</v>
      </c>
      <c r="Y62" s="100">
        <v>243522</v>
      </c>
      <c r="Z62" s="100">
        <v>147850</v>
      </c>
      <c r="AA62" s="100">
        <v>8006</v>
      </c>
      <c r="AB62" s="100">
        <v>382384</v>
      </c>
      <c r="AC62" s="100">
        <v>88397</v>
      </c>
      <c r="AD62" s="100">
        <v>10492</v>
      </c>
      <c r="AE62" s="100">
        <v>693029</v>
      </c>
      <c r="AF62" s="100">
        <v>37609</v>
      </c>
      <c r="AG62" s="100">
        <v>19093</v>
      </c>
      <c r="AH62" s="100">
        <v>134156</v>
      </c>
      <c r="AI62" s="100">
        <v>15015</v>
      </c>
      <c r="AJ62" s="100">
        <v>2473</v>
      </c>
    </row>
    <row r="63" spans="1:36" x14ac:dyDescent="0.25">
      <c r="A63" s="2">
        <v>53</v>
      </c>
      <c r="B63" s="32">
        <v>45841</v>
      </c>
      <c r="C63" s="2" t="s">
        <v>168</v>
      </c>
      <c r="F63" s="4">
        <v>0.1</v>
      </c>
      <c r="G63" s="5">
        <v>250</v>
      </c>
      <c r="H63" s="4">
        <v>0.8</v>
      </c>
      <c r="I63" s="5">
        <v>400</v>
      </c>
      <c r="J63" s="30">
        <v>1.25</v>
      </c>
      <c r="K63" s="100">
        <v>8512</v>
      </c>
      <c r="L63" s="100">
        <v>12958</v>
      </c>
      <c r="M63" s="100">
        <v>87618</v>
      </c>
      <c r="N63" s="100">
        <v>12755</v>
      </c>
      <c r="O63" s="100">
        <v>0</v>
      </c>
      <c r="P63" s="100">
        <v>331865</v>
      </c>
      <c r="Q63" s="100">
        <v>13757</v>
      </c>
      <c r="R63" s="100">
        <v>76521</v>
      </c>
      <c r="S63" s="100">
        <v>0</v>
      </c>
      <c r="T63" s="100">
        <v>133307</v>
      </c>
      <c r="U63" s="100">
        <v>104060</v>
      </c>
      <c r="V63" s="100">
        <v>29770</v>
      </c>
      <c r="W63" s="100">
        <v>63433</v>
      </c>
      <c r="X63" s="100">
        <v>7986</v>
      </c>
      <c r="Y63" s="100">
        <v>232981</v>
      </c>
      <c r="Z63" s="100">
        <v>116379</v>
      </c>
      <c r="AA63" s="100">
        <v>5047</v>
      </c>
      <c r="AB63" s="100">
        <v>379105</v>
      </c>
      <c r="AC63" s="100">
        <v>87516</v>
      </c>
      <c r="AD63" s="100">
        <v>10219</v>
      </c>
      <c r="AE63" s="100">
        <v>590574</v>
      </c>
      <c r="AF63" s="100">
        <v>31058</v>
      </c>
      <c r="AG63" s="100">
        <v>16370</v>
      </c>
      <c r="AH63" s="100">
        <v>109451</v>
      </c>
      <c r="AI63" s="100">
        <v>9579</v>
      </c>
      <c r="AJ63" s="100">
        <v>3037</v>
      </c>
    </row>
    <row r="64" spans="1:36" x14ac:dyDescent="0.25">
      <c r="A64" s="2">
        <v>54</v>
      </c>
      <c r="B64" s="32">
        <v>45841</v>
      </c>
      <c r="C64" s="2" t="s">
        <v>168</v>
      </c>
      <c r="F64" s="4">
        <v>0.1</v>
      </c>
      <c r="G64" s="5">
        <v>250</v>
      </c>
      <c r="H64" s="4">
        <v>0.8</v>
      </c>
      <c r="I64" s="5">
        <v>400</v>
      </c>
      <c r="J64" s="30">
        <v>1.25</v>
      </c>
      <c r="K64" s="100">
        <v>10214</v>
      </c>
      <c r="L64" s="100">
        <v>16309</v>
      </c>
      <c r="M64" s="100">
        <v>87810</v>
      </c>
      <c r="N64" s="100">
        <v>13671</v>
      </c>
      <c r="O64" s="100">
        <v>0</v>
      </c>
      <c r="P64" s="100">
        <v>315946</v>
      </c>
      <c r="Q64" s="100">
        <v>13218</v>
      </c>
      <c r="R64" s="100">
        <v>74535</v>
      </c>
      <c r="S64" s="100">
        <v>0</v>
      </c>
      <c r="T64" s="100">
        <v>134686</v>
      </c>
      <c r="U64" s="100">
        <v>101846</v>
      </c>
      <c r="V64" s="100">
        <v>25227</v>
      </c>
      <c r="W64" s="100">
        <v>64018</v>
      </c>
      <c r="X64" s="100">
        <v>7927</v>
      </c>
      <c r="Y64" s="100">
        <v>224158</v>
      </c>
      <c r="Z64" s="100">
        <v>111965</v>
      </c>
      <c r="AA64" s="100">
        <v>14420</v>
      </c>
      <c r="AB64" s="100">
        <v>383694</v>
      </c>
      <c r="AC64" s="100">
        <v>84060</v>
      </c>
      <c r="AD64" s="100">
        <v>9853</v>
      </c>
      <c r="AE64" s="100">
        <v>575320</v>
      </c>
      <c r="AF64" s="100">
        <v>30476</v>
      </c>
      <c r="AG64" s="100">
        <v>16399</v>
      </c>
      <c r="AH64" s="100">
        <v>114355</v>
      </c>
      <c r="AI64" s="100">
        <v>9341</v>
      </c>
      <c r="AJ64" s="100">
        <v>3169</v>
      </c>
    </row>
    <row r="65" spans="1:36" x14ac:dyDescent="0.25">
      <c r="A65" s="2">
        <v>55</v>
      </c>
      <c r="B65" s="32">
        <v>45841</v>
      </c>
      <c r="C65" s="2" t="s">
        <v>169</v>
      </c>
      <c r="F65" s="4">
        <v>0.1</v>
      </c>
      <c r="G65" s="5">
        <v>250</v>
      </c>
      <c r="H65" s="4">
        <v>0.8</v>
      </c>
      <c r="I65" s="5">
        <v>400</v>
      </c>
      <c r="J65" s="30">
        <v>1.25</v>
      </c>
      <c r="K65" s="100">
        <v>3597</v>
      </c>
      <c r="L65" s="100">
        <v>7737</v>
      </c>
      <c r="M65" s="100">
        <v>50501</v>
      </c>
      <c r="N65" s="100">
        <v>12487</v>
      </c>
      <c r="O65" s="100">
        <v>0</v>
      </c>
      <c r="P65" s="100">
        <v>194380</v>
      </c>
      <c r="Q65" s="100">
        <v>10776</v>
      </c>
      <c r="R65" s="100">
        <v>32144</v>
      </c>
      <c r="S65" s="100">
        <v>0</v>
      </c>
      <c r="T65" s="100">
        <v>92651</v>
      </c>
      <c r="U65" s="100">
        <v>102572</v>
      </c>
      <c r="V65" s="100">
        <v>30040</v>
      </c>
      <c r="W65" s="100">
        <v>53546</v>
      </c>
      <c r="X65" s="100">
        <v>7288</v>
      </c>
      <c r="Y65" s="100">
        <v>122541</v>
      </c>
      <c r="Z65" s="100">
        <v>115973</v>
      </c>
      <c r="AA65" s="100">
        <v>8409</v>
      </c>
      <c r="AB65" s="100">
        <v>395181</v>
      </c>
      <c r="AC65" s="100">
        <v>39866</v>
      </c>
      <c r="AD65" s="100">
        <v>5870</v>
      </c>
      <c r="AE65" s="100">
        <v>333368</v>
      </c>
      <c r="AF65" s="100">
        <v>22238</v>
      </c>
      <c r="AG65" s="100">
        <v>0</v>
      </c>
      <c r="AH65" s="100">
        <v>74011</v>
      </c>
      <c r="AI65" s="100">
        <v>12673</v>
      </c>
      <c r="AJ65" s="100">
        <v>2132</v>
      </c>
    </row>
    <row r="66" spans="1:36" x14ac:dyDescent="0.25">
      <c r="A66" s="2">
        <v>56</v>
      </c>
      <c r="B66" s="32">
        <v>45841</v>
      </c>
      <c r="C66" s="2" t="s">
        <v>169</v>
      </c>
      <c r="F66" s="4">
        <v>0.1</v>
      </c>
      <c r="G66" s="5">
        <v>250</v>
      </c>
      <c r="H66" s="4">
        <v>0.8</v>
      </c>
      <c r="I66" s="5">
        <v>400</v>
      </c>
      <c r="J66" s="30">
        <v>1.25</v>
      </c>
      <c r="K66" s="100">
        <v>3722</v>
      </c>
      <c r="L66" s="100">
        <v>8218</v>
      </c>
      <c r="M66" s="100">
        <v>46965</v>
      </c>
      <c r="N66" s="100">
        <v>12716</v>
      </c>
      <c r="O66" s="100">
        <v>0</v>
      </c>
      <c r="P66" s="100">
        <v>175235</v>
      </c>
      <c r="Q66" s="100">
        <v>11559</v>
      </c>
      <c r="R66" s="100">
        <v>28132</v>
      </c>
      <c r="S66" s="100">
        <v>0</v>
      </c>
      <c r="T66" s="100">
        <v>84857</v>
      </c>
      <c r="U66" s="100">
        <v>101969</v>
      </c>
      <c r="V66" s="100">
        <v>30053</v>
      </c>
      <c r="W66" s="100">
        <v>49038</v>
      </c>
      <c r="X66" s="100">
        <v>5909</v>
      </c>
      <c r="Y66" s="100">
        <v>110223</v>
      </c>
      <c r="Z66" s="100">
        <v>111458</v>
      </c>
      <c r="AA66" s="100">
        <v>7278</v>
      </c>
      <c r="AB66" s="100">
        <v>394844</v>
      </c>
      <c r="AC66" s="100">
        <v>32017</v>
      </c>
      <c r="AD66" s="100">
        <v>6431</v>
      </c>
      <c r="AE66" s="100">
        <v>298877</v>
      </c>
      <c r="AF66" s="100">
        <v>20757</v>
      </c>
      <c r="AG66" s="100">
        <v>0</v>
      </c>
      <c r="AH66" s="100">
        <v>55728</v>
      </c>
      <c r="AI66" s="100">
        <v>13170</v>
      </c>
      <c r="AJ66" s="100">
        <v>1653</v>
      </c>
    </row>
    <row r="67" spans="1:36" x14ac:dyDescent="0.25">
      <c r="A67" s="2">
        <v>57</v>
      </c>
      <c r="B67" s="32">
        <v>45841</v>
      </c>
      <c r="C67" s="2" t="s">
        <v>170</v>
      </c>
      <c r="F67" s="4">
        <v>0.1</v>
      </c>
      <c r="G67" s="5">
        <v>250</v>
      </c>
      <c r="H67" s="4">
        <v>0.8</v>
      </c>
      <c r="I67" s="5">
        <v>400</v>
      </c>
      <c r="J67" s="30">
        <v>1.25</v>
      </c>
      <c r="K67" s="100">
        <v>2479</v>
      </c>
      <c r="L67" s="100">
        <v>7564</v>
      </c>
      <c r="M67" s="100">
        <v>42681</v>
      </c>
      <c r="N67" s="100">
        <v>13029</v>
      </c>
      <c r="O67" s="100">
        <v>0</v>
      </c>
      <c r="P67" s="100">
        <v>179159</v>
      </c>
      <c r="Q67" s="100">
        <v>10875</v>
      </c>
      <c r="R67" s="100">
        <v>29113</v>
      </c>
      <c r="S67" s="100">
        <v>0</v>
      </c>
      <c r="T67" s="100">
        <v>84577</v>
      </c>
      <c r="U67" s="100">
        <v>101785</v>
      </c>
      <c r="V67" s="100">
        <v>30914</v>
      </c>
      <c r="W67" s="100">
        <v>52521</v>
      </c>
      <c r="X67" s="100">
        <v>5714</v>
      </c>
      <c r="Y67" s="100">
        <v>114134</v>
      </c>
      <c r="Z67" s="100">
        <v>123809</v>
      </c>
      <c r="AA67" s="100">
        <v>8445</v>
      </c>
      <c r="AB67" s="100">
        <v>394100</v>
      </c>
      <c r="AC67" s="100">
        <v>35444</v>
      </c>
      <c r="AD67" s="100">
        <v>6091</v>
      </c>
      <c r="AE67" s="100">
        <v>309580</v>
      </c>
      <c r="AF67" s="100">
        <v>21190</v>
      </c>
      <c r="AG67" s="100">
        <v>0</v>
      </c>
      <c r="AH67" s="100">
        <v>43716</v>
      </c>
      <c r="AI67" s="100">
        <v>11874</v>
      </c>
      <c r="AJ67" s="100">
        <v>5504</v>
      </c>
    </row>
    <row r="68" spans="1:36" x14ac:dyDescent="0.25">
      <c r="A68" s="2">
        <v>58</v>
      </c>
      <c r="B68" s="32">
        <v>45841</v>
      </c>
      <c r="C68" s="2" t="s">
        <v>170</v>
      </c>
      <c r="F68" s="4">
        <v>0.1</v>
      </c>
      <c r="G68" s="5">
        <v>250</v>
      </c>
      <c r="H68" s="4">
        <v>0.8</v>
      </c>
      <c r="I68" s="5">
        <v>400</v>
      </c>
      <c r="J68" s="30">
        <v>1.25</v>
      </c>
      <c r="K68" s="100">
        <v>3529</v>
      </c>
      <c r="L68" s="100">
        <v>8524</v>
      </c>
      <c r="M68" s="100">
        <v>45920</v>
      </c>
      <c r="N68" s="100">
        <v>12608</v>
      </c>
      <c r="O68" s="100">
        <v>0</v>
      </c>
      <c r="P68" s="100">
        <v>172281</v>
      </c>
      <c r="Q68" s="100">
        <v>10335</v>
      </c>
      <c r="R68" s="100">
        <v>26127</v>
      </c>
      <c r="S68" s="100">
        <v>0</v>
      </c>
      <c r="T68" s="100">
        <v>99350</v>
      </c>
      <c r="U68" s="100">
        <v>98552</v>
      </c>
      <c r="V68" s="100">
        <v>29820</v>
      </c>
      <c r="W68" s="100">
        <v>47559</v>
      </c>
      <c r="X68" s="100">
        <v>5312</v>
      </c>
      <c r="Y68" s="100">
        <v>107229</v>
      </c>
      <c r="Z68" s="100">
        <v>118670</v>
      </c>
      <c r="AA68" s="100">
        <v>7511</v>
      </c>
      <c r="AB68" s="100">
        <v>384905</v>
      </c>
      <c r="AC68" s="100">
        <v>30586</v>
      </c>
      <c r="AD68" s="100">
        <v>7347</v>
      </c>
      <c r="AE68" s="100">
        <v>286877</v>
      </c>
      <c r="AF68" s="100">
        <v>21155</v>
      </c>
      <c r="AG68" s="100">
        <v>0</v>
      </c>
      <c r="AH68" s="100">
        <v>31372</v>
      </c>
      <c r="AI68" s="100">
        <v>14329</v>
      </c>
      <c r="AJ68" s="100">
        <v>4888</v>
      </c>
    </row>
    <row r="69" spans="1:36" x14ac:dyDescent="0.25">
      <c r="A69" s="2">
        <v>59</v>
      </c>
      <c r="B69" s="32">
        <v>45841</v>
      </c>
      <c r="C69" s="2" t="s">
        <v>171</v>
      </c>
      <c r="F69" s="4">
        <v>0.1</v>
      </c>
      <c r="G69" s="5">
        <v>250</v>
      </c>
      <c r="H69" s="4">
        <v>0.8</v>
      </c>
      <c r="I69" s="5">
        <v>400</v>
      </c>
      <c r="J69" s="30">
        <v>1.25</v>
      </c>
      <c r="K69" s="100">
        <v>8585</v>
      </c>
      <c r="L69" s="100">
        <v>17497</v>
      </c>
      <c r="M69" s="100">
        <v>138870</v>
      </c>
      <c r="N69" s="100">
        <v>14862</v>
      </c>
      <c r="O69" s="100">
        <v>0</v>
      </c>
      <c r="P69" s="100">
        <v>457633</v>
      </c>
      <c r="Q69" s="100">
        <v>18611</v>
      </c>
      <c r="R69" s="100">
        <v>80663</v>
      </c>
      <c r="S69" s="100">
        <v>0</v>
      </c>
      <c r="T69" s="100">
        <v>135137</v>
      </c>
      <c r="U69" s="100">
        <v>123498</v>
      </c>
      <c r="V69" s="100">
        <v>35075</v>
      </c>
      <c r="W69" s="100">
        <v>92150</v>
      </c>
      <c r="X69" s="100">
        <v>11061</v>
      </c>
      <c r="Y69" s="100">
        <v>230656</v>
      </c>
      <c r="Z69" s="100">
        <v>150255</v>
      </c>
      <c r="AA69" s="100">
        <v>19057</v>
      </c>
      <c r="AB69" s="100">
        <v>367721</v>
      </c>
      <c r="AC69" s="100">
        <v>85071</v>
      </c>
      <c r="AD69" s="100">
        <v>17162</v>
      </c>
      <c r="AE69" s="100">
        <v>641194</v>
      </c>
      <c r="AF69" s="100">
        <v>32556</v>
      </c>
      <c r="AG69" s="100">
        <v>0</v>
      </c>
      <c r="AH69" s="100">
        <v>65707</v>
      </c>
      <c r="AI69" s="100">
        <v>13658</v>
      </c>
      <c r="AJ69" s="100">
        <v>4627</v>
      </c>
    </row>
    <row r="70" spans="1:36" x14ac:dyDescent="0.25">
      <c r="A70" s="2">
        <v>60</v>
      </c>
      <c r="B70" s="32">
        <v>45841</v>
      </c>
      <c r="C70" s="2" t="s">
        <v>171</v>
      </c>
      <c r="F70" s="4">
        <v>0.1</v>
      </c>
      <c r="G70" s="5">
        <v>250</v>
      </c>
      <c r="H70" s="4">
        <v>0.8</v>
      </c>
      <c r="I70" s="5">
        <v>400</v>
      </c>
      <c r="J70" s="30">
        <v>1.25</v>
      </c>
      <c r="K70" s="100">
        <v>13093</v>
      </c>
      <c r="L70" s="100">
        <v>26680</v>
      </c>
      <c r="M70" s="100">
        <v>152229</v>
      </c>
      <c r="N70" s="100">
        <v>17222</v>
      </c>
      <c r="O70" s="100">
        <v>0</v>
      </c>
      <c r="P70" s="100">
        <v>492204</v>
      </c>
      <c r="Q70" s="100">
        <v>21087</v>
      </c>
      <c r="R70" s="100">
        <v>86221</v>
      </c>
      <c r="S70" s="100">
        <v>0</v>
      </c>
      <c r="T70" s="100">
        <v>142803</v>
      </c>
      <c r="U70" s="100">
        <v>126461</v>
      </c>
      <c r="V70" s="100">
        <v>36544</v>
      </c>
      <c r="W70" s="100">
        <v>97793</v>
      </c>
      <c r="X70" s="100">
        <v>10682</v>
      </c>
      <c r="Y70" s="100">
        <v>257275</v>
      </c>
      <c r="Z70" s="100">
        <v>151269</v>
      </c>
      <c r="AA70" s="100">
        <v>7327</v>
      </c>
      <c r="AB70" s="100">
        <v>370782</v>
      </c>
      <c r="AC70" s="100">
        <v>93614</v>
      </c>
      <c r="AD70" s="100">
        <v>15562</v>
      </c>
      <c r="AE70" s="100">
        <v>717466</v>
      </c>
      <c r="AF70" s="100">
        <v>37803</v>
      </c>
      <c r="AG70" s="100">
        <v>0</v>
      </c>
      <c r="AH70" s="100">
        <v>142444</v>
      </c>
      <c r="AI70" s="100">
        <v>14550</v>
      </c>
      <c r="AJ70" s="100">
        <v>4538</v>
      </c>
    </row>
    <row r="71" spans="1:36" x14ac:dyDescent="0.25">
      <c r="A71" s="2">
        <v>61</v>
      </c>
      <c r="B71" s="32">
        <v>45841</v>
      </c>
      <c r="C71" s="2" t="s">
        <v>172</v>
      </c>
      <c r="F71" s="4">
        <v>0.1</v>
      </c>
      <c r="G71" s="5">
        <v>250</v>
      </c>
      <c r="H71" s="4">
        <v>0.8</v>
      </c>
      <c r="I71" s="5">
        <v>400</v>
      </c>
      <c r="J71" s="30">
        <v>1.25</v>
      </c>
      <c r="K71" s="100">
        <v>8323</v>
      </c>
      <c r="L71" s="100">
        <v>15945</v>
      </c>
      <c r="M71" s="100">
        <v>90545</v>
      </c>
      <c r="N71" s="100">
        <v>11123</v>
      </c>
      <c r="O71" s="100">
        <v>0</v>
      </c>
      <c r="P71" s="100">
        <v>254090</v>
      </c>
      <c r="Q71" s="100">
        <v>2529</v>
      </c>
      <c r="R71" s="100">
        <v>31692</v>
      </c>
      <c r="S71" s="100">
        <v>0</v>
      </c>
      <c r="T71" s="100">
        <v>102758</v>
      </c>
      <c r="U71" s="100">
        <v>81407</v>
      </c>
      <c r="V71" s="100">
        <v>25574</v>
      </c>
      <c r="W71" s="100">
        <v>47187</v>
      </c>
      <c r="X71" s="100">
        <v>4811</v>
      </c>
      <c r="Y71" s="100">
        <v>141572</v>
      </c>
      <c r="Z71" s="100">
        <v>93369</v>
      </c>
      <c r="AA71" s="100">
        <v>15268</v>
      </c>
      <c r="AB71" s="100">
        <v>415854</v>
      </c>
      <c r="AC71" s="100">
        <v>52994</v>
      </c>
      <c r="AD71" s="100">
        <v>9898</v>
      </c>
      <c r="AE71" s="100">
        <v>426316</v>
      </c>
      <c r="AF71" s="100">
        <v>28436</v>
      </c>
      <c r="AG71" s="100">
        <v>0</v>
      </c>
      <c r="AH71" s="100">
        <v>83709</v>
      </c>
      <c r="AI71" s="100">
        <v>9124</v>
      </c>
      <c r="AJ71" s="100">
        <v>9478</v>
      </c>
    </row>
    <row r="72" spans="1:36" x14ac:dyDescent="0.25">
      <c r="A72" s="2">
        <v>62</v>
      </c>
      <c r="B72" s="32">
        <v>45841</v>
      </c>
      <c r="C72" s="2" t="s">
        <v>172</v>
      </c>
      <c r="F72" s="4">
        <v>0.1</v>
      </c>
      <c r="G72" s="5">
        <v>250</v>
      </c>
      <c r="H72" s="4">
        <v>0.8</v>
      </c>
      <c r="I72" s="5">
        <v>400</v>
      </c>
      <c r="J72" s="30">
        <v>1.25</v>
      </c>
      <c r="K72" s="100">
        <v>30888</v>
      </c>
      <c r="L72" s="100">
        <v>20514</v>
      </c>
      <c r="M72" s="100">
        <v>102751</v>
      </c>
      <c r="N72" s="100">
        <v>7490</v>
      </c>
      <c r="O72" s="100">
        <v>0</v>
      </c>
      <c r="P72" s="100">
        <v>229985</v>
      </c>
      <c r="Q72" s="100">
        <v>9535</v>
      </c>
      <c r="R72" s="100">
        <v>33472</v>
      </c>
      <c r="S72" s="100">
        <v>0</v>
      </c>
      <c r="T72" s="100">
        <v>92741</v>
      </c>
      <c r="U72" s="100">
        <v>66262</v>
      </c>
      <c r="V72" s="100">
        <v>22800</v>
      </c>
      <c r="W72" s="100">
        <v>39959</v>
      </c>
      <c r="X72" s="100">
        <v>0</v>
      </c>
      <c r="Y72" s="100">
        <v>3855</v>
      </c>
      <c r="Z72" s="100">
        <v>70886</v>
      </c>
      <c r="AA72" s="100">
        <v>11981</v>
      </c>
      <c r="AB72" s="100">
        <v>258635</v>
      </c>
      <c r="AC72" s="100">
        <v>39870</v>
      </c>
      <c r="AD72" s="100">
        <v>9655</v>
      </c>
      <c r="AE72" s="100">
        <v>350938</v>
      </c>
      <c r="AF72" s="100">
        <v>23318</v>
      </c>
      <c r="AG72" s="100">
        <v>0</v>
      </c>
      <c r="AH72" s="100">
        <v>50803</v>
      </c>
      <c r="AI72" s="100">
        <v>7814</v>
      </c>
      <c r="AJ72" s="100">
        <v>6814</v>
      </c>
    </row>
    <row r="73" spans="1:36" x14ac:dyDescent="0.25">
      <c r="A73" s="2">
        <v>63</v>
      </c>
      <c r="B73" s="32">
        <v>45841</v>
      </c>
      <c r="C73" s="2" t="s">
        <v>174</v>
      </c>
      <c r="F73" s="4">
        <v>7.6999999999999999E-2</v>
      </c>
      <c r="G73" s="5">
        <v>250</v>
      </c>
      <c r="H73" s="4">
        <v>0.8</v>
      </c>
      <c r="I73" s="5">
        <v>400</v>
      </c>
      <c r="J73" s="30">
        <v>1.25</v>
      </c>
      <c r="K73" s="100">
        <v>4888</v>
      </c>
      <c r="L73" s="100">
        <v>3743</v>
      </c>
      <c r="M73" s="100">
        <v>37916</v>
      </c>
      <c r="N73" s="100">
        <v>9133</v>
      </c>
      <c r="O73" s="100">
        <v>0</v>
      </c>
      <c r="P73" s="100">
        <v>103504</v>
      </c>
      <c r="Q73" s="100">
        <v>7768</v>
      </c>
      <c r="R73" s="100">
        <v>24850</v>
      </c>
      <c r="S73" s="100">
        <v>0</v>
      </c>
      <c r="T73" s="100">
        <v>80874</v>
      </c>
      <c r="U73" s="100">
        <v>60954</v>
      </c>
      <c r="V73" s="100">
        <v>22053</v>
      </c>
      <c r="W73" s="100">
        <v>31987</v>
      </c>
      <c r="X73" s="100">
        <v>4538</v>
      </c>
      <c r="Y73" s="100">
        <v>101412</v>
      </c>
      <c r="Z73" s="100">
        <v>76113</v>
      </c>
      <c r="AA73" s="100">
        <v>9789</v>
      </c>
      <c r="AB73" s="100">
        <v>313383</v>
      </c>
      <c r="AC73" s="100">
        <v>29533</v>
      </c>
      <c r="AD73" s="100">
        <v>5227</v>
      </c>
      <c r="AE73" s="100">
        <v>233312</v>
      </c>
      <c r="AF73" s="100">
        <v>18361</v>
      </c>
      <c r="AG73" s="100">
        <v>0</v>
      </c>
      <c r="AH73" s="100">
        <v>52391</v>
      </c>
      <c r="AI73" s="100">
        <v>8187</v>
      </c>
      <c r="AJ73" s="100">
        <v>5243</v>
      </c>
    </row>
    <row r="74" spans="1:36" x14ac:dyDescent="0.25">
      <c r="A74" s="2">
        <v>64</v>
      </c>
      <c r="B74" s="32">
        <v>45841</v>
      </c>
      <c r="C74" s="2" t="s">
        <v>174</v>
      </c>
      <c r="F74" s="4">
        <v>0.1</v>
      </c>
      <c r="G74" s="5">
        <v>250</v>
      </c>
      <c r="H74" s="4">
        <v>0.8</v>
      </c>
      <c r="I74" s="5">
        <v>400</v>
      </c>
      <c r="J74" s="30">
        <v>1.25</v>
      </c>
      <c r="K74" s="100">
        <v>5478</v>
      </c>
      <c r="L74" s="100">
        <v>3159</v>
      </c>
      <c r="M74" s="100">
        <v>31413</v>
      </c>
      <c r="N74" s="100">
        <v>11488</v>
      </c>
      <c r="O74" s="100">
        <v>0</v>
      </c>
      <c r="P74" s="100">
        <v>112881</v>
      </c>
      <c r="Q74" s="100">
        <v>0</v>
      </c>
      <c r="R74" s="100">
        <v>21240</v>
      </c>
      <c r="S74" s="100">
        <v>0</v>
      </c>
      <c r="T74" s="100">
        <v>90879</v>
      </c>
      <c r="U74" s="100">
        <v>74473</v>
      </c>
      <c r="V74" s="100">
        <v>29729</v>
      </c>
      <c r="W74" s="100">
        <v>37792</v>
      </c>
      <c r="X74" s="100">
        <v>5256</v>
      </c>
      <c r="Y74" s="100">
        <v>114711</v>
      </c>
      <c r="Z74" s="100">
        <v>94885</v>
      </c>
      <c r="AA74" s="100">
        <v>6076</v>
      </c>
      <c r="AB74" s="100">
        <v>381145</v>
      </c>
      <c r="AC74" s="100">
        <v>31971</v>
      </c>
      <c r="AD74" s="100">
        <v>4008</v>
      </c>
      <c r="AE74" s="100">
        <v>264022</v>
      </c>
      <c r="AF74" s="100">
        <v>20531</v>
      </c>
      <c r="AG74" s="100">
        <v>0</v>
      </c>
      <c r="AH74" s="100">
        <v>42677</v>
      </c>
      <c r="AI74" s="100">
        <v>10866</v>
      </c>
      <c r="AJ74" s="100">
        <v>4244</v>
      </c>
    </row>
    <row r="75" spans="1:36" x14ac:dyDescent="0.25">
      <c r="A75" s="2">
        <v>65</v>
      </c>
      <c r="B75" s="32">
        <v>45841</v>
      </c>
      <c r="C75" s="2" t="s">
        <v>175</v>
      </c>
      <c r="F75" s="4">
        <v>0.1</v>
      </c>
      <c r="G75" s="5">
        <v>250</v>
      </c>
      <c r="H75" s="4">
        <v>0.8</v>
      </c>
      <c r="I75" s="5">
        <v>400</v>
      </c>
      <c r="J75" s="30">
        <v>1.25</v>
      </c>
      <c r="K75" s="100">
        <v>2099</v>
      </c>
      <c r="L75" s="100">
        <v>3359</v>
      </c>
      <c r="M75" s="100">
        <v>32939</v>
      </c>
      <c r="N75" s="100">
        <v>12249</v>
      </c>
      <c r="O75" s="100">
        <v>0</v>
      </c>
      <c r="P75" s="100">
        <v>129418</v>
      </c>
      <c r="Q75" s="100">
        <v>7986</v>
      </c>
      <c r="R75" s="100">
        <v>26290</v>
      </c>
      <c r="S75" s="100">
        <v>0</v>
      </c>
      <c r="T75" s="100">
        <v>80073</v>
      </c>
      <c r="U75" s="100">
        <v>80634</v>
      </c>
      <c r="V75" s="100">
        <v>29998</v>
      </c>
      <c r="W75" s="100">
        <v>37645</v>
      </c>
      <c r="X75" s="100">
        <v>4653</v>
      </c>
      <c r="Y75" s="100">
        <v>104642</v>
      </c>
      <c r="Z75" s="100">
        <v>101796</v>
      </c>
      <c r="AA75" s="100">
        <v>5614</v>
      </c>
      <c r="AB75" s="100">
        <v>380381</v>
      </c>
      <c r="AC75" s="100">
        <v>28391</v>
      </c>
      <c r="AD75" s="100">
        <v>5967</v>
      </c>
      <c r="AE75" s="100">
        <v>259641</v>
      </c>
      <c r="AF75" s="100">
        <v>20556</v>
      </c>
      <c r="AG75" s="100">
        <v>0</v>
      </c>
      <c r="AH75" s="100">
        <v>63765</v>
      </c>
      <c r="AI75" s="100">
        <v>10529</v>
      </c>
      <c r="AJ75" s="100">
        <v>4601</v>
      </c>
    </row>
    <row r="76" spans="1:36" x14ac:dyDescent="0.25">
      <c r="A76" s="2">
        <v>66</v>
      </c>
      <c r="B76" s="32">
        <v>45841</v>
      </c>
      <c r="C76" s="2" t="s">
        <v>175</v>
      </c>
      <c r="F76" s="4">
        <v>0.1</v>
      </c>
      <c r="G76" s="5">
        <v>250</v>
      </c>
      <c r="H76" s="4">
        <v>0.8</v>
      </c>
      <c r="I76" s="5">
        <v>400</v>
      </c>
      <c r="J76" s="30">
        <v>1.25</v>
      </c>
      <c r="K76" s="100">
        <v>2427</v>
      </c>
      <c r="L76" s="100">
        <v>3662</v>
      </c>
      <c r="M76" s="100">
        <v>34788</v>
      </c>
      <c r="N76" s="100">
        <v>12142</v>
      </c>
      <c r="O76" s="100">
        <v>0</v>
      </c>
      <c r="P76" s="100">
        <v>137066</v>
      </c>
      <c r="Q76" s="100">
        <v>8333</v>
      </c>
      <c r="R76" s="100">
        <v>27099</v>
      </c>
      <c r="S76" s="100">
        <v>0</v>
      </c>
      <c r="T76" s="100">
        <v>94214</v>
      </c>
      <c r="U76" s="100">
        <v>88519</v>
      </c>
      <c r="V76" s="100">
        <v>32862</v>
      </c>
      <c r="W76" s="100">
        <v>38244</v>
      </c>
      <c r="X76" s="100">
        <v>5571</v>
      </c>
      <c r="Y76" s="100">
        <v>107513</v>
      </c>
      <c r="Z76" s="100">
        <v>119712</v>
      </c>
      <c r="AA76" s="100">
        <v>5272</v>
      </c>
      <c r="AB76" s="100">
        <v>387453</v>
      </c>
      <c r="AC76" s="100">
        <v>29796</v>
      </c>
      <c r="AD76" s="100">
        <v>5600</v>
      </c>
      <c r="AE76" s="100">
        <v>272169</v>
      </c>
      <c r="AF76" s="100">
        <v>21421</v>
      </c>
      <c r="AG76" s="100">
        <v>0</v>
      </c>
      <c r="AH76" s="100">
        <v>64560</v>
      </c>
      <c r="AI76" s="100">
        <v>14065</v>
      </c>
      <c r="AJ76" s="100">
        <v>4688</v>
      </c>
    </row>
    <row r="77" spans="1:36" x14ac:dyDescent="0.25">
      <c r="A77" s="2">
        <v>67</v>
      </c>
      <c r="B77" s="32">
        <v>45841</v>
      </c>
      <c r="C77" s="2" t="s">
        <v>176</v>
      </c>
      <c r="F77" s="4">
        <v>0.1</v>
      </c>
      <c r="G77" s="5">
        <v>250</v>
      </c>
      <c r="H77" s="4">
        <v>0.8</v>
      </c>
      <c r="I77" s="5">
        <v>400</v>
      </c>
      <c r="J77" s="30">
        <v>1.25</v>
      </c>
      <c r="K77" s="100">
        <v>12976</v>
      </c>
      <c r="L77" s="100">
        <v>22694</v>
      </c>
      <c r="M77" s="100">
        <v>119991</v>
      </c>
      <c r="N77" s="100">
        <v>16150</v>
      </c>
      <c r="O77" s="100">
        <v>0</v>
      </c>
      <c r="P77" s="100">
        <v>372427</v>
      </c>
      <c r="Q77" s="100">
        <v>14670</v>
      </c>
      <c r="R77" s="100">
        <v>82675</v>
      </c>
      <c r="S77" s="100">
        <v>0</v>
      </c>
      <c r="T77" s="100">
        <v>140737</v>
      </c>
      <c r="U77" s="100">
        <v>115092</v>
      </c>
      <c r="V77" s="100">
        <v>37374</v>
      </c>
      <c r="W77" s="100">
        <v>77752</v>
      </c>
      <c r="X77" s="100">
        <v>8289</v>
      </c>
      <c r="Y77" s="100">
        <v>247589</v>
      </c>
      <c r="Z77" s="100">
        <v>152735</v>
      </c>
      <c r="AA77" s="100">
        <v>6758</v>
      </c>
      <c r="AB77" s="100">
        <v>405889</v>
      </c>
      <c r="AC77" s="100">
        <v>98804</v>
      </c>
      <c r="AD77" s="100">
        <v>14235</v>
      </c>
      <c r="AE77" s="100">
        <v>674992</v>
      </c>
      <c r="AF77" s="100">
        <v>43197</v>
      </c>
      <c r="AG77" s="100">
        <v>0</v>
      </c>
      <c r="AH77" s="100">
        <v>133869</v>
      </c>
      <c r="AI77" s="100">
        <v>11993</v>
      </c>
      <c r="AJ77" s="100">
        <v>4989</v>
      </c>
    </row>
    <row r="78" spans="1:36" x14ac:dyDescent="0.25">
      <c r="A78" s="2">
        <v>68</v>
      </c>
      <c r="B78" s="32">
        <v>45841</v>
      </c>
      <c r="C78" s="2" t="s">
        <v>176</v>
      </c>
      <c r="F78" s="4">
        <v>0.1</v>
      </c>
      <c r="G78" s="5">
        <v>250</v>
      </c>
      <c r="H78" s="4">
        <v>0.8</v>
      </c>
      <c r="I78" s="5">
        <v>400</v>
      </c>
      <c r="J78" s="30">
        <v>1.25</v>
      </c>
      <c r="K78" s="100">
        <v>15837</v>
      </c>
      <c r="L78" s="100">
        <v>26173</v>
      </c>
      <c r="M78" s="100">
        <v>135184</v>
      </c>
      <c r="N78" s="100">
        <v>18251</v>
      </c>
      <c r="O78" s="100">
        <v>0</v>
      </c>
      <c r="P78" s="100">
        <v>416424</v>
      </c>
      <c r="Q78" s="100">
        <v>16784</v>
      </c>
      <c r="R78" s="100">
        <v>96521</v>
      </c>
      <c r="S78" s="100">
        <v>0</v>
      </c>
      <c r="T78" s="100">
        <v>153073</v>
      </c>
      <c r="U78" s="100">
        <v>124592</v>
      </c>
      <c r="V78" s="100">
        <v>39420</v>
      </c>
      <c r="W78" s="100">
        <v>87961</v>
      </c>
      <c r="X78" s="100">
        <v>9788</v>
      </c>
      <c r="Y78" s="100">
        <v>264143</v>
      </c>
      <c r="Z78" s="100">
        <v>167436</v>
      </c>
      <c r="AA78" s="100">
        <v>6417</v>
      </c>
      <c r="AB78" s="100">
        <v>383166</v>
      </c>
      <c r="AC78" s="100">
        <v>99748</v>
      </c>
      <c r="AD78" s="100">
        <v>15246</v>
      </c>
      <c r="AE78" s="100">
        <v>681844</v>
      </c>
      <c r="AF78" s="100">
        <v>39401</v>
      </c>
      <c r="AG78" s="100">
        <v>0</v>
      </c>
      <c r="AH78" s="100">
        <v>66583</v>
      </c>
      <c r="AI78" s="100">
        <v>13777</v>
      </c>
      <c r="AJ78" s="100">
        <v>5651</v>
      </c>
    </row>
    <row r="79" spans="1:36" x14ac:dyDescent="0.25">
      <c r="A79" s="2">
        <v>69</v>
      </c>
      <c r="B79" s="32">
        <v>45841</v>
      </c>
      <c r="C79" s="2" t="s">
        <v>177</v>
      </c>
      <c r="F79" s="4">
        <v>0.1</v>
      </c>
      <c r="G79" s="5">
        <v>250</v>
      </c>
      <c r="H79" s="4">
        <v>0.8</v>
      </c>
      <c r="I79" s="5">
        <v>400</v>
      </c>
      <c r="J79" s="30">
        <v>1.25</v>
      </c>
      <c r="K79" s="100">
        <v>16061</v>
      </c>
      <c r="L79" s="100">
        <v>21711</v>
      </c>
      <c r="M79" s="100">
        <v>109768</v>
      </c>
      <c r="N79" s="100">
        <v>13431</v>
      </c>
      <c r="O79" s="100">
        <v>0</v>
      </c>
      <c r="P79" s="100">
        <v>305867</v>
      </c>
      <c r="Q79" s="100">
        <v>4813</v>
      </c>
      <c r="R79" s="100">
        <v>56137</v>
      </c>
      <c r="S79" s="100">
        <v>0</v>
      </c>
      <c r="T79" s="100">
        <v>135430</v>
      </c>
      <c r="U79" s="100">
        <v>104102</v>
      </c>
      <c r="V79" s="100">
        <v>32849</v>
      </c>
      <c r="W79" s="100">
        <v>74922</v>
      </c>
      <c r="X79" s="100">
        <v>7345</v>
      </c>
      <c r="Y79" s="100">
        <v>235589</v>
      </c>
      <c r="Z79" s="100">
        <v>103279</v>
      </c>
      <c r="AA79" s="100">
        <v>12712</v>
      </c>
      <c r="AB79" s="100">
        <v>352205</v>
      </c>
      <c r="AC79" s="100">
        <v>87146</v>
      </c>
      <c r="AD79" s="100">
        <v>13264</v>
      </c>
      <c r="AE79" s="100">
        <v>559577</v>
      </c>
      <c r="AF79" s="100">
        <v>36887</v>
      </c>
      <c r="AG79" s="100">
        <v>0</v>
      </c>
      <c r="AH79" s="100">
        <v>119389</v>
      </c>
      <c r="AI79" s="100">
        <v>9395</v>
      </c>
      <c r="AJ79" s="100">
        <v>4425</v>
      </c>
    </row>
    <row r="80" spans="1:36" x14ac:dyDescent="0.25">
      <c r="A80" s="2">
        <v>70</v>
      </c>
      <c r="B80" s="32">
        <v>45841</v>
      </c>
      <c r="C80" s="2" t="s">
        <v>177</v>
      </c>
      <c r="F80" s="4">
        <v>0.1</v>
      </c>
      <c r="G80" s="5">
        <v>250</v>
      </c>
      <c r="H80" s="4">
        <v>0.8</v>
      </c>
      <c r="I80" s="5">
        <v>400</v>
      </c>
      <c r="J80" s="30">
        <v>1.25</v>
      </c>
      <c r="K80" s="100">
        <v>10134</v>
      </c>
      <c r="L80" s="100">
        <v>16404</v>
      </c>
      <c r="M80" s="100">
        <v>96608</v>
      </c>
      <c r="N80" s="100">
        <v>12337</v>
      </c>
      <c r="O80" s="100">
        <v>0</v>
      </c>
      <c r="P80" s="100">
        <v>322411</v>
      </c>
      <c r="Q80" s="100">
        <v>12971</v>
      </c>
      <c r="R80" s="100">
        <v>82688</v>
      </c>
      <c r="S80" s="100">
        <v>0</v>
      </c>
      <c r="T80" s="100">
        <v>140232</v>
      </c>
      <c r="U80" s="100">
        <v>104989</v>
      </c>
      <c r="V80" s="100">
        <v>33030</v>
      </c>
      <c r="W80" s="100">
        <v>73577</v>
      </c>
      <c r="X80" s="100">
        <v>8199</v>
      </c>
      <c r="Y80" s="100">
        <v>243816</v>
      </c>
      <c r="Z80" s="100">
        <v>111362</v>
      </c>
      <c r="AA80" s="100">
        <v>11073</v>
      </c>
      <c r="AB80" s="100">
        <v>362632</v>
      </c>
      <c r="AC80" s="100">
        <v>89961</v>
      </c>
      <c r="AD80" s="100">
        <v>12291</v>
      </c>
      <c r="AE80" s="100">
        <v>562735</v>
      </c>
      <c r="AF80" s="100">
        <v>36848</v>
      </c>
      <c r="AG80" s="100">
        <v>18406</v>
      </c>
      <c r="AH80" s="100">
        <v>120779</v>
      </c>
      <c r="AI80" s="100">
        <v>8896</v>
      </c>
      <c r="AJ80" s="100">
        <v>3608</v>
      </c>
    </row>
    <row r="81" spans="1:36" x14ac:dyDescent="0.25">
      <c r="A81" s="2">
        <v>71</v>
      </c>
      <c r="B81" s="32">
        <v>45841</v>
      </c>
      <c r="C81" s="2" t="s">
        <v>178</v>
      </c>
      <c r="F81" s="4">
        <v>0.1</v>
      </c>
      <c r="G81" s="5">
        <v>250</v>
      </c>
      <c r="H81" s="4">
        <v>0.8</v>
      </c>
      <c r="I81" s="5">
        <v>400</v>
      </c>
      <c r="J81" s="30">
        <v>1.25</v>
      </c>
      <c r="K81" s="100">
        <v>5787</v>
      </c>
      <c r="L81" s="100">
        <v>13251</v>
      </c>
      <c r="M81" s="100">
        <v>51015</v>
      </c>
      <c r="N81" s="100">
        <v>11533</v>
      </c>
      <c r="O81" s="100">
        <v>0</v>
      </c>
      <c r="P81" s="100">
        <v>148141</v>
      </c>
      <c r="Q81" s="100">
        <v>6365</v>
      </c>
      <c r="R81" s="100">
        <v>24257</v>
      </c>
      <c r="S81" s="100">
        <v>0</v>
      </c>
      <c r="T81" s="100">
        <v>78210</v>
      </c>
      <c r="U81" s="100">
        <v>83662</v>
      </c>
      <c r="V81" s="100">
        <v>29292</v>
      </c>
      <c r="W81" s="100">
        <v>38414</v>
      </c>
      <c r="X81" s="100">
        <v>5339</v>
      </c>
      <c r="Y81" s="100">
        <v>100625</v>
      </c>
      <c r="Z81" s="100">
        <v>114639</v>
      </c>
      <c r="AA81" s="100">
        <v>5498</v>
      </c>
      <c r="AB81" s="100">
        <v>319815</v>
      </c>
      <c r="AC81" s="100">
        <v>31388</v>
      </c>
      <c r="AD81" s="100">
        <v>5818</v>
      </c>
      <c r="AE81" s="100">
        <v>274728</v>
      </c>
      <c r="AF81" s="100">
        <v>22457</v>
      </c>
      <c r="AG81" s="100">
        <v>0</v>
      </c>
      <c r="AH81" s="100">
        <v>71123</v>
      </c>
      <c r="AI81" s="100">
        <v>12816</v>
      </c>
      <c r="AJ81" s="100">
        <v>5294</v>
      </c>
    </row>
    <row r="82" spans="1:36" x14ac:dyDescent="0.25">
      <c r="A82" s="2">
        <v>72</v>
      </c>
      <c r="B82" s="32">
        <v>45841</v>
      </c>
      <c r="C82" s="2" t="s">
        <v>178</v>
      </c>
      <c r="F82" s="4">
        <v>0.1</v>
      </c>
      <c r="G82" s="5">
        <v>250</v>
      </c>
      <c r="H82" s="4">
        <v>0.8</v>
      </c>
      <c r="I82" s="5">
        <v>400</v>
      </c>
      <c r="J82" s="30">
        <v>1.25</v>
      </c>
      <c r="K82" s="100">
        <v>5469</v>
      </c>
      <c r="L82" s="100">
        <v>16506</v>
      </c>
      <c r="M82" s="100">
        <v>46813</v>
      </c>
      <c r="N82" s="100">
        <v>9064</v>
      </c>
      <c r="O82" s="100">
        <v>0</v>
      </c>
      <c r="P82" s="100">
        <v>127635</v>
      </c>
      <c r="Q82" s="100">
        <v>5646</v>
      </c>
      <c r="R82" s="100">
        <v>17570</v>
      </c>
      <c r="S82" s="100">
        <v>0</v>
      </c>
      <c r="T82" s="100">
        <v>72658</v>
      </c>
      <c r="U82" s="100">
        <v>76942</v>
      </c>
      <c r="V82" s="100">
        <v>25971</v>
      </c>
      <c r="W82" s="100">
        <v>33207</v>
      </c>
      <c r="X82" s="100">
        <v>4731</v>
      </c>
      <c r="Y82" s="100">
        <v>79777</v>
      </c>
      <c r="Z82" s="100">
        <v>109956</v>
      </c>
      <c r="AA82" s="100">
        <v>0</v>
      </c>
      <c r="AB82" s="100">
        <v>306156</v>
      </c>
      <c r="AC82" s="100">
        <v>23242</v>
      </c>
      <c r="AD82" s="100">
        <v>4898</v>
      </c>
      <c r="AE82" s="100">
        <v>233036</v>
      </c>
      <c r="AF82" s="100">
        <v>20739</v>
      </c>
      <c r="AG82" s="100">
        <v>0</v>
      </c>
      <c r="AH82" s="100">
        <v>41016</v>
      </c>
      <c r="AI82" s="100">
        <v>12018</v>
      </c>
      <c r="AJ82" s="100">
        <v>3595</v>
      </c>
    </row>
    <row r="83" spans="1:36" x14ac:dyDescent="0.25">
      <c r="A83" s="2">
        <v>73</v>
      </c>
      <c r="B83" s="32">
        <v>45841</v>
      </c>
      <c r="C83" s="2" t="s">
        <v>179</v>
      </c>
      <c r="F83" s="4">
        <v>0.1</v>
      </c>
      <c r="G83" s="5">
        <v>250</v>
      </c>
      <c r="H83" s="4">
        <v>0.8</v>
      </c>
      <c r="I83" s="5">
        <v>400</v>
      </c>
      <c r="J83" s="30">
        <v>1.25</v>
      </c>
      <c r="K83" s="100">
        <v>2322</v>
      </c>
      <c r="L83" s="100">
        <v>8007</v>
      </c>
      <c r="M83" s="100">
        <v>38971</v>
      </c>
      <c r="N83" s="100">
        <v>8432</v>
      </c>
      <c r="O83" s="100">
        <v>0</v>
      </c>
      <c r="P83" s="100">
        <v>202221</v>
      </c>
      <c r="Q83" s="100">
        <v>18459</v>
      </c>
      <c r="R83" s="100">
        <v>29242</v>
      </c>
      <c r="S83" s="100">
        <v>0</v>
      </c>
      <c r="T83" s="100">
        <v>91540</v>
      </c>
      <c r="U83" s="100">
        <v>94014</v>
      </c>
      <c r="V83" s="100">
        <v>35455</v>
      </c>
      <c r="W83" s="100">
        <v>43101</v>
      </c>
      <c r="X83" s="100">
        <v>6067</v>
      </c>
      <c r="Y83" s="100">
        <v>108781</v>
      </c>
      <c r="Z83" s="100">
        <v>141975</v>
      </c>
      <c r="AA83" s="100">
        <v>6621</v>
      </c>
      <c r="AB83" s="100">
        <v>389984</v>
      </c>
      <c r="AC83" s="100">
        <v>31497</v>
      </c>
      <c r="AD83" s="100">
        <v>6824</v>
      </c>
      <c r="AE83" s="100">
        <v>312165</v>
      </c>
      <c r="AF83" s="100">
        <v>24302</v>
      </c>
      <c r="AG83" s="100">
        <v>0</v>
      </c>
      <c r="AH83" s="100">
        <v>39412</v>
      </c>
      <c r="AI83" s="100">
        <v>15225</v>
      </c>
      <c r="AJ83" s="100">
        <v>1687</v>
      </c>
    </row>
    <row r="84" spans="1:36" x14ac:dyDescent="0.25">
      <c r="A84" s="2">
        <v>74</v>
      </c>
      <c r="B84" s="32">
        <v>45841</v>
      </c>
      <c r="C84" s="2" t="s">
        <v>179</v>
      </c>
      <c r="F84" s="4">
        <v>0.1</v>
      </c>
      <c r="G84" s="5">
        <v>250</v>
      </c>
      <c r="H84" s="4">
        <v>0.8</v>
      </c>
      <c r="I84" s="5">
        <v>400</v>
      </c>
      <c r="J84" s="30">
        <v>1.25</v>
      </c>
      <c r="K84" s="100">
        <v>2488</v>
      </c>
      <c r="L84" s="100">
        <v>7888</v>
      </c>
      <c r="M84" s="100">
        <v>41250</v>
      </c>
      <c r="N84" s="100">
        <v>9081</v>
      </c>
      <c r="O84" s="100">
        <v>0</v>
      </c>
      <c r="P84" s="100">
        <v>200256</v>
      </c>
      <c r="Q84" s="100">
        <v>12257</v>
      </c>
      <c r="R84" s="100">
        <v>26686</v>
      </c>
      <c r="S84" s="100">
        <v>0</v>
      </c>
      <c r="T84" s="100">
        <v>96346</v>
      </c>
      <c r="U84" s="100">
        <v>97458</v>
      </c>
      <c r="V84" s="100">
        <v>37415</v>
      </c>
      <c r="W84" s="100">
        <v>50726</v>
      </c>
      <c r="X84" s="100">
        <v>5595</v>
      </c>
      <c r="Y84" s="100">
        <v>116884</v>
      </c>
      <c r="Z84" s="100">
        <v>134380</v>
      </c>
      <c r="AA84" s="100">
        <v>7468</v>
      </c>
      <c r="AB84" s="100">
        <v>373409</v>
      </c>
      <c r="AC84" s="100">
        <v>33665</v>
      </c>
      <c r="AD84" s="100">
        <v>4244</v>
      </c>
      <c r="AE84" s="100">
        <v>320709</v>
      </c>
      <c r="AF84" s="100">
        <v>24808</v>
      </c>
      <c r="AG84" s="100">
        <v>0</v>
      </c>
      <c r="AH84" s="100">
        <v>30975</v>
      </c>
      <c r="AI84" s="100">
        <v>15056</v>
      </c>
      <c r="AJ84" s="100">
        <v>1598</v>
      </c>
    </row>
    <row r="85" spans="1:36" x14ac:dyDescent="0.25">
      <c r="A85" s="2">
        <v>75</v>
      </c>
      <c r="B85" s="32">
        <v>45841</v>
      </c>
      <c r="C85" s="2" t="s">
        <v>180</v>
      </c>
      <c r="F85" s="4">
        <v>0.1</v>
      </c>
      <c r="G85" s="5">
        <v>250</v>
      </c>
      <c r="H85" s="4">
        <v>0.8</v>
      </c>
      <c r="I85" s="5">
        <v>400</v>
      </c>
      <c r="J85" s="30">
        <v>1.25</v>
      </c>
      <c r="K85" s="100">
        <v>13632</v>
      </c>
      <c r="L85" s="100">
        <v>48770</v>
      </c>
      <c r="M85" s="100">
        <v>212764</v>
      </c>
      <c r="N85" s="100">
        <v>20946</v>
      </c>
      <c r="O85" s="100">
        <v>0</v>
      </c>
      <c r="P85" s="100">
        <v>658911</v>
      </c>
      <c r="Q85" s="100">
        <v>26718</v>
      </c>
      <c r="R85" s="100">
        <v>83865</v>
      </c>
      <c r="S85" s="100">
        <v>0</v>
      </c>
      <c r="T85" s="100">
        <v>145096</v>
      </c>
      <c r="U85" s="100">
        <v>166717</v>
      </c>
      <c r="V85" s="100">
        <v>38976</v>
      </c>
      <c r="W85" s="100">
        <v>113956</v>
      </c>
      <c r="X85" s="100">
        <v>0</v>
      </c>
      <c r="Y85" s="100">
        <v>253694</v>
      </c>
      <c r="Z85" s="100">
        <v>174446</v>
      </c>
      <c r="AA85" s="100">
        <v>6344</v>
      </c>
      <c r="AB85" s="100">
        <v>381879</v>
      </c>
      <c r="AC85" s="100">
        <v>91903</v>
      </c>
      <c r="AD85" s="100">
        <v>17527</v>
      </c>
      <c r="AE85" s="100">
        <v>803976</v>
      </c>
      <c r="AF85" s="100">
        <v>55003</v>
      </c>
      <c r="AG85" s="100">
        <v>19142</v>
      </c>
      <c r="AH85" s="100">
        <v>100181</v>
      </c>
      <c r="AI85" s="100">
        <v>16244</v>
      </c>
      <c r="AJ85" s="100">
        <v>7181</v>
      </c>
    </row>
    <row r="86" spans="1:36" x14ac:dyDescent="0.25">
      <c r="A86" s="2">
        <v>76</v>
      </c>
      <c r="B86" s="32">
        <v>45841</v>
      </c>
      <c r="C86" s="2" t="s">
        <v>180</v>
      </c>
      <c r="F86" s="4">
        <v>0.1</v>
      </c>
      <c r="G86" s="5">
        <v>250</v>
      </c>
      <c r="H86" s="4">
        <v>0.8</v>
      </c>
      <c r="I86" s="5">
        <v>400</v>
      </c>
      <c r="J86" s="30">
        <v>1.25</v>
      </c>
      <c r="K86" s="100">
        <v>19238</v>
      </c>
      <c r="L86" s="100">
        <v>52431</v>
      </c>
      <c r="M86" s="100">
        <v>228174</v>
      </c>
      <c r="N86" s="100">
        <v>23075</v>
      </c>
      <c r="O86" s="100">
        <v>0</v>
      </c>
      <c r="P86" s="100">
        <v>712125</v>
      </c>
      <c r="Q86" s="100">
        <v>28577</v>
      </c>
      <c r="R86" s="100">
        <v>95820</v>
      </c>
      <c r="S86" s="100">
        <v>0</v>
      </c>
      <c r="T86" s="100">
        <v>156514</v>
      </c>
      <c r="U86" s="100">
        <v>175900</v>
      </c>
      <c r="V86" s="100">
        <v>34568</v>
      </c>
      <c r="W86" s="100">
        <v>137514</v>
      </c>
      <c r="X86" s="100">
        <v>12836</v>
      </c>
      <c r="Y86" s="100">
        <v>301091</v>
      </c>
      <c r="Z86" s="100">
        <v>184765</v>
      </c>
      <c r="AA86" s="100">
        <v>12831</v>
      </c>
      <c r="AB86" s="100">
        <v>382380</v>
      </c>
      <c r="AC86" s="100">
        <v>106148</v>
      </c>
      <c r="AD86" s="100">
        <v>20477</v>
      </c>
      <c r="AE86" s="100">
        <v>872652</v>
      </c>
      <c r="AF86" s="100">
        <v>59770</v>
      </c>
      <c r="AG86" s="100">
        <v>20202</v>
      </c>
      <c r="AH86" s="100">
        <v>96523</v>
      </c>
      <c r="AI86" s="100">
        <v>14204</v>
      </c>
      <c r="AJ86" s="100">
        <v>7785</v>
      </c>
    </row>
    <row r="87" spans="1:36" x14ac:dyDescent="0.25">
      <c r="A87" s="2">
        <v>77</v>
      </c>
      <c r="B87" s="32">
        <v>45841</v>
      </c>
      <c r="C87" s="2" t="s">
        <v>181</v>
      </c>
      <c r="F87" s="4">
        <v>0.1</v>
      </c>
      <c r="G87" s="5">
        <v>250</v>
      </c>
      <c r="H87" s="4">
        <v>0.8</v>
      </c>
      <c r="I87" s="5">
        <v>400</v>
      </c>
      <c r="J87" s="30">
        <v>1.25</v>
      </c>
      <c r="K87" s="100">
        <v>18751</v>
      </c>
      <c r="L87" s="100">
        <v>26685</v>
      </c>
      <c r="M87" s="100">
        <v>127673</v>
      </c>
      <c r="N87" s="100">
        <v>17122</v>
      </c>
      <c r="O87" s="100">
        <v>0</v>
      </c>
      <c r="P87" s="100">
        <v>396716</v>
      </c>
      <c r="Q87" s="100">
        <v>16175</v>
      </c>
      <c r="R87" s="100">
        <v>104982</v>
      </c>
      <c r="S87" s="100">
        <v>0</v>
      </c>
      <c r="T87" s="100">
        <v>164394</v>
      </c>
      <c r="U87" s="100">
        <v>120201</v>
      </c>
      <c r="V87" s="100">
        <v>38642</v>
      </c>
      <c r="W87" s="100">
        <v>80997</v>
      </c>
      <c r="X87" s="100">
        <v>7548</v>
      </c>
      <c r="Y87" s="100">
        <v>293132</v>
      </c>
      <c r="Z87" s="100">
        <v>136977</v>
      </c>
      <c r="AA87" s="100">
        <v>14431</v>
      </c>
      <c r="AB87" s="100">
        <v>391524</v>
      </c>
      <c r="AC87" s="100">
        <v>109171</v>
      </c>
      <c r="AD87" s="100">
        <v>8600</v>
      </c>
      <c r="AE87" s="100">
        <v>706420</v>
      </c>
      <c r="AF87" s="100">
        <v>48954</v>
      </c>
      <c r="AG87" s="100">
        <v>20116</v>
      </c>
      <c r="AH87" s="100">
        <v>138228</v>
      </c>
      <c r="AI87" s="100">
        <v>14571</v>
      </c>
      <c r="AJ87" s="100">
        <v>4816</v>
      </c>
    </row>
    <row r="88" spans="1:36" x14ac:dyDescent="0.25">
      <c r="A88" s="2">
        <v>78</v>
      </c>
      <c r="B88" s="32">
        <v>45841</v>
      </c>
      <c r="C88" s="2" t="s">
        <v>181</v>
      </c>
      <c r="F88" s="4">
        <v>0.1</v>
      </c>
      <c r="G88" s="5">
        <v>250</v>
      </c>
      <c r="H88" s="4">
        <v>0.8</v>
      </c>
      <c r="I88" s="5">
        <v>400</v>
      </c>
      <c r="J88" s="30">
        <v>1.25</v>
      </c>
      <c r="K88" s="100">
        <v>16675</v>
      </c>
      <c r="L88" s="100">
        <v>19821</v>
      </c>
      <c r="M88" s="100">
        <v>103989</v>
      </c>
      <c r="N88" s="100">
        <v>14148</v>
      </c>
      <c r="O88" s="100">
        <v>0</v>
      </c>
      <c r="P88" s="100">
        <v>332926</v>
      </c>
      <c r="Q88" s="100">
        <v>13181</v>
      </c>
      <c r="R88" s="100">
        <v>98249</v>
      </c>
      <c r="S88" s="100">
        <v>0</v>
      </c>
      <c r="T88" s="100">
        <v>158864</v>
      </c>
      <c r="U88" s="100">
        <v>102030</v>
      </c>
      <c r="V88" s="100">
        <v>23157</v>
      </c>
      <c r="W88" s="100">
        <v>71023</v>
      </c>
      <c r="X88" s="100">
        <v>6648</v>
      </c>
      <c r="Y88" s="100">
        <v>286091</v>
      </c>
      <c r="Z88" s="100">
        <v>124575</v>
      </c>
      <c r="AA88" s="100">
        <v>13930</v>
      </c>
      <c r="AB88" s="100">
        <v>393613</v>
      </c>
      <c r="AC88" s="100">
        <v>112906</v>
      </c>
      <c r="AD88" s="100">
        <v>15691</v>
      </c>
      <c r="AE88" s="100">
        <v>670426</v>
      </c>
      <c r="AF88" s="100">
        <v>48338</v>
      </c>
      <c r="AG88" s="100">
        <v>13647</v>
      </c>
      <c r="AH88" s="100">
        <v>100239</v>
      </c>
      <c r="AI88" s="100">
        <v>12570</v>
      </c>
      <c r="AJ88" s="100">
        <v>3722</v>
      </c>
    </row>
    <row r="89" spans="1:36" x14ac:dyDescent="0.25">
      <c r="A89" s="2">
        <v>79</v>
      </c>
      <c r="B89" s="32">
        <v>45856</v>
      </c>
      <c r="C89" s="2" t="s">
        <v>183</v>
      </c>
      <c r="F89" s="102">
        <v>0.1</v>
      </c>
      <c r="G89" s="5">
        <v>250</v>
      </c>
      <c r="H89" s="4">
        <v>0.8</v>
      </c>
      <c r="I89" s="5">
        <v>400</v>
      </c>
      <c r="J89" s="30">
        <v>1.25</v>
      </c>
      <c r="K89" s="100">
        <v>8507</v>
      </c>
      <c r="L89" s="100">
        <v>0</v>
      </c>
      <c r="M89" s="100">
        <v>50071</v>
      </c>
      <c r="N89" s="100">
        <v>11735</v>
      </c>
      <c r="O89" s="100">
        <v>0</v>
      </c>
      <c r="P89" s="100">
        <v>152602</v>
      </c>
      <c r="Q89" s="100">
        <v>0</v>
      </c>
      <c r="R89" s="100">
        <v>17518</v>
      </c>
      <c r="S89" s="100">
        <v>0</v>
      </c>
      <c r="T89" s="100">
        <v>117570</v>
      </c>
      <c r="U89" s="100">
        <v>69099</v>
      </c>
      <c r="V89" s="100">
        <v>41514</v>
      </c>
      <c r="W89" s="100">
        <v>60998</v>
      </c>
      <c r="X89" s="100">
        <v>4101</v>
      </c>
      <c r="Y89" s="100">
        <v>71446</v>
      </c>
      <c r="Z89" s="100">
        <v>153649</v>
      </c>
      <c r="AA89" s="100">
        <v>5645</v>
      </c>
      <c r="AB89" s="100">
        <v>356606</v>
      </c>
      <c r="AC89" s="100">
        <v>23659</v>
      </c>
      <c r="AD89" s="100">
        <v>10053</v>
      </c>
      <c r="AE89" s="100">
        <v>318066</v>
      </c>
      <c r="AF89" s="100">
        <v>28993</v>
      </c>
      <c r="AG89" s="100">
        <v>0</v>
      </c>
      <c r="AH89" s="100">
        <v>36150</v>
      </c>
      <c r="AI89" s="100">
        <v>37672</v>
      </c>
      <c r="AJ89" s="100">
        <v>4289</v>
      </c>
    </row>
    <row r="90" spans="1:36" x14ac:dyDescent="0.25">
      <c r="A90" s="2">
        <v>80</v>
      </c>
      <c r="B90" s="32">
        <v>45856</v>
      </c>
      <c r="C90" s="2" t="s">
        <v>163</v>
      </c>
      <c r="F90" s="102">
        <v>0.1</v>
      </c>
      <c r="G90" s="5">
        <v>250</v>
      </c>
      <c r="H90" s="4">
        <v>0.8</v>
      </c>
      <c r="I90" s="5">
        <v>400</v>
      </c>
      <c r="J90" s="30">
        <v>1.25</v>
      </c>
      <c r="K90" s="100">
        <v>7019</v>
      </c>
      <c r="L90" s="100">
        <v>0</v>
      </c>
      <c r="M90" s="100">
        <v>48369</v>
      </c>
      <c r="N90" s="100">
        <v>12908</v>
      </c>
      <c r="O90" s="100">
        <v>0</v>
      </c>
      <c r="P90" s="100">
        <v>135949</v>
      </c>
      <c r="Q90" s="100">
        <v>0</v>
      </c>
      <c r="R90" s="100">
        <v>11413</v>
      </c>
      <c r="S90" s="100">
        <v>0</v>
      </c>
      <c r="T90" s="100">
        <v>117999</v>
      </c>
      <c r="U90" s="100">
        <v>67718</v>
      </c>
      <c r="V90" s="100">
        <v>42473</v>
      </c>
      <c r="W90" s="100">
        <v>55055</v>
      </c>
      <c r="X90" s="100">
        <v>4509</v>
      </c>
      <c r="Y90" s="100">
        <v>52636</v>
      </c>
      <c r="Z90" s="100">
        <v>172107</v>
      </c>
      <c r="AA90" s="100">
        <v>0</v>
      </c>
      <c r="AB90" s="100">
        <v>358091</v>
      </c>
      <c r="AC90" s="100">
        <v>14451</v>
      </c>
      <c r="AD90" s="100">
        <v>9792</v>
      </c>
      <c r="AE90" s="100">
        <v>285575</v>
      </c>
      <c r="AF90" s="100">
        <v>27187</v>
      </c>
      <c r="AG90" s="100">
        <v>0</v>
      </c>
      <c r="AH90" s="100">
        <v>42750</v>
      </c>
      <c r="AI90" s="100">
        <v>42420</v>
      </c>
      <c r="AJ90" s="100">
        <v>2766</v>
      </c>
    </row>
    <row r="91" spans="1:36" x14ac:dyDescent="0.25">
      <c r="A91" s="2">
        <v>81</v>
      </c>
      <c r="B91" s="32">
        <v>45856</v>
      </c>
      <c r="C91" s="2" t="s">
        <v>164</v>
      </c>
      <c r="F91" s="102">
        <v>0.1</v>
      </c>
      <c r="G91" s="5">
        <v>250</v>
      </c>
      <c r="H91" s="4">
        <v>0.8</v>
      </c>
      <c r="I91" s="5">
        <v>400</v>
      </c>
      <c r="J91" s="30">
        <v>1.25</v>
      </c>
      <c r="K91" s="100">
        <v>5022</v>
      </c>
      <c r="L91" s="100">
        <v>0</v>
      </c>
      <c r="M91" s="100">
        <v>37051</v>
      </c>
      <c r="N91" s="100">
        <v>11653</v>
      </c>
      <c r="O91" s="100">
        <v>0</v>
      </c>
      <c r="P91" s="100">
        <v>106634</v>
      </c>
      <c r="Q91" s="100">
        <v>0</v>
      </c>
      <c r="R91" s="100">
        <v>14899</v>
      </c>
      <c r="S91" s="100">
        <v>0</v>
      </c>
      <c r="T91" s="100">
        <v>99263</v>
      </c>
      <c r="U91" s="100">
        <v>63536</v>
      </c>
      <c r="V91" s="100">
        <v>36235</v>
      </c>
      <c r="W91" s="100">
        <v>55080</v>
      </c>
      <c r="X91" s="100">
        <v>3659</v>
      </c>
      <c r="Y91" s="100">
        <v>48208</v>
      </c>
      <c r="Z91" s="100">
        <v>192359</v>
      </c>
      <c r="AA91" s="100">
        <v>7041</v>
      </c>
      <c r="AB91" s="100">
        <v>325540</v>
      </c>
      <c r="AC91" s="100">
        <v>13780</v>
      </c>
      <c r="AD91" s="100">
        <v>6302</v>
      </c>
      <c r="AE91" s="100">
        <v>259615</v>
      </c>
      <c r="AF91" s="100">
        <v>25417</v>
      </c>
      <c r="AG91" s="100">
        <v>0</v>
      </c>
      <c r="AH91" s="100">
        <v>36861</v>
      </c>
      <c r="AI91" s="100">
        <v>36343</v>
      </c>
      <c r="AJ91" s="100">
        <v>2391</v>
      </c>
    </row>
    <row r="92" spans="1:36" x14ac:dyDescent="0.25">
      <c r="A92" s="2">
        <v>82</v>
      </c>
      <c r="B92" s="32">
        <v>45856</v>
      </c>
      <c r="C92" s="2" t="s">
        <v>164</v>
      </c>
      <c r="F92" s="102">
        <v>0.1</v>
      </c>
      <c r="G92" s="5">
        <v>250</v>
      </c>
      <c r="H92" s="4">
        <v>0.8</v>
      </c>
      <c r="I92" s="5">
        <v>400</v>
      </c>
      <c r="J92" s="30">
        <v>1.25</v>
      </c>
      <c r="K92" s="100">
        <v>4004</v>
      </c>
      <c r="L92" s="100">
        <v>0</v>
      </c>
      <c r="M92" s="100">
        <v>23912</v>
      </c>
      <c r="N92" s="100">
        <v>9385</v>
      </c>
      <c r="O92" s="100">
        <v>0</v>
      </c>
      <c r="P92" s="100">
        <v>117631</v>
      </c>
      <c r="Q92" s="100">
        <v>0</v>
      </c>
      <c r="R92" s="100">
        <v>14170</v>
      </c>
      <c r="S92" s="100">
        <v>0</v>
      </c>
      <c r="T92" s="100">
        <v>128042</v>
      </c>
      <c r="U92" s="100">
        <v>83628</v>
      </c>
      <c r="V92" s="100">
        <v>47927</v>
      </c>
      <c r="W92" s="100">
        <v>81334</v>
      </c>
      <c r="X92" s="100">
        <v>8066</v>
      </c>
      <c r="Y92" s="100">
        <v>70977</v>
      </c>
      <c r="Z92" s="100">
        <v>261163</v>
      </c>
      <c r="AA92" s="100">
        <v>11283</v>
      </c>
      <c r="AB92" s="100">
        <v>384736</v>
      </c>
      <c r="AC92" s="100">
        <v>19016</v>
      </c>
      <c r="AD92" s="100">
        <v>8702</v>
      </c>
      <c r="AE92" s="100">
        <v>337609</v>
      </c>
      <c r="AF92" s="100">
        <v>32076</v>
      </c>
      <c r="AG92" s="100">
        <v>0</v>
      </c>
      <c r="AH92" s="100">
        <v>125344</v>
      </c>
      <c r="AI92" s="100">
        <v>47979</v>
      </c>
      <c r="AJ92" s="100">
        <v>3506</v>
      </c>
    </row>
    <row r="93" spans="1:36" x14ac:dyDescent="0.25">
      <c r="A93" s="2">
        <v>83</v>
      </c>
      <c r="B93" s="32">
        <v>45856</v>
      </c>
      <c r="C93" s="2" t="s">
        <v>184</v>
      </c>
      <c r="F93" s="102">
        <v>0.1</v>
      </c>
      <c r="G93" s="5">
        <v>250</v>
      </c>
      <c r="H93" s="4">
        <v>0.8</v>
      </c>
      <c r="I93" s="5">
        <v>400</v>
      </c>
      <c r="J93" s="30">
        <v>1.25</v>
      </c>
      <c r="K93" s="100">
        <v>0</v>
      </c>
      <c r="L93" s="100">
        <v>0</v>
      </c>
      <c r="M93" s="100">
        <v>7950</v>
      </c>
      <c r="N93" s="100">
        <v>2962</v>
      </c>
      <c r="O93" s="100">
        <v>0</v>
      </c>
      <c r="P93" s="100">
        <v>42697</v>
      </c>
      <c r="Q93" s="100">
        <v>0</v>
      </c>
      <c r="R93" s="100">
        <v>3426</v>
      </c>
      <c r="S93" s="100">
        <v>0</v>
      </c>
      <c r="T93" s="100">
        <v>37920</v>
      </c>
      <c r="U93" s="100">
        <v>24308</v>
      </c>
      <c r="V93" s="100">
        <v>14497</v>
      </c>
      <c r="W93" s="100">
        <v>22000</v>
      </c>
      <c r="X93" s="100">
        <v>1401</v>
      </c>
      <c r="Y93" s="100">
        <v>19049</v>
      </c>
      <c r="Z93" s="100">
        <v>69358</v>
      </c>
      <c r="AA93" s="100">
        <v>0</v>
      </c>
      <c r="AB93" s="100">
        <v>384245</v>
      </c>
      <c r="AC93" s="100">
        <v>4981</v>
      </c>
      <c r="AD93" s="100">
        <v>0</v>
      </c>
      <c r="AE93" s="100">
        <v>98490</v>
      </c>
      <c r="AF93" s="100">
        <v>9369</v>
      </c>
      <c r="AG93" s="100">
        <v>0</v>
      </c>
      <c r="AH93" s="100">
        <v>7124</v>
      </c>
      <c r="AI93" s="100">
        <v>14265</v>
      </c>
      <c r="AJ93" s="100">
        <v>0</v>
      </c>
    </row>
    <row r="94" spans="1:36" x14ac:dyDescent="0.25">
      <c r="A94" s="2">
        <v>84</v>
      </c>
      <c r="B94" s="32">
        <v>45856</v>
      </c>
      <c r="C94" s="2" t="s">
        <v>184</v>
      </c>
      <c r="F94" s="102">
        <v>0.1</v>
      </c>
      <c r="G94" s="5">
        <v>250</v>
      </c>
      <c r="H94" s="4">
        <v>1.3</v>
      </c>
      <c r="I94" s="5">
        <v>350</v>
      </c>
      <c r="J94" s="30">
        <v>1.25</v>
      </c>
      <c r="K94" s="100">
        <v>3810</v>
      </c>
      <c r="L94" s="100">
        <v>0</v>
      </c>
      <c r="M94" s="100">
        <v>27161</v>
      </c>
      <c r="N94" s="100">
        <v>4125</v>
      </c>
      <c r="O94" s="100">
        <v>0</v>
      </c>
      <c r="P94" s="100">
        <v>53025</v>
      </c>
      <c r="Q94" s="100">
        <v>0</v>
      </c>
      <c r="R94" s="100">
        <v>12529</v>
      </c>
      <c r="S94" s="100">
        <v>0</v>
      </c>
      <c r="T94" s="100">
        <v>39047</v>
      </c>
      <c r="U94" s="100">
        <v>21323</v>
      </c>
      <c r="V94" s="100">
        <v>7765</v>
      </c>
      <c r="W94" s="100">
        <v>39334</v>
      </c>
      <c r="X94" s="100">
        <v>0</v>
      </c>
      <c r="Y94" s="100">
        <v>43082</v>
      </c>
      <c r="Z94" s="100">
        <v>44290</v>
      </c>
      <c r="AA94" s="100">
        <v>0</v>
      </c>
      <c r="AB94" s="100">
        <v>151747</v>
      </c>
      <c r="AC94" s="100">
        <v>14141</v>
      </c>
      <c r="AD94" s="100">
        <v>0</v>
      </c>
      <c r="AE94" s="100">
        <v>135415</v>
      </c>
      <c r="AF94" s="100">
        <v>9754</v>
      </c>
      <c r="AG94" s="100">
        <v>0</v>
      </c>
      <c r="AH94" s="100">
        <v>6844</v>
      </c>
      <c r="AI94" s="100">
        <v>9398</v>
      </c>
      <c r="AJ94" s="100">
        <v>0</v>
      </c>
    </row>
    <row r="95" spans="1:36" x14ac:dyDescent="0.25">
      <c r="A95" s="2">
        <v>85</v>
      </c>
      <c r="B95" s="32">
        <v>45856</v>
      </c>
      <c r="C95" s="2" t="s">
        <v>185</v>
      </c>
      <c r="F95" s="102">
        <v>0.1</v>
      </c>
      <c r="G95" s="5">
        <v>250</v>
      </c>
      <c r="H95" s="4">
        <v>0.8</v>
      </c>
      <c r="I95" s="5">
        <v>400</v>
      </c>
      <c r="J95" s="30">
        <v>1.25</v>
      </c>
      <c r="K95" s="100">
        <v>0</v>
      </c>
      <c r="L95" s="100">
        <v>0</v>
      </c>
      <c r="M95" s="100">
        <v>11009</v>
      </c>
      <c r="N95" s="100">
        <v>3562</v>
      </c>
      <c r="O95" s="100">
        <v>0</v>
      </c>
      <c r="P95" s="100">
        <v>61827</v>
      </c>
      <c r="Q95" s="100">
        <v>0</v>
      </c>
      <c r="R95" s="100">
        <v>4385</v>
      </c>
      <c r="S95" s="100">
        <v>0</v>
      </c>
      <c r="T95" s="100">
        <v>57189</v>
      </c>
      <c r="U95" s="100">
        <v>31664</v>
      </c>
      <c r="V95" s="100">
        <v>20588</v>
      </c>
      <c r="W95" s="100">
        <v>28068</v>
      </c>
      <c r="X95" s="100">
        <v>1993</v>
      </c>
      <c r="Y95" s="100">
        <v>24708</v>
      </c>
      <c r="Z95" s="100">
        <v>91577</v>
      </c>
      <c r="AA95" s="100">
        <v>3193</v>
      </c>
      <c r="AB95" s="100">
        <v>378467</v>
      </c>
      <c r="AC95" s="100">
        <v>7278</v>
      </c>
      <c r="AD95" s="100">
        <v>3394</v>
      </c>
      <c r="AE95" s="100">
        <v>132042</v>
      </c>
      <c r="AF95" s="100">
        <v>12387</v>
      </c>
      <c r="AG95" s="100">
        <v>0</v>
      </c>
      <c r="AH95" s="100">
        <v>9850</v>
      </c>
      <c r="AI95" s="100">
        <v>19773</v>
      </c>
      <c r="AJ95" s="100">
        <v>0</v>
      </c>
    </row>
    <row r="96" spans="1:36" x14ac:dyDescent="0.25">
      <c r="A96" s="2">
        <v>86</v>
      </c>
      <c r="B96" s="32">
        <v>45856</v>
      </c>
      <c r="C96" s="2" t="s">
        <v>185</v>
      </c>
      <c r="F96" s="102">
        <v>0.1</v>
      </c>
      <c r="G96" s="5">
        <v>250</v>
      </c>
      <c r="H96" s="4">
        <v>0.8</v>
      </c>
      <c r="I96" s="5">
        <v>400</v>
      </c>
      <c r="J96" s="30">
        <v>1.25</v>
      </c>
      <c r="K96" s="100">
        <v>0</v>
      </c>
      <c r="L96" s="100">
        <v>0</v>
      </c>
      <c r="M96" s="100">
        <v>12819</v>
      </c>
      <c r="N96" s="100">
        <v>3697</v>
      </c>
      <c r="O96" s="100">
        <v>0</v>
      </c>
      <c r="P96" s="100">
        <v>66777</v>
      </c>
      <c r="Q96" s="100">
        <v>0</v>
      </c>
      <c r="R96" s="100">
        <v>5235</v>
      </c>
      <c r="S96" s="100">
        <v>0</v>
      </c>
      <c r="T96" s="100">
        <v>58314</v>
      </c>
      <c r="U96" s="100">
        <v>34297</v>
      </c>
      <c r="V96" s="100">
        <v>22734</v>
      </c>
      <c r="W96" s="100">
        <v>29027</v>
      </c>
      <c r="X96" s="100">
        <v>1836</v>
      </c>
      <c r="Y96" s="100">
        <v>26678</v>
      </c>
      <c r="Z96" s="100">
        <v>99951</v>
      </c>
      <c r="AA96" s="100">
        <v>2357</v>
      </c>
      <c r="AB96" s="100">
        <v>387265</v>
      </c>
      <c r="AC96" s="100">
        <v>7961</v>
      </c>
      <c r="AD96" s="100">
        <v>4212</v>
      </c>
      <c r="AE96" s="100">
        <v>145778</v>
      </c>
      <c r="AF96" s="100">
        <v>14157</v>
      </c>
      <c r="AG96" s="100">
        <v>0</v>
      </c>
      <c r="AH96" s="100">
        <v>19542</v>
      </c>
      <c r="AI96" s="100">
        <v>23019</v>
      </c>
      <c r="AJ96" s="100">
        <v>0</v>
      </c>
    </row>
    <row r="97" spans="1:36" x14ac:dyDescent="0.25">
      <c r="A97" s="2">
        <v>87</v>
      </c>
      <c r="B97" s="32">
        <v>45856</v>
      </c>
      <c r="C97" s="2" t="s">
        <v>186</v>
      </c>
      <c r="F97" s="102">
        <v>0.1</v>
      </c>
      <c r="G97" s="5">
        <v>250</v>
      </c>
      <c r="H97" s="4">
        <v>0.8</v>
      </c>
      <c r="I97" s="5">
        <v>400</v>
      </c>
      <c r="J97" s="30">
        <v>1.25</v>
      </c>
      <c r="K97" s="100">
        <v>1997</v>
      </c>
      <c r="L97" s="100">
        <v>0</v>
      </c>
      <c r="M97" s="100">
        <v>19666</v>
      </c>
      <c r="N97" s="100">
        <v>6889</v>
      </c>
      <c r="O97" s="100">
        <v>0</v>
      </c>
      <c r="P97" s="100">
        <v>101805</v>
      </c>
      <c r="Q97" s="100">
        <v>0</v>
      </c>
      <c r="R97" s="100">
        <v>8147</v>
      </c>
      <c r="S97" s="100">
        <v>0</v>
      </c>
      <c r="T97" s="100">
        <v>92546</v>
      </c>
      <c r="U97" s="100">
        <v>55365</v>
      </c>
      <c r="V97" s="100">
        <v>35514</v>
      </c>
      <c r="W97" s="100">
        <v>53403</v>
      </c>
      <c r="X97" s="100">
        <v>4394</v>
      </c>
      <c r="Y97" s="100">
        <v>40339</v>
      </c>
      <c r="Z97" s="100">
        <v>148272</v>
      </c>
      <c r="AA97" s="100">
        <v>4179</v>
      </c>
      <c r="AB97" s="100">
        <v>392904</v>
      </c>
      <c r="AC97" s="100">
        <v>11041</v>
      </c>
      <c r="AD97" s="100">
        <v>7040</v>
      </c>
      <c r="AE97" s="100">
        <v>221970</v>
      </c>
      <c r="AF97" s="100">
        <v>22039</v>
      </c>
      <c r="AG97" s="100">
        <v>0</v>
      </c>
      <c r="AH97" s="100">
        <v>37074</v>
      </c>
      <c r="AI97" s="100">
        <v>36679</v>
      </c>
      <c r="AJ97" s="100">
        <v>2270</v>
      </c>
    </row>
    <row r="98" spans="1:36" x14ac:dyDescent="0.25">
      <c r="A98" s="2">
        <v>88</v>
      </c>
      <c r="B98" s="32">
        <v>45856</v>
      </c>
      <c r="C98" s="2" t="s">
        <v>186</v>
      </c>
      <c r="F98" s="102">
        <v>0.1</v>
      </c>
      <c r="G98" s="5">
        <v>250</v>
      </c>
      <c r="H98" s="4">
        <v>0.8</v>
      </c>
      <c r="I98" s="5">
        <v>400</v>
      </c>
      <c r="J98" s="30">
        <v>1.25</v>
      </c>
      <c r="K98" s="100">
        <v>8696</v>
      </c>
      <c r="L98" s="100">
        <v>0</v>
      </c>
      <c r="M98" s="100">
        <v>54625</v>
      </c>
      <c r="N98" s="100">
        <v>8278</v>
      </c>
      <c r="O98" s="100">
        <v>0</v>
      </c>
      <c r="P98" s="100">
        <v>91259</v>
      </c>
      <c r="Q98" s="100">
        <v>0</v>
      </c>
      <c r="R98" s="100">
        <v>9554</v>
      </c>
      <c r="S98" s="100">
        <v>0</v>
      </c>
      <c r="T98" s="100">
        <v>77008</v>
      </c>
      <c r="U98" s="100">
        <v>47230</v>
      </c>
      <c r="V98" s="100">
        <v>29084</v>
      </c>
      <c r="W98" s="100">
        <v>43960</v>
      </c>
      <c r="X98" s="100">
        <v>2574</v>
      </c>
      <c r="Y98" s="100">
        <v>33331</v>
      </c>
      <c r="Z98" s="100">
        <v>120142</v>
      </c>
      <c r="AA98" s="100">
        <v>0</v>
      </c>
      <c r="AB98" s="100">
        <v>315878</v>
      </c>
      <c r="AC98" s="100">
        <v>8452</v>
      </c>
      <c r="AD98" s="100">
        <v>0</v>
      </c>
      <c r="AE98" s="100">
        <v>179260</v>
      </c>
      <c r="AF98" s="100">
        <v>15986</v>
      </c>
      <c r="AG98" s="100">
        <v>0</v>
      </c>
      <c r="AH98" s="100">
        <v>7174</v>
      </c>
      <c r="AI98" s="100">
        <v>29066</v>
      </c>
      <c r="AJ98" s="100">
        <v>0</v>
      </c>
    </row>
    <row r="99" spans="1:36" x14ac:dyDescent="0.25">
      <c r="A99" s="2">
        <v>89</v>
      </c>
      <c r="B99" s="32">
        <v>45856</v>
      </c>
      <c r="C99" s="2" t="s">
        <v>187</v>
      </c>
      <c r="F99" s="102">
        <v>0.1</v>
      </c>
      <c r="G99" s="5">
        <v>250</v>
      </c>
      <c r="H99" s="4">
        <v>0.8</v>
      </c>
      <c r="I99" s="5">
        <v>400</v>
      </c>
      <c r="J99" s="30">
        <v>1.25</v>
      </c>
      <c r="K99" s="100">
        <v>3236</v>
      </c>
      <c r="L99" s="100">
        <v>0</v>
      </c>
      <c r="M99" s="100">
        <v>26052</v>
      </c>
      <c r="N99" s="100">
        <v>8515</v>
      </c>
      <c r="O99" s="100">
        <v>0</v>
      </c>
      <c r="P99" s="100">
        <v>128321</v>
      </c>
      <c r="Q99" s="100">
        <v>0</v>
      </c>
      <c r="R99" s="100">
        <v>9152</v>
      </c>
      <c r="S99" s="100">
        <v>0</v>
      </c>
      <c r="T99" s="100">
        <v>123866</v>
      </c>
      <c r="U99" s="100">
        <v>70317</v>
      </c>
      <c r="V99" s="100">
        <v>43542</v>
      </c>
      <c r="W99" s="100">
        <v>63257</v>
      </c>
      <c r="X99" s="100">
        <v>4251</v>
      </c>
      <c r="Y99" s="100">
        <v>45293</v>
      </c>
      <c r="Z99" s="100">
        <v>159987</v>
      </c>
      <c r="AA99" s="100">
        <v>7550</v>
      </c>
      <c r="AB99" s="100">
        <v>357694</v>
      </c>
      <c r="AC99" s="100">
        <v>12952</v>
      </c>
      <c r="AD99" s="100">
        <v>6952</v>
      </c>
      <c r="AE99" s="100">
        <v>271280</v>
      </c>
      <c r="AF99" s="100">
        <v>26758</v>
      </c>
      <c r="AG99" s="100">
        <v>0</v>
      </c>
      <c r="AH99" s="100">
        <v>38126</v>
      </c>
      <c r="AI99" s="100">
        <v>43328</v>
      </c>
      <c r="AJ99" s="100">
        <v>2436</v>
      </c>
    </row>
    <row r="100" spans="1:36" x14ac:dyDescent="0.25">
      <c r="A100" s="2">
        <v>90</v>
      </c>
      <c r="B100" s="32">
        <v>45856</v>
      </c>
      <c r="C100" s="2" t="s">
        <v>187</v>
      </c>
      <c r="F100" s="102">
        <v>0.1</v>
      </c>
      <c r="G100" s="5">
        <v>250</v>
      </c>
      <c r="H100" s="4">
        <v>0.8</v>
      </c>
      <c r="I100" s="5">
        <v>400</v>
      </c>
      <c r="J100" s="30">
        <v>1.25</v>
      </c>
      <c r="K100" s="100">
        <v>3610</v>
      </c>
      <c r="L100" s="100">
        <v>0</v>
      </c>
      <c r="M100" s="100">
        <v>28703</v>
      </c>
      <c r="N100" s="100">
        <v>9033</v>
      </c>
      <c r="O100" s="100">
        <v>0</v>
      </c>
      <c r="P100" s="100">
        <v>141573</v>
      </c>
      <c r="Q100" s="100">
        <v>0</v>
      </c>
      <c r="R100" s="100">
        <v>14200</v>
      </c>
      <c r="S100" s="100">
        <v>0</v>
      </c>
      <c r="T100" s="100">
        <v>126284</v>
      </c>
      <c r="U100" s="100">
        <v>72842</v>
      </c>
      <c r="V100" s="100">
        <v>46756</v>
      </c>
      <c r="W100" s="100">
        <v>70744</v>
      </c>
      <c r="X100" s="100">
        <v>8086</v>
      </c>
      <c r="Y100" s="100">
        <v>51911</v>
      </c>
      <c r="Z100" s="100">
        <v>186674</v>
      </c>
      <c r="AA100" s="100">
        <v>12200</v>
      </c>
      <c r="AB100" s="100">
        <v>344330</v>
      </c>
      <c r="AC100" s="100">
        <v>13887</v>
      </c>
      <c r="AD100" s="100">
        <v>5725</v>
      </c>
      <c r="AE100" s="100">
        <v>288527</v>
      </c>
      <c r="AF100" s="100">
        <v>30222</v>
      </c>
      <c r="AG100" s="100">
        <v>0</v>
      </c>
      <c r="AH100" s="100">
        <v>33951</v>
      </c>
      <c r="AI100" s="100">
        <v>43748</v>
      </c>
      <c r="AJ100" s="100">
        <v>2312</v>
      </c>
    </row>
    <row r="101" spans="1:36" x14ac:dyDescent="0.25">
      <c r="A101" s="2">
        <v>91</v>
      </c>
      <c r="B101" s="32">
        <v>45856</v>
      </c>
      <c r="C101" s="2" t="s">
        <v>188</v>
      </c>
      <c r="F101" s="102">
        <v>0.1</v>
      </c>
      <c r="G101" s="5">
        <v>250</v>
      </c>
      <c r="H101" s="4">
        <v>0.8</v>
      </c>
      <c r="I101" s="5">
        <v>400</v>
      </c>
      <c r="J101" s="30">
        <v>1.25</v>
      </c>
      <c r="K101" s="100">
        <v>3266</v>
      </c>
      <c r="L101" s="100">
        <v>0</v>
      </c>
      <c r="M101" s="100">
        <v>21955</v>
      </c>
      <c r="N101" s="100">
        <v>3593</v>
      </c>
      <c r="O101" s="100">
        <v>0</v>
      </c>
      <c r="P101" s="100">
        <v>108129</v>
      </c>
      <c r="Q101" s="100">
        <v>0</v>
      </c>
      <c r="R101" s="100">
        <v>20234</v>
      </c>
      <c r="S101" s="100">
        <v>0</v>
      </c>
      <c r="T101" s="100">
        <v>62427</v>
      </c>
      <c r="U101" s="100">
        <v>45271</v>
      </c>
      <c r="V101" s="100">
        <v>20506</v>
      </c>
      <c r="W101" s="100">
        <v>30703</v>
      </c>
      <c r="X101" s="100">
        <v>2450</v>
      </c>
      <c r="Y101" s="100">
        <v>71429</v>
      </c>
      <c r="Z101" s="100">
        <v>133711</v>
      </c>
      <c r="AA101" s="100">
        <v>7311</v>
      </c>
      <c r="AB101" s="100">
        <v>382367</v>
      </c>
      <c r="AC101" s="100">
        <v>26946</v>
      </c>
      <c r="AD101" s="100">
        <v>3296</v>
      </c>
      <c r="AE101" s="100">
        <v>271086</v>
      </c>
      <c r="AF101" s="100">
        <v>20452</v>
      </c>
      <c r="AG101" s="100">
        <v>0</v>
      </c>
      <c r="AH101" s="100">
        <v>21179</v>
      </c>
      <c r="AI101" s="100">
        <v>16348</v>
      </c>
      <c r="AJ101" s="100">
        <v>4703</v>
      </c>
    </row>
    <row r="102" spans="1:36" x14ac:dyDescent="0.25">
      <c r="A102" s="2">
        <v>92</v>
      </c>
      <c r="B102" s="32">
        <v>45856</v>
      </c>
      <c r="C102" s="2" t="s">
        <v>188</v>
      </c>
      <c r="F102" s="102">
        <v>0.1</v>
      </c>
      <c r="G102" s="5">
        <v>250</v>
      </c>
      <c r="H102" s="4">
        <v>0.8</v>
      </c>
      <c r="I102" s="5">
        <v>400</v>
      </c>
      <c r="J102" s="30">
        <v>1.25</v>
      </c>
      <c r="K102" s="100">
        <v>1619</v>
      </c>
      <c r="L102" s="100">
        <v>0</v>
      </c>
      <c r="M102" s="100">
        <v>27066</v>
      </c>
      <c r="N102" s="100">
        <v>4159</v>
      </c>
      <c r="O102" s="100">
        <v>0</v>
      </c>
      <c r="P102" s="100">
        <v>99835</v>
      </c>
      <c r="Q102" s="100">
        <v>0</v>
      </c>
      <c r="R102" s="100">
        <v>20765</v>
      </c>
      <c r="S102" s="100">
        <v>0</v>
      </c>
      <c r="T102" s="100">
        <v>52214</v>
      </c>
      <c r="U102" s="100">
        <v>39083</v>
      </c>
      <c r="V102" s="100">
        <v>15920</v>
      </c>
      <c r="W102" s="100">
        <v>24749</v>
      </c>
      <c r="X102" s="100">
        <v>0</v>
      </c>
      <c r="Y102" s="100">
        <v>1059</v>
      </c>
      <c r="Z102" s="100">
        <v>111940</v>
      </c>
      <c r="AA102" s="100">
        <v>8653</v>
      </c>
      <c r="AB102" s="100">
        <v>373468</v>
      </c>
      <c r="AC102" s="100">
        <v>28265</v>
      </c>
      <c r="AD102" s="100">
        <v>3724</v>
      </c>
      <c r="AE102" s="100">
        <v>261968</v>
      </c>
      <c r="AF102" s="100">
        <v>20496</v>
      </c>
      <c r="AG102" s="100">
        <v>0</v>
      </c>
      <c r="AH102" s="100">
        <v>26128</v>
      </c>
      <c r="AI102" s="100">
        <v>11720</v>
      </c>
      <c r="AJ102" s="100">
        <v>4890</v>
      </c>
    </row>
    <row r="103" spans="1:36" x14ac:dyDescent="0.25">
      <c r="A103" s="2">
        <v>93</v>
      </c>
      <c r="B103" s="32">
        <v>45856</v>
      </c>
      <c r="C103" s="2" t="s">
        <v>190</v>
      </c>
      <c r="F103" s="102">
        <v>0.1</v>
      </c>
      <c r="G103" s="5">
        <v>250</v>
      </c>
      <c r="H103" s="4">
        <v>0.8</v>
      </c>
      <c r="I103" s="5">
        <v>400</v>
      </c>
      <c r="J103" s="30">
        <v>1.25</v>
      </c>
      <c r="K103" s="100">
        <v>15291</v>
      </c>
      <c r="L103" s="100">
        <v>10157</v>
      </c>
      <c r="M103" s="100">
        <v>90278</v>
      </c>
      <c r="N103" s="100">
        <v>14227</v>
      </c>
      <c r="O103" s="100">
        <v>0</v>
      </c>
      <c r="P103" s="100">
        <v>298520</v>
      </c>
      <c r="Q103" s="100">
        <v>0</v>
      </c>
      <c r="R103" s="100">
        <v>73777</v>
      </c>
      <c r="S103" s="100">
        <v>0</v>
      </c>
      <c r="T103" s="100">
        <v>156231</v>
      </c>
      <c r="U103" s="100">
        <v>111023</v>
      </c>
      <c r="V103" s="100">
        <v>27770</v>
      </c>
      <c r="W103" s="100">
        <v>84018</v>
      </c>
      <c r="X103" s="100">
        <v>6941</v>
      </c>
      <c r="Y103" s="100">
        <v>196293</v>
      </c>
      <c r="Z103" s="100">
        <v>335965</v>
      </c>
      <c r="AA103" s="100">
        <v>18535</v>
      </c>
      <c r="AB103" s="100">
        <v>396064</v>
      </c>
      <c r="AC103" s="100">
        <v>80135</v>
      </c>
      <c r="AD103" s="100">
        <v>5589</v>
      </c>
      <c r="AE103" s="100">
        <v>743321</v>
      </c>
      <c r="AF103" s="100">
        <v>58119</v>
      </c>
      <c r="AG103" s="100">
        <v>0</v>
      </c>
      <c r="AH103" s="100">
        <v>129891</v>
      </c>
      <c r="AI103" s="100">
        <v>33560</v>
      </c>
      <c r="AJ103" s="100">
        <v>3631</v>
      </c>
    </row>
    <row r="104" spans="1:36" x14ac:dyDescent="0.25">
      <c r="A104" s="2">
        <v>94</v>
      </c>
      <c r="B104" s="32">
        <v>45856</v>
      </c>
      <c r="C104" s="2" t="s">
        <v>190</v>
      </c>
      <c r="F104" s="102">
        <v>0.1</v>
      </c>
      <c r="G104" s="5">
        <v>250</v>
      </c>
      <c r="H104" s="4">
        <v>0.8</v>
      </c>
      <c r="I104" s="5">
        <v>400</v>
      </c>
      <c r="J104" s="30">
        <v>1.25</v>
      </c>
      <c r="K104" s="100">
        <v>9091</v>
      </c>
      <c r="L104" s="100">
        <v>4930</v>
      </c>
      <c r="M104" s="100">
        <v>66495</v>
      </c>
      <c r="N104" s="100">
        <v>7698</v>
      </c>
      <c r="O104" s="100">
        <v>0</v>
      </c>
      <c r="P104" s="100">
        <v>301969</v>
      </c>
      <c r="Q104" s="100">
        <v>0</v>
      </c>
      <c r="R104" s="100">
        <v>66790</v>
      </c>
      <c r="S104" s="100">
        <v>0</v>
      </c>
      <c r="T104" s="100">
        <v>169261</v>
      </c>
      <c r="U104" s="100">
        <v>123845</v>
      </c>
      <c r="V104" s="100">
        <v>28321</v>
      </c>
      <c r="W104" s="100">
        <v>89577</v>
      </c>
      <c r="X104" s="100">
        <v>7618</v>
      </c>
      <c r="Y104" s="100">
        <v>219317</v>
      </c>
      <c r="Z104" s="100">
        <v>370782</v>
      </c>
      <c r="AA104" s="100">
        <v>21414</v>
      </c>
      <c r="AB104" s="100">
        <v>374859</v>
      </c>
      <c r="AC104" s="100">
        <v>85468</v>
      </c>
      <c r="AD104" s="100">
        <v>9739</v>
      </c>
      <c r="AE104" s="100">
        <v>812846</v>
      </c>
      <c r="AF104" s="100">
        <v>65080</v>
      </c>
      <c r="AG104" s="100">
        <v>0</v>
      </c>
      <c r="AH104" s="100">
        <v>153013</v>
      </c>
      <c r="AI104" s="100">
        <v>37566</v>
      </c>
      <c r="AJ104" s="100">
        <v>4661</v>
      </c>
    </row>
    <row r="105" spans="1:36" x14ac:dyDescent="0.25">
      <c r="A105" s="2">
        <v>95</v>
      </c>
      <c r="B105" s="32">
        <v>45856</v>
      </c>
      <c r="C105" s="2" t="s">
        <v>191</v>
      </c>
      <c r="F105" s="102">
        <v>0.1</v>
      </c>
      <c r="G105" s="5">
        <v>250</v>
      </c>
      <c r="H105" s="4">
        <v>0.8</v>
      </c>
      <c r="I105" s="5">
        <v>400</v>
      </c>
      <c r="J105" s="30">
        <v>1.25</v>
      </c>
      <c r="K105" s="100">
        <v>22149</v>
      </c>
      <c r="L105" s="100">
        <v>13958</v>
      </c>
      <c r="M105" s="100">
        <v>125999</v>
      </c>
      <c r="N105" s="100">
        <v>17358</v>
      </c>
      <c r="O105" s="100">
        <v>0</v>
      </c>
      <c r="P105" s="100">
        <v>427083</v>
      </c>
      <c r="Q105" s="100">
        <v>263</v>
      </c>
      <c r="R105" s="100">
        <v>105573</v>
      </c>
      <c r="S105" s="100">
        <v>0</v>
      </c>
      <c r="T105" s="100">
        <v>225724</v>
      </c>
      <c r="U105" s="100">
        <v>154874</v>
      </c>
      <c r="V105" s="100">
        <v>39282</v>
      </c>
      <c r="W105" s="100">
        <v>124127</v>
      </c>
      <c r="X105" s="100">
        <v>7597</v>
      </c>
      <c r="Y105" s="100">
        <v>266441</v>
      </c>
      <c r="Z105" s="100">
        <v>468666</v>
      </c>
      <c r="AA105" s="100">
        <v>23548</v>
      </c>
      <c r="AB105" s="100">
        <v>375922</v>
      </c>
      <c r="AC105" s="100">
        <v>107157</v>
      </c>
      <c r="AD105" s="100">
        <v>11776</v>
      </c>
      <c r="AE105" s="100">
        <v>1036204</v>
      </c>
      <c r="AF105" s="100">
        <v>85178</v>
      </c>
      <c r="AG105" s="100">
        <v>0</v>
      </c>
      <c r="AH105" s="100">
        <v>209445</v>
      </c>
      <c r="AI105" s="100">
        <v>50456</v>
      </c>
      <c r="AJ105" s="100">
        <v>5294</v>
      </c>
    </row>
    <row r="106" spans="1:36" x14ac:dyDescent="0.25">
      <c r="A106" s="2">
        <v>96</v>
      </c>
      <c r="B106" s="32">
        <v>45856</v>
      </c>
      <c r="C106" s="2" t="s">
        <v>191</v>
      </c>
      <c r="F106" s="102">
        <v>0.1</v>
      </c>
      <c r="G106" s="5">
        <v>250</v>
      </c>
      <c r="H106" s="4">
        <v>0.8</v>
      </c>
      <c r="I106" s="5">
        <v>400</v>
      </c>
      <c r="J106" s="30">
        <v>1.25</v>
      </c>
      <c r="K106" s="100">
        <v>14108</v>
      </c>
      <c r="L106" s="100">
        <v>7443</v>
      </c>
      <c r="M106" s="100">
        <v>93075</v>
      </c>
      <c r="N106" s="100">
        <v>8238</v>
      </c>
      <c r="O106" s="100">
        <v>0</v>
      </c>
      <c r="P106" s="100">
        <v>453248</v>
      </c>
      <c r="Q106" s="100">
        <v>0</v>
      </c>
      <c r="R106" s="100">
        <v>109105</v>
      </c>
      <c r="S106" s="100">
        <v>0</v>
      </c>
      <c r="T106" s="100">
        <v>233382</v>
      </c>
      <c r="U106" s="100">
        <v>164640</v>
      </c>
      <c r="V106" s="100">
        <v>42438</v>
      </c>
      <c r="W106" s="100">
        <v>130462</v>
      </c>
      <c r="X106" s="100">
        <v>7629</v>
      </c>
      <c r="Y106" s="100">
        <v>284795</v>
      </c>
      <c r="Z106" s="100">
        <v>495295</v>
      </c>
      <c r="AA106" s="100">
        <v>22084</v>
      </c>
      <c r="AB106" s="100">
        <v>385468</v>
      </c>
      <c r="AC106" s="100">
        <v>115134</v>
      </c>
      <c r="AD106" s="100">
        <v>13425</v>
      </c>
      <c r="AE106" s="100">
        <v>1088263</v>
      </c>
      <c r="AF106" s="100">
        <v>90478</v>
      </c>
      <c r="AG106" s="100">
        <v>0</v>
      </c>
      <c r="AH106" s="100">
        <v>167686</v>
      </c>
      <c r="AI106" s="100">
        <v>53565</v>
      </c>
      <c r="AJ106" s="100">
        <v>6254</v>
      </c>
    </row>
    <row r="107" spans="1:36" x14ac:dyDescent="0.25">
      <c r="A107" s="2">
        <v>97</v>
      </c>
      <c r="B107" s="32">
        <v>45856</v>
      </c>
      <c r="C107" s="2" t="s">
        <v>182</v>
      </c>
      <c r="F107" s="102">
        <v>0.1</v>
      </c>
      <c r="G107" s="5">
        <v>250</v>
      </c>
      <c r="H107" s="4">
        <v>0.8</v>
      </c>
      <c r="I107" s="5">
        <v>400</v>
      </c>
      <c r="J107" s="30">
        <v>1.25</v>
      </c>
      <c r="K107" s="100">
        <v>24889</v>
      </c>
      <c r="L107" s="100">
        <v>16139</v>
      </c>
      <c r="M107" s="100">
        <v>148432</v>
      </c>
      <c r="N107" s="100">
        <v>23055</v>
      </c>
      <c r="O107" s="100">
        <v>0</v>
      </c>
      <c r="P107" s="100">
        <v>407989</v>
      </c>
      <c r="Q107" s="100">
        <v>0</v>
      </c>
      <c r="R107" s="100">
        <v>82916</v>
      </c>
      <c r="S107" s="100">
        <v>0</v>
      </c>
      <c r="T107" s="100">
        <v>204746</v>
      </c>
      <c r="U107" s="100">
        <v>152084</v>
      </c>
      <c r="V107" s="100">
        <v>58506</v>
      </c>
      <c r="W107" s="100">
        <v>149173</v>
      </c>
      <c r="X107" s="100">
        <v>7442</v>
      </c>
      <c r="Y107" s="100">
        <v>222208</v>
      </c>
      <c r="Z107" s="100">
        <v>446833</v>
      </c>
      <c r="AA107" s="100">
        <v>23578</v>
      </c>
      <c r="AB107" s="100">
        <v>359576</v>
      </c>
      <c r="AC107" s="100">
        <v>90014</v>
      </c>
      <c r="AD107" s="100">
        <v>20699</v>
      </c>
      <c r="AE107" s="100">
        <v>990479</v>
      </c>
      <c r="AF107" s="100">
        <v>85974</v>
      </c>
      <c r="AG107" s="100">
        <v>29271</v>
      </c>
      <c r="AH107" s="100">
        <v>228091</v>
      </c>
      <c r="AI107" s="100">
        <v>46906</v>
      </c>
      <c r="AJ107" s="100">
        <v>8853</v>
      </c>
    </row>
    <row r="108" spans="1:36" x14ac:dyDescent="0.25">
      <c r="A108" s="2">
        <v>98</v>
      </c>
      <c r="B108" s="32">
        <v>45856</v>
      </c>
      <c r="C108" s="2" t="s">
        <v>182</v>
      </c>
      <c r="F108" s="102">
        <v>0.1</v>
      </c>
      <c r="G108" s="5">
        <v>250</v>
      </c>
      <c r="H108" s="4">
        <v>0.8</v>
      </c>
      <c r="I108" s="5">
        <v>400</v>
      </c>
      <c r="J108" s="30">
        <v>1.25</v>
      </c>
      <c r="K108" s="100">
        <v>21612</v>
      </c>
      <c r="L108" s="100">
        <v>15532</v>
      </c>
      <c r="M108" s="100">
        <v>141705</v>
      </c>
      <c r="N108" s="100">
        <v>22108</v>
      </c>
      <c r="O108" s="100">
        <v>0</v>
      </c>
      <c r="P108" s="100">
        <v>367785</v>
      </c>
      <c r="Q108" s="100">
        <v>0</v>
      </c>
      <c r="R108" s="100">
        <v>64981</v>
      </c>
      <c r="S108" s="100">
        <v>0</v>
      </c>
      <c r="T108" s="100">
        <v>195444</v>
      </c>
      <c r="U108" s="100">
        <v>144339</v>
      </c>
      <c r="V108" s="100">
        <v>56325</v>
      </c>
      <c r="W108" s="100">
        <v>147703</v>
      </c>
      <c r="X108" s="100">
        <v>7898</v>
      </c>
      <c r="Y108" s="100">
        <v>209180</v>
      </c>
      <c r="Z108" s="100">
        <v>429913</v>
      </c>
      <c r="AA108" s="100">
        <v>23157</v>
      </c>
      <c r="AB108" s="100">
        <v>370013</v>
      </c>
      <c r="AC108" s="100">
        <v>82167</v>
      </c>
      <c r="AD108" s="100">
        <v>18800</v>
      </c>
      <c r="AE108" s="100">
        <v>957703</v>
      </c>
      <c r="AF108" s="100">
        <v>85167</v>
      </c>
      <c r="AG108" s="100">
        <v>20548</v>
      </c>
      <c r="AH108" s="100">
        <v>233641</v>
      </c>
      <c r="AI108" s="100">
        <v>45610</v>
      </c>
      <c r="AJ108" s="100">
        <v>7697</v>
      </c>
    </row>
    <row r="109" spans="1:36" x14ac:dyDescent="0.25">
      <c r="A109" s="2">
        <v>99</v>
      </c>
      <c r="B109" s="32">
        <v>45856</v>
      </c>
      <c r="C109" s="2" t="s">
        <v>173</v>
      </c>
      <c r="F109" s="102">
        <v>0.1</v>
      </c>
      <c r="G109" s="5">
        <v>250</v>
      </c>
      <c r="H109" s="4">
        <v>0.8</v>
      </c>
      <c r="I109" s="5">
        <v>400</v>
      </c>
      <c r="J109" s="30">
        <v>1.25</v>
      </c>
      <c r="K109" s="100">
        <v>21239</v>
      </c>
      <c r="L109" s="100">
        <v>15500</v>
      </c>
      <c r="M109" s="100">
        <v>102612</v>
      </c>
      <c r="N109" s="100">
        <v>26742</v>
      </c>
      <c r="O109" s="100">
        <v>0</v>
      </c>
      <c r="P109" s="100">
        <v>266816</v>
      </c>
      <c r="Q109" s="100">
        <v>0</v>
      </c>
      <c r="R109" s="100">
        <v>61240</v>
      </c>
      <c r="S109" s="100">
        <v>0</v>
      </c>
      <c r="T109" s="100">
        <v>172398</v>
      </c>
      <c r="U109" s="100">
        <v>107938</v>
      </c>
      <c r="V109" s="100">
        <v>44462</v>
      </c>
      <c r="W109" s="100">
        <v>109307</v>
      </c>
      <c r="X109" s="100">
        <v>5834</v>
      </c>
      <c r="Y109" s="100">
        <v>202474</v>
      </c>
      <c r="Z109" s="100">
        <v>396106</v>
      </c>
      <c r="AA109" s="100">
        <v>22150</v>
      </c>
      <c r="AB109" s="100">
        <v>342992</v>
      </c>
      <c r="AC109" s="100">
        <v>77024</v>
      </c>
      <c r="AD109" s="100">
        <v>12822</v>
      </c>
      <c r="AE109" s="100">
        <v>773344</v>
      </c>
      <c r="AF109" s="100">
        <v>70685</v>
      </c>
      <c r="AG109" s="100">
        <v>13223</v>
      </c>
      <c r="AH109" s="100">
        <v>164286</v>
      </c>
      <c r="AI109" s="100">
        <v>37496</v>
      </c>
      <c r="AJ109" s="100">
        <v>5506</v>
      </c>
    </row>
    <row r="110" spans="1:36" x14ac:dyDescent="0.25">
      <c r="A110" s="2">
        <v>100</v>
      </c>
      <c r="B110" s="32">
        <v>45856</v>
      </c>
      <c r="C110" s="2" t="s">
        <v>173</v>
      </c>
      <c r="F110" s="102">
        <v>0.1</v>
      </c>
      <c r="G110" s="5">
        <v>250</v>
      </c>
      <c r="H110" s="4">
        <v>0.8</v>
      </c>
      <c r="I110" s="5">
        <v>400</v>
      </c>
      <c r="J110" s="30">
        <v>1.25</v>
      </c>
      <c r="K110" s="100">
        <v>18488</v>
      </c>
      <c r="L110" s="100">
        <v>0</v>
      </c>
      <c r="M110" s="100">
        <v>102693</v>
      </c>
      <c r="N110" s="100">
        <v>17992</v>
      </c>
      <c r="O110" s="100">
        <v>0</v>
      </c>
      <c r="P110" s="100">
        <v>285394</v>
      </c>
      <c r="Q110" s="100">
        <v>0</v>
      </c>
      <c r="R110" s="100">
        <v>69254</v>
      </c>
      <c r="S110" s="100">
        <v>0</v>
      </c>
      <c r="T110" s="100">
        <v>199827</v>
      </c>
      <c r="U110" s="100">
        <v>123516</v>
      </c>
      <c r="V110" s="100">
        <v>55841</v>
      </c>
      <c r="W110" s="100">
        <v>123741</v>
      </c>
      <c r="X110" s="100">
        <v>6555</v>
      </c>
      <c r="Y110" s="100">
        <v>231333</v>
      </c>
      <c r="Z110" s="100">
        <v>467749</v>
      </c>
      <c r="AA110" s="100">
        <v>22210</v>
      </c>
      <c r="AB110" s="100">
        <v>387547</v>
      </c>
      <c r="AC110" s="100">
        <v>90732</v>
      </c>
      <c r="AD110" s="100">
        <v>9812</v>
      </c>
      <c r="AE110" s="100">
        <v>872070</v>
      </c>
      <c r="AF110" s="100">
        <v>71234</v>
      </c>
      <c r="AG110" s="100">
        <v>28531</v>
      </c>
      <c r="AH110" s="100">
        <v>251935</v>
      </c>
      <c r="AI110" s="100">
        <v>46771</v>
      </c>
      <c r="AJ110" s="100">
        <v>6164</v>
      </c>
    </row>
    <row r="111" spans="1:36" x14ac:dyDescent="0.25">
      <c r="A111" s="2">
        <v>101</v>
      </c>
      <c r="B111" s="32">
        <v>45856</v>
      </c>
      <c r="C111" s="2" t="s">
        <v>192</v>
      </c>
      <c r="F111" s="102">
        <v>0.1</v>
      </c>
      <c r="G111" s="5">
        <v>250</v>
      </c>
      <c r="H111" s="4">
        <v>0.8</v>
      </c>
      <c r="I111" s="5">
        <v>400</v>
      </c>
      <c r="J111" s="30">
        <v>1.25</v>
      </c>
      <c r="K111" s="100">
        <v>5069</v>
      </c>
      <c r="L111" s="100">
        <v>0</v>
      </c>
      <c r="M111" s="100">
        <v>30095</v>
      </c>
      <c r="N111" s="100">
        <v>7234</v>
      </c>
      <c r="O111" s="100">
        <v>0</v>
      </c>
      <c r="P111" s="100">
        <v>148774</v>
      </c>
      <c r="Q111" s="100">
        <v>0</v>
      </c>
      <c r="R111" s="100">
        <v>32913</v>
      </c>
      <c r="S111" s="100">
        <v>0</v>
      </c>
      <c r="T111" s="100">
        <v>131421</v>
      </c>
      <c r="U111" s="100">
        <v>81153</v>
      </c>
      <c r="V111" s="100">
        <v>46197</v>
      </c>
      <c r="W111" s="100">
        <v>83004</v>
      </c>
      <c r="X111" s="100">
        <v>6607</v>
      </c>
      <c r="Y111" s="100">
        <v>85646</v>
      </c>
      <c r="Z111" s="100">
        <v>260168</v>
      </c>
      <c r="AA111" s="100">
        <v>18837</v>
      </c>
      <c r="AB111" s="100">
        <v>385359</v>
      </c>
      <c r="AC111" s="100">
        <v>27346</v>
      </c>
      <c r="AD111" s="100">
        <v>8193</v>
      </c>
      <c r="AE111" s="100">
        <v>414090</v>
      </c>
      <c r="AF111" s="100">
        <v>34992</v>
      </c>
      <c r="AG111" s="100">
        <v>0</v>
      </c>
      <c r="AH111" s="100">
        <v>150363</v>
      </c>
      <c r="AI111" s="100">
        <v>43618</v>
      </c>
      <c r="AJ111" s="100">
        <v>3554</v>
      </c>
    </row>
    <row r="112" spans="1:36" x14ac:dyDescent="0.25">
      <c r="A112" s="2">
        <v>102</v>
      </c>
      <c r="B112" s="32">
        <v>45856</v>
      </c>
      <c r="C112" s="2" t="s">
        <v>192</v>
      </c>
      <c r="F112" s="102">
        <v>0.1</v>
      </c>
      <c r="G112" s="5">
        <v>250</v>
      </c>
      <c r="H112" s="4">
        <v>0.8</v>
      </c>
      <c r="I112" s="5">
        <v>400</v>
      </c>
      <c r="J112" s="30">
        <v>1.25</v>
      </c>
      <c r="K112" s="100">
        <v>8025</v>
      </c>
      <c r="L112" s="100">
        <v>0</v>
      </c>
      <c r="M112" s="100">
        <v>42198</v>
      </c>
      <c r="N112" s="100">
        <v>14607</v>
      </c>
      <c r="O112" s="100">
        <v>0</v>
      </c>
      <c r="P112" s="100">
        <v>124129</v>
      </c>
      <c r="Q112" s="100">
        <v>0</v>
      </c>
      <c r="R112" s="100">
        <v>13914</v>
      </c>
      <c r="S112" s="100">
        <v>0</v>
      </c>
      <c r="T112" s="100">
        <v>119188</v>
      </c>
      <c r="U112" s="100">
        <v>75949</v>
      </c>
      <c r="V112" s="100">
        <v>43973</v>
      </c>
      <c r="W112" s="100">
        <v>60345</v>
      </c>
      <c r="X112" s="100">
        <v>5296</v>
      </c>
      <c r="Y112" s="100">
        <v>67488</v>
      </c>
      <c r="Z112" s="100">
        <v>240247</v>
      </c>
      <c r="AA112" s="100">
        <v>17239</v>
      </c>
      <c r="AB112" s="100">
        <v>384023</v>
      </c>
      <c r="AC112" s="100">
        <v>19611</v>
      </c>
      <c r="AD112" s="100">
        <v>9197</v>
      </c>
      <c r="AE112" s="100">
        <v>343496</v>
      </c>
      <c r="AF112" s="100">
        <v>30105</v>
      </c>
      <c r="AG112" s="100">
        <v>0</v>
      </c>
      <c r="AH112" s="100">
        <v>81503</v>
      </c>
      <c r="AI112" s="100">
        <v>40758</v>
      </c>
      <c r="AJ112" s="100">
        <v>3697</v>
      </c>
    </row>
    <row r="113" spans="1:36" x14ac:dyDescent="0.25">
      <c r="A113" s="2">
        <v>103</v>
      </c>
      <c r="B113" s="32">
        <v>45856</v>
      </c>
      <c r="C113" s="2" t="s">
        <v>193</v>
      </c>
      <c r="F113" s="102">
        <v>0.1</v>
      </c>
      <c r="G113" s="5">
        <v>250</v>
      </c>
      <c r="H113" s="4">
        <v>0.8</v>
      </c>
      <c r="I113" s="5">
        <v>400</v>
      </c>
      <c r="J113" s="30">
        <v>1.25</v>
      </c>
      <c r="K113" s="100">
        <v>4723</v>
      </c>
      <c r="L113" s="100">
        <v>0</v>
      </c>
      <c r="M113" s="100">
        <v>37398</v>
      </c>
      <c r="N113" s="100">
        <v>13192</v>
      </c>
      <c r="O113" s="100">
        <v>0</v>
      </c>
      <c r="P113" s="100">
        <v>121942</v>
      </c>
      <c r="Q113" s="100">
        <v>0</v>
      </c>
      <c r="R113" s="100">
        <v>11855</v>
      </c>
      <c r="S113" s="100">
        <v>0</v>
      </c>
      <c r="T113" s="100">
        <v>118693</v>
      </c>
      <c r="U113" s="100">
        <v>77888</v>
      </c>
      <c r="V113" s="100">
        <v>44669</v>
      </c>
      <c r="W113" s="100">
        <v>76286</v>
      </c>
      <c r="X113" s="100">
        <v>6790</v>
      </c>
      <c r="Y113" s="100">
        <v>60168</v>
      </c>
      <c r="Z113" s="100">
        <v>213587</v>
      </c>
      <c r="AA113" s="100">
        <v>14730</v>
      </c>
      <c r="AB113" s="100">
        <v>381149</v>
      </c>
      <c r="AC113" s="100">
        <v>16514</v>
      </c>
      <c r="AD113" s="100">
        <v>8995</v>
      </c>
      <c r="AE113" s="100">
        <v>319452</v>
      </c>
      <c r="AF113" s="100">
        <v>28823</v>
      </c>
      <c r="AG113" s="100">
        <v>0</v>
      </c>
      <c r="AH113" s="100">
        <v>56986</v>
      </c>
      <c r="AI113" s="100">
        <v>43226</v>
      </c>
      <c r="AJ113" s="100">
        <v>3428</v>
      </c>
    </row>
    <row r="114" spans="1:36" x14ac:dyDescent="0.25">
      <c r="A114" s="2">
        <v>104</v>
      </c>
      <c r="B114" s="32">
        <v>45856</v>
      </c>
      <c r="C114" s="2" t="s">
        <v>193</v>
      </c>
      <c r="F114" s="102">
        <v>0.1</v>
      </c>
      <c r="G114" s="5">
        <v>250</v>
      </c>
      <c r="H114" s="4">
        <v>0.8</v>
      </c>
      <c r="I114" s="5">
        <v>400</v>
      </c>
      <c r="J114" s="30">
        <v>1.25</v>
      </c>
      <c r="K114" s="100">
        <v>3962</v>
      </c>
      <c r="L114" s="100">
        <v>0</v>
      </c>
      <c r="M114" s="100">
        <v>28748</v>
      </c>
      <c r="N114" s="100">
        <v>10179</v>
      </c>
      <c r="O114" s="100">
        <v>0</v>
      </c>
      <c r="P114" s="100">
        <v>125409</v>
      </c>
      <c r="Q114" s="100">
        <v>0</v>
      </c>
      <c r="R114" s="100">
        <v>12677</v>
      </c>
      <c r="S114" s="100">
        <v>0</v>
      </c>
      <c r="T114" s="100">
        <v>119641</v>
      </c>
      <c r="U114" s="100">
        <v>77106</v>
      </c>
      <c r="V114" s="100">
        <v>44241</v>
      </c>
      <c r="W114" s="100">
        <v>77408</v>
      </c>
      <c r="X114" s="100">
        <v>6383</v>
      </c>
      <c r="Y114" s="100">
        <v>59194</v>
      </c>
      <c r="Z114" s="100">
        <v>226692</v>
      </c>
      <c r="AA114" s="100">
        <v>13410</v>
      </c>
      <c r="AB114" s="100">
        <v>375632</v>
      </c>
      <c r="AC114" s="100">
        <v>17288</v>
      </c>
      <c r="AD114" s="100">
        <v>9557</v>
      </c>
      <c r="AE114" s="100">
        <v>329669</v>
      </c>
      <c r="AF114" s="100">
        <v>30451</v>
      </c>
      <c r="AG114" s="100">
        <v>0</v>
      </c>
      <c r="AH114" s="100">
        <v>63092</v>
      </c>
      <c r="AI114" s="100">
        <v>41894</v>
      </c>
      <c r="AJ114" s="100">
        <v>3283</v>
      </c>
    </row>
    <row r="115" spans="1:36" x14ac:dyDescent="0.25">
      <c r="A115" s="2">
        <v>105</v>
      </c>
      <c r="B115" s="32">
        <v>45856</v>
      </c>
      <c r="C115" s="2" t="s">
        <v>194</v>
      </c>
      <c r="F115" s="102">
        <v>0.1</v>
      </c>
      <c r="G115" s="5">
        <v>250</v>
      </c>
      <c r="H115" s="4">
        <v>0.8</v>
      </c>
      <c r="I115" s="5">
        <v>400</v>
      </c>
      <c r="J115" s="30">
        <v>1.25</v>
      </c>
      <c r="K115" s="100">
        <v>18344</v>
      </c>
      <c r="L115" s="100">
        <v>0</v>
      </c>
      <c r="M115" s="100">
        <v>114195</v>
      </c>
      <c r="N115" s="100">
        <v>21121</v>
      </c>
      <c r="O115" s="100">
        <v>0</v>
      </c>
      <c r="P115" s="100">
        <v>285350</v>
      </c>
      <c r="Q115" s="100">
        <v>0</v>
      </c>
      <c r="R115" s="100">
        <v>75822</v>
      </c>
      <c r="S115" s="100">
        <v>0</v>
      </c>
      <c r="T115" s="100">
        <v>187359</v>
      </c>
      <c r="U115" s="100">
        <v>115131</v>
      </c>
      <c r="V115" s="100">
        <v>52382</v>
      </c>
      <c r="W115" s="100">
        <v>155608</v>
      </c>
      <c r="X115" s="100">
        <v>7962</v>
      </c>
      <c r="Y115" s="100">
        <v>208164</v>
      </c>
      <c r="Z115" s="100">
        <v>415809</v>
      </c>
      <c r="AA115" s="100">
        <v>23406</v>
      </c>
      <c r="AB115" s="100">
        <v>394837</v>
      </c>
      <c r="AC115" s="100">
        <v>80570</v>
      </c>
      <c r="AD115" s="100">
        <v>15398</v>
      </c>
      <c r="AE115" s="100">
        <v>825362</v>
      </c>
      <c r="AF115" s="100">
        <v>57753</v>
      </c>
      <c r="AG115" s="100">
        <v>6142</v>
      </c>
      <c r="AH115" s="100">
        <v>70545</v>
      </c>
      <c r="AI115" s="100">
        <v>48450</v>
      </c>
      <c r="AJ115" s="100">
        <v>10279</v>
      </c>
    </row>
    <row r="116" spans="1:36" x14ac:dyDescent="0.25">
      <c r="A116" s="2">
        <v>106</v>
      </c>
      <c r="B116" s="32">
        <v>45856</v>
      </c>
      <c r="C116" s="2" t="s">
        <v>194</v>
      </c>
      <c r="F116" s="102">
        <v>0.1</v>
      </c>
      <c r="G116" s="5">
        <v>250</v>
      </c>
      <c r="H116" s="4">
        <v>0.8</v>
      </c>
      <c r="I116" s="5">
        <v>400</v>
      </c>
      <c r="J116" s="30">
        <v>1.25</v>
      </c>
      <c r="K116" s="100">
        <v>18719</v>
      </c>
      <c r="L116" s="100">
        <v>12765</v>
      </c>
      <c r="M116" s="100">
        <v>123822</v>
      </c>
      <c r="N116" s="100">
        <v>19782</v>
      </c>
      <c r="O116" s="100">
        <v>0</v>
      </c>
      <c r="P116" s="100">
        <v>290346</v>
      </c>
      <c r="Q116" s="100">
        <v>0</v>
      </c>
      <c r="R116" s="100">
        <v>74652</v>
      </c>
      <c r="S116" s="100">
        <v>0</v>
      </c>
      <c r="T116" s="100">
        <v>197424</v>
      </c>
      <c r="U116" s="100">
        <v>120445</v>
      </c>
      <c r="V116" s="100">
        <v>51983</v>
      </c>
      <c r="W116" s="100">
        <v>171056</v>
      </c>
      <c r="X116" s="100">
        <v>9220</v>
      </c>
      <c r="Y116" s="100">
        <v>235167</v>
      </c>
      <c r="Z116" s="100">
        <v>453211</v>
      </c>
      <c r="AA116" s="100">
        <v>23847</v>
      </c>
      <c r="AB116" s="100">
        <v>391383</v>
      </c>
      <c r="AC116" s="100">
        <v>91882</v>
      </c>
      <c r="AD116" s="100">
        <v>13588</v>
      </c>
      <c r="AE116" s="100">
        <v>931266</v>
      </c>
      <c r="AF116" s="100">
        <v>67757</v>
      </c>
      <c r="AG116" s="100">
        <v>28749</v>
      </c>
      <c r="AH116" s="100">
        <v>251402</v>
      </c>
      <c r="AI116" s="100">
        <v>47568</v>
      </c>
      <c r="AJ116" s="100">
        <v>11415</v>
      </c>
    </row>
    <row r="117" spans="1:36" x14ac:dyDescent="0.25">
      <c r="A117" s="2">
        <v>107</v>
      </c>
      <c r="B117" s="32">
        <v>45856</v>
      </c>
      <c r="C117" s="2" t="s">
        <v>195</v>
      </c>
      <c r="F117" s="102">
        <v>0.1</v>
      </c>
      <c r="G117" s="5">
        <v>250</v>
      </c>
      <c r="H117" s="4">
        <v>0.8</v>
      </c>
      <c r="I117" s="5">
        <v>400</v>
      </c>
      <c r="J117" s="30">
        <v>1.25</v>
      </c>
      <c r="K117" s="100">
        <v>19005</v>
      </c>
      <c r="L117" s="100">
        <v>11330</v>
      </c>
      <c r="M117" s="100">
        <v>112284</v>
      </c>
      <c r="N117" s="100">
        <v>19869</v>
      </c>
      <c r="O117" s="100">
        <v>0</v>
      </c>
      <c r="P117" s="100">
        <v>301825</v>
      </c>
      <c r="Q117" s="100">
        <v>0</v>
      </c>
      <c r="R117" s="100">
        <v>87953</v>
      </c>
      <c r="S117" s="100">
        <v>0</v>
      </c>
      <c r="T117" s="100">
        <v>205138</v>
      </c>
      <c r="U117" s="100">
        <v>126811</v>
      </c>
      <c r="V117" s="100">
        <v>50890</v>
      </c>
      <c r="W117" s="100">
        <v>159378</v>
      </c>
      <c r="X117" s="100">
        <v>6914</v>
      </c>
      <c r="Y117" s="100">
        <v>235102</v>
      </c>
      <c r="Z117" s="100">
        <v>476546</v>
      </c>
      <c r="AA117" s="100">
        <v>26060</v>
      </c>
      <c r="AB117" s="100">
        <v>392068</v>
      </c>
      <c r="AC117" s="100">
        <v>89664</v>
      </c>
      <c r="AD117" s="100">
        <v>10683</v>
      </c>
      <c r="AE117" s="100">
        <v>918551</v>
      </c>
      <c r="AF117" s="100">
        <v>68987</v>
      </c>
      <c r="AG117" s="100">
        <v>18687</v>
      </c>
      <c r="AH117" s="100">
        <v>185364</v>
      </c>
      <c r="AI117" s="100">
        <v>50060</v>
      </c>
      <c r="AJ117" s="100">
        <v>9668</v>
      </c>
    </row>
    <row r="118" spans="1:36" x14ac:dyDescent="0.25">
      <c r="A118" s="2">
        <v>108</v>
      </c>
      <c r="B118" s="32">
        <v>45856</v>
      </c>
      <c r="C118" s="2" t="s">
        <v>195</v>
      </c>
      <c r="F118" s="102">
        <v>0.1</v>
      </c>
      <c r="G118" s="5">
        <v>250</v>
      </c>
      <c r="H118" s="4">
        <v>0.8</v>
      </c>
      <c r="I118" s="5">
        <v>400</v>
      </c>
      <c r="J118" s="30">
        <v>1.25</v>
      </c>
      <c r="K118" s="100">
        <v>13978</v>
      </c>
      <c r="L118" s="100">
        <v>7127</v>
      </c>
      <c r="M118" s="100">
        <v>102921</v>
      </c>
      <c r="N118" s="100">
        <v>19525</v>
      </c>
      <c r="O118" s="100">
        <v>0</v>
      </c>
      <c r="P118" s="100">
        <v>265974</v>
      </c>
      <c r="Q118" s="100">
        <v>0</v>
      </c>
      <c r="R118" s="100">
        <v>72216</v>
      </c>
      <c r="S118" s="100">
        <v>0</v>
      </c>
      <c r="T118" s="100">
        <v>198095</v>
      </c>
      <c r="U118" s="100">
        <v>121821</v>
      </c>
      <c r="V118" s="100">
        <v>48301</v>
      </c>
      <c r="W118" s="100">
        <v>151689</v>
      </c>
      <c r="X118" s="100">
        <v>6589</v>
      </c>
      <c r="Y118" s="100">
        <v>230511</v>
      </c>
      <c r="Z118" s="100">
        <v>469239</v>
      </c>
      <c r="AA118" s="100">
        <v>24658</v>
      </c>
      <c r="AB118" s="100">
        <v>367204</v>
      </c>
      <c r="AC118" s="100">
        <v>88751</v>
      </c>
      <c r="AD118" s="100">
        <v>10868</v>
      </c>
      <c r="AE118" s="100">
        <v>887686</v>
      </c>
      <c r="AF118" s="100">
        <v>65872</v>
      </c>
      <c r="AG118" s="100">
        <v>16923</v>
      </c>
      <c r="AH118" s="100">
        <v>164657</v>
      </c>
      <c r="AI118" s="100">
        <v>48161</v>
      </c>
      <c r="AJ118" s="100">
        <v>9107</v>
      </c>
    </row>
    <row r="119" spans="1:36" x14ac:dyDescent="0.25">
      <c r="A119" s="2">
        <v>109</v>
      </c>
      <c r="B119" s="32">
        <v>45856</v>
      </c>
      <c r="C119" s="2" t="s">
        <v>196</v>
      </c>
      <c r="F119" s="102">
        <v>0.1</v>
      </c>
      <c r="G119" s="5">
        <v>250</v>
      </c>
      <c r="H119" s="4">
        <v>0.8</v>
      </c>
      <c r="I119" s="5">
        <v>400</v>
      </c>
      <c r="J119" s="30">
        <v>1.25</v>
      </c>
      <c r="K119" s="100">
        <v>7135</v>
      </c>
      <c r="L119" s="100">
        <v>0</v>
      </c>
      <c r="M119" s="100">
        <v>39726</v>
      </c>
      <c r="N119" s="100">
        <v>10510</v>
      </c>
      <c r="O119" s="100">
        <v>0</v>
      </c>
      <c r="P119" s="100">
        <v>141429</v>
      </c>
      <c r="Q119" s="100">
        <v>0</v>
      </c>
      <c r="R119" s="100">
        <v>28920</v>
      </c>
      <c r="S119" s="100">
        <v>0</v>
      </c>
      <c r="T119" s="100">
        <v>130263</v>
      </c>
      <c r="U119" s="100">
        <v>80280</v>
      </c>
      <c r="V119" s="100">
        <v>46878</v>
      </c>
      <c r="W119" s="100">
        <v>81803</v>
      </c>
      <c r="X119" s="100">
        <v>6028</v>
      </c>
      <c r="Y119" s="100">
        <v>81378</v>
      </c>
      <c r="Z119" s="100">
        <v>257339</v>
      </c>
      <c r="AA119" s="100">
        <v>14178</v>
      </c>
      <c r="AB119" s="100">
        <v>385421</v>
      </c>
      <c r="AC119" s="100">
        <v>24583</v>
      </c>
      <c r="AD119" s="100">
        <v>6070</v>
      </c>
      <c r="AE119" s="100">
        <v>383500</v>
      </c>
      <c r="AF119" s="100">
        <v>34277</v>
      </c>
      <c r="AG119" s="100">
        <v>0</v>
      </c>
      <c r="AH119" s="100">
        <v>74318</v>
      </c>
      <c r="AI119" s="100">
        <v>47107</v>
      </c>
      <c r="AJ119" s="100">
        <v>3301</v>
      </c>
    </row>
    <row r="120" spans="1:36" x14ac:dyDescent="0.25">
      <c r="A120" s="2">
        <v>110</v>
      </c>
      <c r="B120" s="32">
        <v>45856</v>
      </c>
      <c r="C120" s="2" t="s">
        <v>196</v>
      </c>
      <c r="F120" s="102">
        <v>0.1</v>
      </c>
      <c r="G120" s="5">
        <v>250</v>
      </c>
      <c r="H120" s="4">
        <v>0.8</v>
      </c>
      <c r="I120" s="5">
        <v>400</v>
      </c>
      <c r="J120" s="30">
        <v>1.25</v>
      </c>
      <c r="K120" s="100">
        <v>7103</v>
      </c>
      <c r="L120" s="100">
        <v>0</v>
      </c>
      <c r="M120" s="100">
        <v>38869</v>
      </c>
      <c r="N120" s="100">
        <v>15920</v>
      </c>
      <c r="O120" s="100">
        <v>0</v>
      </c>
      <c r="P120" s="100">
        <v>121331</v>
      </c>
      <c r="Q120" s="100">
        <v>0</v>
      </c>
      <c r="R120" s="100">
        <v>13424</v>
      </c>
      <c r="S120" s="100">
        <v>0</v>
      </c>
      <c r="T120" s="100">
        <v>125435</v>
      </c>
      <c r="U120" s="100">
        <v>78988</v>
      </c>
      <c r="V120" s="100">
        <v>46664</v>
      </c>
      <c r="W120" s="100">
        <v>74501</v>
      </c>
      <c r="X120" s="100">
        <v>6603</v>
      </c>
      <c r="Y120" s="100">
        <v>64743</v>
      </c>
      <c r="Z120" s="100">
        <v>234295</v>
      </c>
      <c r="AA120" s="100">
        <v>14819</v>
      </c>
      <c r="AB120" s="100">
        <v>388535</v>
      </c>
      <c r="AC120" s="100">
        <v>17807</v>
      </c>
      <c r="AD120" s="100">
        <v>8297</v>
      </c>
      <c r="AE120" s="100">
        <v>325258</v>
      </c>
      <c r="AF120" s="100">
        <v>31278</v>
      </c>
      <c r="AG120" s="100">
        <v>0</v>
      </c>
      <c r="AH120" s="100">
        <v>77682</v>
      </c>
      <c r="AI120" s="100">
        <v>46279</v>
      </c>
      <c r="AJ120" s="100">
        <v>2570</v>
      </c>
    </row>
    <row r="121" spans="1:36" x14ac:dyDescent="0.25">
      <c r="A121" s="2">
        <v>111</v>
      </c>
      <c r="B121" s="32">
        <v>45856</v>
      </c>
      <c r="C121" s="2" t="s">
        <v>197</v>
      </c>
      <c r="F121" s="102">
        <v>0.1</v>
      </c>
      <c r="G121" s="5">
        <v>250</v>
      </c>
      <c r="H121" s="4">
        <v>0.8</v>
      </c>
      <c r="I121" s="5">
        <v>400</v>
      </c>
      <c r="J121" s="30">
        <v>1.25</v>
      </c>
      <c r="K121" s="100">
        <v>5512</v>
      </c>
      <c r="L121" s="100">
        <v>0</v>
      </c>
      <c r="M121" s="100">
        <v>38531</v>
      </c>
      <c r="N121" s="100">
        <v>14259</v>
      </c>
      <c r="O121" s="100">
        <v>0</v>
      </c>
      <c r="P121" s="100">
        <v>141356</v>
      </c>
      <c r="Q121" s="100">
        <v>0</v>
      </c>
      <c r="R121" s="100">
        <v>19822</v>
      </c>
      <c r="S121" s="100">
        <v>0</v>
      </c>
      <c r="T121" s="100">
        <v>129905</v>
      </c>
      <c r="U121" s="100">
        <v>76949</v>
      </c>
      <c r="V121" s="100">
        <v>45683</v>
      </c>
      <c r="W121" s="100">
        <v>75707</v>
      </c>
      <c r="X121" s="100">
        <v>5810</v>
      </c>
      <c r="Y121" s="100">
        <v>61217</v>
      </c>
      <c r="Z121" s="100">
        <v>230133</v>
      </c>
      <c r="AA121" s="100">
        <v>13318</v>
      </c>
      <c r="AB121" s="100">
        <v>403367</v>
      </c>
      <c r="AC121" s="100">
        <v>16367</v>
      </c>
      <c r="AD121" s="100">
        <v>9746</v>
      </c>
      <c r="AE121" s="100">
        <v>333149</v>
      </c>
      <c r="AF121" s="100">
        <v>32134</v>
      </c>
      <c r="AG121" s="100">
        <v>0</v>
      </c>
      <c r="AH121" s="100">
        <v>111933</v>
      </c>
      <c r="AI121" s="100">
        <v>35810</v>
      </c>
      <c r="AJ121" s="100">
        <v>3766</v>
      </c>
    </row>
    <row r="122" spans="1:36" x14ac:dyDescent="0.25">
      <c r="A122" s="2">
        <v>112</v>
      </c>
      <c r="B122" s="32">
        <v>45856</v>
      </c>
      <c r="C122" s="2" t="s">
        <v>197</v>
      </c>
      <c r="F122" s="102">
        <v>0.1</v>
      </c>
      <c r="G122" s="5">
        <v>250</v>
      </c>
      <c r="H122" s="4">
        <v>1.3</v>
      </c>
      <c r="I122" s="5">
        <v>400</v>
      </c>
      <c r="J122" s="30">
        <v>1.25</v>
      </c>
      <c r="K122" s="100">
        <v>0</v>
      </c>
      <c r="L122" s="100">
        <v>0</v>
      </c>
      <c r="M122" s="100">
        <v>10277</v>
      </c>
      <c r="N122" s="100">
        <v>2802</v>
      </c>
      <c r="O122" s="100">
        <v>0</v>
      </c>
      <c r="P122" s="100">
        <v>32978</v>
      </c>
      <c r="Q122" s="100">
        <v>0</v>
      </c>
      <c r="R122" s="100">
        <v>5083</v>
      </c>
      <c r="S122" s="100">
        <v>0</v>
      </c>
      <c r="T122" s="100">
        <v>28770</v>
      </c>
      <c r="U122" s="100">
        <v>18716</v>
      </c>
      <c r="V122" s="100">
        <v>10405</v>
      </c>
      <c r="W122" s="100">
        <v>18463</v>
      </c>
      <c r="X122" s="100">
        <v>0</v>
      </c>
      <c r="Y122" s="100">
        <v>21689</v>
      </c>
      <c r="Z122" s="100">
        <v>59907</v>
      </c>
      <c r="AA122" s="100">
        <v>4204</v>
      </c>
      <c r="AB122" s="100">
        <v>100142</v>
      </c>
      <c r="AC122" s="100">
        <v>6908</v>
      </c>
      <c r="AD122" s="100">
        <v>0</v>
      </c>
      <c r="AE122" s="100">
        <v>96268</v>
      </c>
      <c r="AF122" s="100">
        <v>8269</v>
      </c>
      <c r="AG122" s="100">
        <v>0</v>
      </c>
      <c r="AH122" s="100">
        <v>9282</v>
      </c>
      <c r="AI122" s="100">
        <v>9428</v>
      </c>
      <c r="AJ122" s="100">
        <v>934</v>
      </c>
    </row>
    <row r="123" spans="1:36" x14ac:dyDescent="0.25">
      <c r="A123" s="2">
        <v>113</v>
      </c>
      <c r="B123" s="32">
        <v>45856</v>
      </c>
      <c r="C123" s="2" t="s">
        <v>198</v>
      </c>
      <c r="F123" s="102">
        <v>0.1</v>
      </c>
      <c r="G123" s="5">
        <v>250</v>
      </c>
      <c r="H123" s="4">
        <v>0.8</v>
      </c>
      <c r="I123" s="5">
        <v>400</v>
      </c>
      <c r="J123" s="30">
        <v>1.25</v>
      </c>
      <c r="K123" s="100">
        <v>22823</v>
      </c>
      <c r="L123" s="100">
        <v>0</v>
      </c>
      <c r="M123" s="100">
        <v>130144</v>
      </c>
      <c r="N123" s="100">
        <v>17958</v>
      </c>
      <c r="O123" s="100">
        <v>0</v>
      </c>
      <c r="P123" s="100">
        <v>275346</v>
      </c>
      <c r="Q123" s="100">
        <v>0</v>
      </c>
      <c r="R123" s="100">
        <v>66447</v>
      </c>
      <c r="S123" s="100">
        <v>0</v>
      </c>
      <c r="T123" s="100">
        <v>198563</v>
      </c>
      <c r="U123" s="100">
        <v>124650</v>
      </c>
      <c r="V123" s="100">
        <v>54789</v>
      </c>
      <c r="W123" s="100">
        <v>167073</v>
      </c>
      <c r="X123" s="100">
        <v>8197</v>
      </c>
      <c r="Y123" s="100">
        <v>225736</v>
      </c>
      <c r="Z123" s="100">
        <v>451256</v>
      </c>
      <c r="AA123" s="100">
        <v>21205</v>
      </c>
      <c r="AB123" s="100">
        <v>410694</v>
      </c>
      <c r="AC123" s="100">
        <v>82995</v>
      </c>
      <c r="AD123" s="100">
        <v>20242</v>
      </c>
      <c r="AE123" s="100">
        <v>843402</v>
      </c>
      <c r="AF123" s="100">
        <v>64878</v>
      </c>
      <c r="AG123" s="100">
        <v>0</v>
      </c>
      <c r="AH123" s="100">
        <v>88656</v>
      </c>
      <c r="AI123" s="100">
        <v>52150</v>
      </c>
      <c r="AJ123" s="100">
        <v>10594</v>
      </c>
    </row>
    <row r="124" spans="1:36" x14ac:dyDescent="0.25">
      <c r="A124" s="2">
        <v>114</v>
      </c>
      <c r="B124" s="32">
        <v>45856</v>
      </c>
      <c r="C124" s="2" t="s">
        <v>198</v>
      </c>
      <c r="F124" s="102">
        <v>0.1</v>
      </c>
      <c r="G124" s="5">
        <v>250</v>
      </c>
      <c r="H124" s="4">
        <v>0.8</v>
      </c>
      <c r="I124" s="5">
        <v>400</v>
      </c>
      <c r="J124" s="30">
        <v>1.25</v>
      </c>
      <c r="K124" s="100">
        <v>22626</v>
      </c>
      <c r="L124" s="100">
        <v>15674</v>
      </c>
      <c r="M124" s="100">
        <v>143834</v>
      </c>
      <c r="N124" s="100">
        <v>22415</v>
      </c>
      <c r="O124" s="100">
        <v>0</v>
      </c>
      <c r="P124" s="100">
        <v>304287</v>
      </c>
      <c r="Q124" s="100">
        <v>0</v>
      </c>
      <c r="R124" s="100">
        <v>77100</v>
      </c>
      <c r="S124" s="100">
        <v>0</v>
      </c>
      <c r="T124" s="100">
        <v>214870</v>
      </c>
      <c r="U124" s="100">
        <v>136913</v>
      </c>
      <c r="V124" s="100">
        <v>55035</v>
      </c>
      <c r="W124" s="100">
        <v>188322</v>
      </c>
      <c r="X124" s="100">
        <v>6655</v>
      </c>
      <c r="Y124" s="100">
        <v>256224</v>
      </c>
      <c r="Z124" s="100">
        <v>459354</v>
      </c>
      <c r="AA124" s="100">
        <v>19463</v>
      </c>
      <c r="AB124" s="100">
        <v>405249</v>
      </c>
      <c r="AC124" s="100">
        <v>94737</v>
      </c>
      <c r="AD124" s="100">
        <v>13176</v>
      </c>
      <c r="AE124" s="100">
        <v>956349</v>
      </c>
      <c r="AF124" s="100">
        <v>72530</v>
      </c>
      <c r="AG124" s="100">
        <v>0</v>
      </c>
      <c r="AH124" s="100">
        <v>158969</v>
      </c>
      <c r="AI124" s="100">
        <v>50914</v>
      </c>
      <c r="AJ124" s="100">
        <v>13121</v>
      </c>
    </row>
    <row r="125" spans="1:36" x14ac:dyDescent="0.25">
      <c r="A125" s="2">
        <v>115</v>
      </c>
      <c r="B125" s="32">
        <v>45856</v>
      </c>
      <c r="C125" s="2" t="s">
        <v>199</v>
      </c>
      <c r="F125" s="102">
        <v>0.1</v>
      </c>
      <c r="G125" s="5">
        <v>250</v>
      </c>
      <c r="H125" s="4">
        <v>0.8</v>
      </c>
      <c r="I125" s="5">
        <v>400</v>
      </c>
      <c r="J125" s="30">
        <v>1.25</v>
      </c>
      <c r="K125" s="100">
        <v>21615</v>
      </c>
      <c r="L125" s="100">
        <v>11362</v>
      </c>
      <c r="M125" s="100">
        <v>121811</v>
      </c>
      <c r="N125" s="100">
        <v>21806</v>
      </c>
      <c r="O125" s="100">
        <v>0</v>
      </c>
      <c r="P125" s="100">
        <v>293637</v>
      </c>
      <c r="Q125" s="100">
        <v>0</v>
      </c>
      <c r="R125" s="100">
        <v>73513</v>
      </c>
      <c r="S125" s="100">
        <v>0</v>
      </c>
      <c r="T125" s="100">
        <v>204546</v>
      </c>
      <c r="U125" s="100">
        <v>119211</v>
      </c>
      <c r="V125" s="100">
        <v>53580</v>
      </c>
      <c r="W125" s="100">
        <v>143147</v>
      </c>
      <c r="X125" s="100">
        <v>4850</v>
      </c>
      <c r="Y125" s="100">
        <v>221636</v>
      </c>
      <c r="Z125" s="100">
        <v>454904</v>
      </c>
      <c r="AA125" s="100">
        <v>20274</v>
      </c>
      <c r="AB125" s="100">
        <v>401094</v>
      </c>
      <c r="AC125" s="100">
        <v>87448</v>
      </c>
      <c r="AD125" s="100">
        <v>11348</v>
      </c>
      <c r="AE125" s="100">
        <v>897624</v>
      </c>
      <c r="AF125" s="100">
        <v>69579</v>
      </c>
      <c r="AG125" s="100">
        <v>22271</v>
      </c>
      <c r="AH125" s="100">
        <v>201079</v>
      </c>
      <c r="AI125" s="100">
        <v>51133</v>
      </c>
      <c r="AJ125" s="100">
        <v>9306</v>
      </c>
    </row>
    <row r="126" spans="1:36" x14ac:dyDescent="0.25">
      <c r="A126" s="2">
        <v>116</v>
      </c>
      <c r="B126" s="32">
        <v>45856</v>
      </c>
      <c r="C126" s="2" t="s">
        <v>199</v>
      </c>
      <c r="F126" s="102">
        <v>0.1</v>
      </c>
      <c r="G126" s="5">
        <v>250</v>
      </c>
      <c r="H126" s="4">
        <v>0.8</v>
      </c>
      <c r="I126" s="5">
        <v>400</v>
      </c>
      <c r="J126" s="30">
        <v>1.25</v>
      </c>
      <c r="K126" s="100">
        <v>19207</v>
      </c>
      <c r="L126" s="100">
        <v>11080</v>
      </c>
      <c r="M126" s="100">
        <v>120321</v>
      </c>
      <c r="N126" s="100">
        <v>21568</v>
      </c>
      <c r="O126" s="100">
        <v>0</v>
      </c>
      <c r="P126" s="100">
        <v>293944</v>
      </c>
      <c r="Q126" s="100">
        <v>0</v>
      </c>
      <c r="R126" s="100">
        <v>77127</v>
      </c>
      <c r="S126" s="100">
        <v>0</v>
      </c>
      <c r="T126" s="100">
        <v>196415</v>
      </c>
      <c r="U126" s="100">
        <v>117743</v>
      </c>
      <c r="V126" s="100">
        <v>50018</v>
      </c>
      <c r="W126" s="100">
        <v>142007</v>
      </c>
      <c r="X126" s="100">
        <v>5434</v>
      </c>
      <c r="Y126" s="100">
        <v>223884</v>
      </c>
      <c r="Z126" s="100">
        <v>453504</v>
      </c>
      <c r="AA126" s="100">
        <v>20119</v>
      </c>
      <c r="AB126" s="100">
        <v>390178</v>
      </c>
      <c r="AC126" s="100">
        <v>90859</v>
      </c>
      <c r="AD126" s="100">
        <v>13616</v>
      </c>
      <c r="AE126" s="100">
        <v>881426</v>
      </c>
      <c r="AF126" s="100">
        <v>64277</v>
      </c>
      <c r="AG126" s="100">
        <v>0</v>
      </c>
      <c r="AH126" s="100">
        <v>84880</v>
      </c>
      <c r="AI126" s="100">
        <v>46949</v>
      </c>
      <c r="AJ126" s="100">
        <v>9891</v>
      </c>
    </row>
    <row r="127" spans="1:36" x14ac:dyDescent="0.25">
      <c r="A127" s="2">
        <v>117</v>
      </c>
      <c r="B127" s="32">
        <v>45856</v>
      </c>
      <c r="C127" s="2" t="s">
        <v>200</v>
      </c>
      <c r="F127" s="102">
        <v>0.1</v>
      </c>
      <c r="G127" s="5">
        <v>250</v>
      </c>
      <c r="H127" s="4">
        <v>0.8</v>
      </c>
      <c r="I127" s="5">
        <v>400</v>
      </c>
      <c r="J127" s="30">
        <v>1.25</v>
      </c>
      <c r="K127" s="100">
        <v>9735</v>
      </c>
      <c r="L127" s="100">
        <v>0</v>
      </c>
      <c r="M127" s="100">
        <v>49932</v>
      </c>
      <c r="N127" s="100">
        <v>16387</v>
      </c>
      <c r="O127" s="100">
        <v>0</v>
      </c>
      <c r="P127" s="100">
        <v>162002</v>
      </c>
      <c r="Q127" s="100">
        <v>0</v>
      </c>
      <c r="R127" s="100">
        <v>28890</v>
      </c>
      <c r="S127" s="100">
        <v>0</v>
      </c>
      <c r="T127" s="100">
        <v>141039</v>
      </c>
      <c r="U127" s="100">
        <v>78534</v>
      </c>
      <c r="V127" s="100">
        <v>45360</v>
      </c>
      <c r="W127" s="100">
        <v>82140</v>
      </c>
      <c r="X127" s="100">
        <v>7773</v>
      </c>
      <c r="Y127" s="100">
        <v>85999</v>
      </c>
      <c r="Z127" s="100">
        <v>255349</v>
      </c>
      <c r="AA127" s="100">
        <v>16189</v>
      </c>
      <c r="AB127" s="100">
        <v>386656</v>
      </c>
      <c r="AC127" s="100">
        <v>26457</v>
      </c>
      <c r="AD127" s="100">
        <v>7700</v>
      </c>
      <c r="AE127" s="100">
        <v>401962</v>
      </c>
      <c r="AF127" s="100">
        <v>36632</v>
      </c>
      <c r="AG127" s="100">
        <v>0</v>
      </c>
      <c r="AH127" s="100">
        <v>80833</v>
      </c>
      <c r="AI127" s="100">
        <v>42095</v>
      </c>
      <c r="AJ127" s="100">
        <v>3867</v>
      </c>
    </row>
    <row r="128" spans="1:36" x14ac:dyDescent="0.25">
      <c r="A128" s="2">
        <v>118</v>
      </c>
      <c r="B128" s="32">
        <v>45856</v>
      </c>
      <c r="C128" s="2" t="s">
        <v>200</v>
      </c>
      <c r="F128" s="102">
        <v>0.1</v>
      </c>
      <c r="G128" s="5">
        <v>250</v>
      </c>
      <c r="H128" s="4">
        <v>0.8</v>
      </c>
      <c r="I128" s="5">
        <v>400</v>
      </c>
      <c r="J128" s="30">
        <v>1.25</v>
      </c>
      <c r="K128" s="100">
        <v>3785</v>
      </c>
      <c r="L128" s="100">
        <v>0</v>
      </c>
      <c r="M128" s="100">
        <v>38173</v>
      </c>
      <c r="N128" s="100">
        <v>14569</v>
      </c>
      <c r="O128" s="100">
        <v>0</v>
      </c>
      <c r="P128" s="100">
        <v>138173</v>
      </c>
      <c r="Q128" s="100">
        <v>0</v>
      </c>
      <c r="R128" s="100">
        <v>14236</v>
      </c>
      <c r="S128" s="100">
        <v>0</v>
      </c>
      <c r="T128" s="100">
        <v>133867</v>
      </c>
      <c r="U128" s="100">
        <v>77150</v>
      </c>
      <c r="V128" s="100">
        <v>45090</v>
      </c>
      <c r="W128" s="100">
        <v>77374</v>
      </c>
      <c r="X128" s="100">
        <v>8017</v>
      </c>
      <c r="Y128" s="100">
        <v>68447</v>
      </c>
      <c r="Z128" s="100">
        <v>221391</v>
      </c>
      <c r="AA128" s="100">
        <v>16722</v>
      </c>
      <c r="AB128" s="100">
        <v>391263</v>
      </c>
      <c r="AC128" s="100">
        <v>18623</v>
      </c>
      <c r="AD128" s="100">
        <v>4561</v>
      </c>
      <c r="AE128" s="100">
        <v>338141</v>
      </c>
      <c r="AF128" s="100">
        <v>33383</v>
      </c>
      <c r="AG128" s="100">
        <v>0</v>
      </c>
      <c r="AH128" s="100">
        <v>86440</v>
      </c>
      <c r="AI128" s="100">
        <v>40475</v>
      </c>
      <c r="AJ128" s="100">
        <v>2426</v>
      </c>
    </row>
    <row r="129" spans="1:36" x14ac:dyDescent="0.25">
      <c r="A129" s="2">
        <v>119</v>
      </c>
      <c r="B129" s="32">
        <v>45856</v>
      </c>
      <c r="C129" s="2" t="s">
        <v>201</v>
      </c>
      <c r="F129" s="102">
        <v>0.1</v>
      </c>
      <c r="G129" s="5">
        <v>250</v>
      </c>
      <c r="H129" s="4">
        <v>0.8</v>
      </c>
      <c r="I129" s="5">
        <v>400</v>
      </c>
      <c r="J129" s="30">
        <v>1.25</v>
      </c>
      <c r="K129" s="100">
        <v>8477</v>
      </c>
      <c r="L129" s="100">
        <v>0</v>
      </c>
      <c r="M129" s="100">
        <v>41741</v>
      </c>
      <c r="N129" s="100">
        <v>15233</v>
      </c>
      <c r="O129" s="100">
        <v>0</v>
      </c>
      <c r="P129" s="100">
        <v>138494</v>
      </c>
      <c r="Q129" s="100">
        <v>0</v>
      </c>
      <c r="R129" s="100">
        <v>14102</v>
      </c>
      <c r="S129" s="100">
        <v>0</v>
      </c>
      <c r="T129" s="100">
        <v>145586</v>
      </c>
      <c r="U129" s="100">
        <v>81339</v>
      </c>
      <c r="V129" s="100">
        <v>46851</v>
      </c>
      <c r="W129" s="100">
        <v>59994</v>
      </c>
      <c r="X129" s="100">
        <v>5662</v>
      </c>
      <c r="Y129" s="100">
        <v>69818</v>
      </c>
      <c r="Z129" s="100">
        <v>243095</v>
      </c>
      <c r="AA129" s="100">
        <v>13118</v>
      </c>
      <c r="AB129" s="100">
        <v>385281</v>
      </c>
      <c r="AC129" s="100">
        <v>19993</v>
      </c>
      <c r="AD129" s="100">
        <v>5767</v>
      </c>
      <c r="AE129" s="100">
        <v>346486</v>
      </c>
      <c r="AF129" s="100">
        <v>34639</v>
      </c>
      <c r="AG129" s="100">
        <v>0</v>
      </c>
      <c r="AH129" s="100">
        <v>100694</v>
      </c>
      <c r="AI129" s="100">
        <v>46375</v>
      </c>
      <c r="AJ129" s="100">
        <v>2465</v>
      </c>
    </row>
    <row r="130" spans="1:36" x14ac:dyDescent="0.25">
      <c r="A130" s="2">
        <v>120</v>
      </c>
      <c r="B130" s="32">
        <v>45856</v>
      </c>
      <c r="C130" s="2" t="s">
        <v>201</v>
      </c>
      <c r="F130" s="102">
        <v>0.1</v>
      </c>
      <c r="G130" s="5">
        <v>250</v>
      </c>
      <c r="H130" s="4">
        <v>0.8</v>
      </c>
      <c r="I130" s="5">
        <v>400</v>
      </c>
      <c r="J130" s="30">
        <v>1.25</v>
      </c>
      <c r="K130" s="100">
        <v>4267</v>
      </c>
      <c r="L130" s="100">
        <v>0</v>
      </c>
      <c r="M130" s="100">
        <v>21681</v>
      </c>
      <c r="N130" s="100">
        <v>7551</v>
      </c>
      <c r="O130" s="100">
        <v>0</v>
      </c>
      <c r="P130" s="100">
        <v>136443</v>
      </c>
      <c r="Q130" s="100">
        <v>0</v>
      </c>
      <c r="R130" s="100">
        <v>13741</v>
      </c>
      <c r="S130" s="100">
        <v>0</v>
      </c>
      <c r="T130" s="100">
        <v>146465</v>
      </c>
      <c r="U130" s="100">
        <v>79749</v>
      </c>
      <c r="V130" s="100">
        <v>48069</v>
      </c>
      <c r="W130" s="100">
        <v>72586</v>
      </c>
      <c r="X130" s="100">
        <v>4129</v>
      </c>
      <c r="Y130" s="100">
        <v>65682</v>
      </c>
      <c r="Z130" s="100">
        <v>234557</v>
      </c>
      <c r="AA130" s="100">
        <v>11675</v>
      </c>
      <c r="AB130" s="100">
        <v>399321</v>
      </c>
      <c r="AC130" s="100">
        <v>19348</v>
      </c>
      <c r="AD130" s="100">
        <v>9710</v>
      </c>
      <c r="AE130" s="100">
        <v>340810</v>
      </c>
      <c r="AF130" s="100">
        <v>35148</v>
      </c>
      <c r="AG130" s="100">
        <v>0</v>
      </c>
      <c r="AH130" s="100">
        <v>112501</v>
      </c>
      <c r="AI130" s="100">
        <v>47418</v>
      </c>
      <c r="AJ130" s="100">
        <v>3221</v>
      </c>
    </row>
    <row r="131" spans="1:36" x14ac:dyDescent="0.25">
      <c r="A131" s="2">
        <v>121</v>
      </c>
      <c r="B131" s="32">
        <v>45856</v>
      </c>
      <c r="C131" s="2" t="s">
        <v>202</v>
      </c>
      <c r="F131" s="102">
        <v>0.1</v>
      </c>
      <c r="G131" s="5">
        <v>250</v>
      </c>
      <c r="H131" s="4">
        <v>0.8</v>
      </c>
      <c r="I131" s="5">
        <v>400</v>
      </c>
      <c r="J131" s="30">
        <v>1.25</v>
      </c>
      <c r="K131" s="100">
        <v>20624</v>
      </c>
      <c r="L131" s="100">
        <v>7992</v>
      </c>
      <c r="M131" s="100">
        <v>99874</v>
      </c>
      <c r="N131" s="100">
        <v>15868</v>
      </c>
      <c r="O131" s="100">
        <v>0</v>
      </c>
      <c r="P131" s="100">
        <v>289754</v>
      </c>
      <c r="Q131" s="100">
        <v>0</v>
      </c>
      <c r="R131" s="100">
        <v>72049</v>
      </c>
      <c r="S131" s="100">
        <v>0</v>
      </c>
      <c r="T131" s="100">
        <v>186851</v>
      </c>
      <c r="U131" s="100">
        <v>109605</v>
      </c>
      <c r="V131" s="100">
        <v>50201</v>
      </c>
      <c r="W131" s="100">
        <v>137861</v>
      </c>
      <c r="X131" s="100">
        <v>6898</v>
      </c>
      <c r="Y131" s="100">
        <v>189630</v>
      </c>
      <c r="Z131" s="100">
        <v>422182</v>
      </c>
      <c r="AA131" s="100">
        <v>16129</v>
      </c>
      <c r="AB131" s="100">
        <v>399182</v>
      </c>
      <c r="AC131" s="100">
        <v>73443</v>
      </c>
      <c r="AD131" s="100">
        <v>15440</v>
      </c>
      <c r="AE131" s="100">
        <v>786324</v>
      </c>
      <c r="AF131" s="100">
        <v>63863</v>
      </c>
      <c r="AG131" s="100">
        <v>20823</v>
      </c>
      <c r="AH131" s="100">
        <v>207152</v>
      </c>
      <c r="AI131" s="100">
        <v>49577</v>
      </c>
      <c r="AJ131" s="100">
        <v>9205</v>
      </c>
    </row>
    <row r="132" spans="1:36" x14ac:dyDescent="0.25">
      <c r="A132" s="2">
        <v>122</v>
      </c>
      <c r="B132" s="32">
        <v>45856</v>
      </c>
      <c r="C132" s="2" t="s">
        <v>202</v>
      </c>
      <c r="F132" s="102">
        <v>0.1</v>
      </c>
      <c r="G132" s="5">
        <v>250</v>
      </c>
      <c r="H132" s="4">
        <v>0.8</v>
      </c>
      <c r="I132" s="5">
        <v>400</v>
      </c>
      <c r="J132" s="30">
        <v>1.25</v>
      </c>
      <c r="K132" s="100">
        <v>23949</v>
      </c>
      <c r="L132" s="100">
        <v>11979</v>
      </c>
      <c r="M132" s="100">
        <v>128875</v>
      </c>
      <c r="N132" s="100">
        <v>18148</v>
      </c>
      <c r="O132" s="100">
        <v>0</v>
      </c>
      <c r="P132" s="100">
        <v>309883</v>
      </c>
      <c r="Q132" s="100">
        <v>0</v>
      </c>
      <c r="R132" s="100">
        <v>76404</v>
      </c>
      <c r="S132" s="100">
        <v>0</v>
      </c>
      <c r="T132" s="100">
        <v>195344</v>
      </c>
      <c r="U132" s="100">
        <v>117210</v>
      </c>
      <c r="V132" s="100">
        <v>52812</v>
      </c>
      <c r="W132" s="100">
        <v>136905</v>
      </c>
      <c r="X132" s="100">
        <v>5663</v>
      </c>
      <c r="Y132" s="100">
        <v>216562</v>
      </c>
      <c r="Z132" s="100">
        <v>458758</v>
      </c>
      <c r="AA132" s="100">
        <v>18551</v>
      </c>
      <c r="AB132" s="100">
        <v>411264</v>
      </c>
      <c r="AC132" s="100">
        <v>83757</v>
      </c>
      <c r="AD132" s="100">
        <v>17695</v>
      </c>
      <c r="AE132" s="100">
        <v>896865</v>
      </c>
      <c r="AF132" s="100">
        <v>72407</v>
      </c>
      <c r="AG132" s="100">
        <v>23901</v>
      </c>
      <c r="AH132" s="100">
        <v>233526</v>
      </c>
      <c r="AI132" s="100">
        <v>48266</v>
      </c>
      <c r="AJ132" s="100">
        <v>9304</v>
      </c>
    </row>
    <row r="133" spans="1:36" x14ac:dyDescent="0.25">
      <c r="A133" s="2">
        <v>123</v>
      </c>
      <c r="B133" s="32">
        <v>45856</v>
      </c>
      <c r="C133" s="2" t="s">
        <v>203</v>
      </c>
      <c r="F133" s="102">
        <v>0.1</v>
      </c>
      <c r="G133" s="5">
        <v>250</v>
      </c>
      <c r="H133" s="4">
        <v>0.8</v>
      </c>
      <c r="I133" s="5">
        <v>400</v>
      </c>
      <c r="J133" s="30">
        <v>1.25</v>
      </c>
      <c r="K133" s="100">
        <v>5772</v>
      </c>
      <c r="L133" s="100">
        <v>0</v>
      </c>
      <c r="M133" s="100">
        <v>64975</v>
      </c>
      <c r="N133" s="100">
        <v>11212</v>
      </c>
      <c r="O133" s="100">
        <v>0</v>
      </c>
      <c r="P133" s="100">
        <v>203733</v>
      </c>
      <c r="Q133" s="100">
        <v>0</v>
      </c>
      <c r="R133" s="100">
        <v>45655</v>
      </c>
      <c r="S133" s="100">
        <v>0</v>
      </c>
      <c r="T133" s="100">
        <v>146232</v>
      </c>
      <c r="U133" s="100">
        <v>87078</v>
      </c>
      <c r="V133" s="100">
        <v>39802</v>
      </c>
      <c r="W133" s="100">
        <v>95861</v>
      </c>
      <c r="X133" s="100">
        <v>4679</v>
      </c>
      <c r="Y133" s="100">
        <v>145446</v>
      </c>
      <c r="Z133" s="100">
        <v>311019</v>
      </c>
      <c r="AA133" s="100">
        <v>19303</v>
      </c>
      <c r="AB133" s="100">
        <v>440141</v>
      </c>
      <c r="AC133" s="100">
        <v>55004</v>
      </c>
      <c r="AD133" s="100">
        <v>9342</v>
      </c>
      <c r="AE133" s="100">
        <v>589551</v>
      </c>
      <c r="AF133" s="100">
        <v>50840</v>
      </c>
      <c r="AG133" s="100">
        <v>21778</v>
      </c>
      <c r="AH133" s="100">
        <v>178892</v>
      </c>
      <c r="AI133" s="100">
        <v>36622</v>
      </c>
      <c r="AJ133" s="100">
        <v>6716</v>
      </c>
    </row>
    <row r="134" spans="1:36" x14ac:dyDescent="0.25">
      <c r="A134" s="2">
        <v>124</v>
      </c>
      <c r="B134" s="32">
        <v>45856</v>
      </c>
      <c r="C134" s="2" t="s">
        <v>203</v>
      </c>
      <c r="F134" s="102">
        <v>0.1</v>
      </c>
      <c r="G134" s="5">
        <v>250</v>
      </c>
      <c r="H134" s="4">
        <v>0.8</v>
      </c>
      <c r="I134" s="5">
        <v>400</v>
      </c>
      <c r="J134" s="30">
        <v>1.25</v>
      </c>
      <c r="K134" s="100">
        <v>17366</v>
      </c>
      <c r="L134" s="100">
        <v>0</v>
      </c>
      <c r="M134" s="100">
        <v>72573</v>
      </c>
      <c r="N134" s="100">
        <v>15209</v>
      </c>
      <c r="O134" s="100">
        <v>0</v>
      </c>
      <c r="P134" s="100">
        <v>205937</v>
      </c>
      <c r="Q134" s="100">
        <v>0</v>
      </c>
      <c r="R134" s="100">
        <v>45763</v>
      </c>
      <c r="S134" s="100">
        <v>0</v>
      </c>
      <c r="T134" s="100">
        <v>174626</v>
      </c>
      <c r="U134" s="100">
        <v>97773</v>
      </c>
      <c r="V134" s="100">
        <v>43433</v>
      </c>
      <c r="W134" s="100">
        <v>112991</v>
      </c>
      <c r="X134" s="100">
        <v>0</v>
      </c>
      <c r="Y134" s="100">
        <v>7203</v>
      </c>
      <c r="Z134" s="100">
        <v>314009</v>
      </c>
      <c r="AA134" s="100">
        <v>22728</v>
      </c>
      <c r="AB134" s="100">
        <v>449937</v>
      </c>
      <c r="AC134" s="100">
        <v>55019</v>
      </c>
      <c r="AD134" s="100">
        <v>8401</v>
      </c>
      <c r="AE134" s="100">
        <v>597894</v>
      </c>
      <c r="AF134" s="100">
        <v>51485</v>
      </c>
      <c r="AG134" s="100">
        <v>0</v>
      </c>
      <c r="AH134" s="100">
        <v>162023</v>
      </c>
      <c r="AI134" s="100">
        <v>42492</v>
      </c>
      <c r="AJ134" s="100">
        <v>6689</v>
      </c>
    </row>
    <row r="135" spans="1:36" x14ac:dyDescent="0.25">
      <c r="A135" s="2">
        <v>125</v>
      </c>
      <c r="B135" s="32">
        <v>45856</v>
      </c>
      <c r="C135" s="2" t="s">
        <v>204</v>
      </c>
      <c r="F135" s="102">
        <v>0.1</v>
      </c>
      <c r="G135" s="5">
        <v>250</v>
      </c>
      <c r="H135" s="4">
        <v>0.8</v>
      </c>
      <c r="I135" s="5">
        <v>400</v>
      </c>
      <c r="J135" s="30">
        <v>1.25</v>
      </c>
      <c r="K135" s="100">
        <v>4844</v>
      </c>
      <c r="L135" s="100">
        <v>0</v>
      </c>
      <c r="M135" s="100">
        <v>38887</v>
      </c>
      <c r="N135" s="100">
        <v>14606</v>
      </c>
      <c r="O135" s="100">
        <v>0</v>
      </c>
      <c r="P135" s="100">
        <v>147143</v>
      </c>
      <c r="Q135" s="100">
        <v>0</v>
      </c>
      <c r="R135" s="100">
        <v>25854</v>
      </c>
      <c r="S135" s="100">
        <v>0</v>
      </c>
      <c r="T135" s="100">
        <v>140838</v>
      </c>
      <c r="U135" s="100">
        <v>81663</v>
      </c>
      <c r="V135" s="100">
        <v>45752</v>
      </c>
      <c r="W135" s="100">
        <v>80590</v>
      </c>
      <c r="X135" s="100">
        <v>7280</v>
      </c>
      <c r="Y135" s="100">
        <v>79028</v>
      </c>
      <c r="Z135" s="100">
        <v>254549</v>
      </c>
      <c r="AA135" s="100">
        <v>16654</v>
      </c>
      <c r="AB135" s="100">
        <v>407923</v>
      </c>
      <c r="AC135" s="100">
        <v>22784</v>
      </c>
      <c r="AD135" s="100">
        <v>10309</v>
      </c>
      <c r="AE135" s="100">
        <v>373678</v>
      </c>
      <c r="AF135" s="100">
        <v>36966</v>
      </c>
      <c r="AG135" s="100">
        <v>0</v>
      </c>
      <c r="AH135" s="100">
        <v>129470</v>
      </c>
      <c r="AI135" s="100">
        <v>43948</v>
      </c>
      <c r="AJ135" s="100">
        <v>4187</v>
      </c>
    </row>
    <row r="136" spans="1:36" x14ac:dyDescent="0.25">
      <c r="A136" s="2">
        <v>126</v>
      </c>
      <c r="B136" s="32">
        <v>45856</v>
      </c>
      <c r="C136" s="2" t="s">
        <v>204</v>
      </c>
      <c r="F136" s="102">
        <v>0.1</v>
      </c>
      <c r="G136" s="5">
        <v>250</v>
      </c>
      <c r="H136" s="4">
        <v>0.8</v>
      </c>
      <c r="I136" s="5">
        <v>400</v>
      </c>
      <c r="J136" s="30">
        <v>1.25</v>
      </c>
      <c r="K136" s="100">
        <v>8665</v>
      </c>
      <c r="L136" s="100">
        <v>0</v>
      </c>
      <c r="M136" s="100">
        <v>43575</v>
      </c>
      <c r="N136" s="100">
        <v>20220</v>
      </c>
      <c r="O136" s="100">
        <v>0</v>
      </c>
      <c r="P136" s="100">
        <v>143992</v>
      </c>
      <c r="Q136" s="100">
        <v>0</v>
      </c>
      <c r="R136" s="100">
        <v>28494</v>
      </c>
      <c r="S136" s="100">
        <v>0</v>
      </c>
      <c r="T136" s="100">
        <v>131808</v>
      </c>
      <c r="U136" s="100">
        <v>86866</v>
      </c>
      <c r="V136" s="100">
        <v>51696</v>
      </c>
      <c r="W136" s="100">
        <v>85558</v>
      </c>
      <c r="X136" s="100">
        <v>8314</v>
      </c>
      <c r="Y136" s="100">
        <v>76915</v>
      </c>
      <c r="Z136" s="100">
        <v>259917</v>
      </c>
      <c r="AA136" s="100">
        <v>16068</v>
      </c>
      <c r="AB136" s="100">
        <v>418122</v>
      </c>
      <c r="AC136" s="100">
        <v>21948</v>
      </c>
      <c r="AD136" s="100">
        <v>9466</v>
      </c>
      <c r="AE136" s="100">
        <v>366027</v>
      </c>
      <c r="AF136" s="100">
        <v>38220</v>
      </c>
      <c r="AG136" s="100">
        <v>0</v>
      </c>
      <c r="AH136" s="100">
        <v>75454</v>
      </c>
      <c r="AI136" s="100">
        <v>46363</v>
      </c>
      <c r="AJ136" s="100">
        <v>3953</v>
      </c>
    </row>
    <row r="137" spans="1:36" x14ac:dyDescent="0.25">
      <c r="A137" s="2">
        <v>127</v>
      </c>
      <c r="B137" s="32">
        <v>45856</v>
      </c>
      <c r="C137" s="2" t="s">
        <v>205</v>
      </c>
      <c r="F137" s="102">
        <v>0.1</v>
      </c>
      <c r="G137" s="5">
        <v>250</v>
      </c>
      <c r="H137" s="4">
        <v>0.8</v>
      </c>
      <c r="I137" s="5">
        <v>400</v>
      </c>
      <c r="J137" s="30">
        <v>1.25</v>
      </c>
      <c r="K137" s="100">
        <v>3645</v>
      </c>
      <c r="L137" s="100">
        <v>0</v>
      </c>
      <c r="M137" s="100">
        <v>30726</v>
      </c>
      <c r="N137" s="100">
        <v>12088</v>
      </c>
      <c r="O137" s="100">
        <v>0</v>
      </c>
      <c r="P137" s="100">
        <v>125464</v>
      </c>
      <c r="Q137" s="100">
        <v>0</v>
      </c>
      <c r="R137" s="100">
        <v>12497</v>
      </c>
      <c r="S137" s="100">
        <v>0</v>
      </c>
      <c r="T137" s="100">
        <v>125684</v>
      </c>
      <c r="U137" s="100">
        <v>76863</v>
      </c>
      <c r="V137" s="100">
        <v>47204</v>
      </c>
      <c r="W137" s="100">
        <v>73245</v>
      </c>
      <c r="X137" s="100">
        <v>7530</v>
      </c>
      <c r="Y137" s="100">
        <v>63492</v>
      </c>
      <c r="Z137" s="100">
        <v>232591</v>
      </c>
      <c r="AA137" s="100">
        <v>11182</v>
      </c>
      <c r="AB137" s="100">
        <v>381649</v>
      </c>
      <c r="AC137" s="100">
        <v>17244</v>
      </c>
      <c r="AD137" s="100">
        <v>8913</v>
      </c>
      <c r="AE137" s="100">
        <v>314293</v>
      </c>
      <c r="AF137" s="100">
        <v>33527</v>
      </c>
      <c r="AG137" s="100">
        <v>0</v>
      </c>
      <c r="AH137" s="100">
        <v>122341</v>
      </c>
      <c r="AI137" s="100">
        <v>47702</v>
      </c>
      <c r="AJ137" s="100">
        <v>2467</v>
      </c>
    </row>
    <row r="138" spans="1:36" x14ac:dyDescent="0.25">
      <c r="A138" s="2">
        <v>128</v>
      </c>
      <c r="B138" s="32">
        <v>45856</v>
      </c>
      <c r="C138" s="2" t="s">
        <v>205</v>
      </c>
      <c r="F138" s="102">
        <v>0.1</v>
      </c>
      <c r="G138" s="5">
        <v>250</v>
      </c>
      <c r="H138" s="4">
        <v>0.8</v>
      </c>
      <c r="I138" s="5">
        <v>400</v>
      </c>
      <c r="J138" s="30">
        <v>1.25</v>
      </c>
      <c r="K138" s="100">
        <v>6000</v>
      </c>
      <c r="L138" s="100">
        <v>0</v>
      </c>
      <c r="M138" s="100">
        <v>37056</v>
      </c>
      <c r="N138" s="100">
        <v>19350</v>
      </c>
      <c r="O138" s="100">
        <v>0</v>
      </c>
      <c r="P138" s="100">
        <v>129284</v>
      </c>
      <c r="Q138" s="100">
        <v>0</v>
      </c>
      <c r="R138" s="100">
        <v>13421</v>
      </c>
      <c r="S138" s="100">
        <v>0</v>
      </c>
      <c r="T138" s="100">
        <v>126397</v>
      </c>
      <c r="U138" s="100">
        <v>80713</v>
      </c>
      <c r="V138" s="100">
        <v>49842</v>
      </c>
      <c r="W138" s="100">
        <v>76509</v>
      </c>
      <c r="X138" s="100">
        <v>8684</v>
      </c>
      <c r="Y138" s="100">
        <v>65921</v>
      </c>
      <c r="Z138" s="100">
        <v>245561</v>
      </c>
      <c r="AA138" s="100">
        <v>14052</v>
      </c>
      <c r="AB138" s="100">
        <v>396316</v>
      </c>
      <c r="AC138" s="100">
        <v>17777</v>
      </c>
      <c r="AD138" s="100">
        <v>8963</v>
      </c>
      <c r="AE138" s="100">
        <v>331897</v>
      </c>
      <c r="AF138" s="100">
        <v>36746</v>
      </c>
      <c r="AG138" s="100">
        <v>0</v>
      </c>
      <c r="AH138" s="100">
        <v>122889</v>
      </c>
      <c r="AI138" s="100">
        <v>47894</v>
      </c>
      <c r="AJ138" s="100">
        <v>3271</v>
      </c>
    </row>
    <row r="139" spans="1:36" x14ac:dyDescent="0.25">
      <c r="A139" s="2">
        <v>129</v>
      </c>
      <c r="B139" s="32">
        <v>45856</v>
      </c>
      <c r="C139" s="2" t="s">
        <v>206</v>
      </c>
      <c r="F139" s="102">
        <v>0.1</v>
      </c>
      <c r="G139" s="5">
        <v>250</v>
      </c>
      <c r="H139" s="4">
        <v>0.8</v>
      </c>
      <c r="I139" s="5">
        <v>400</v>
      </c>
      <c r="J139" s="30">
        <v>1.25</v>
      </c>
      <c r="K139" s="100">
        <v>16055</v>
      </c>
      <c r="L139" s="100">
        <v>9398</v>
      </c>
      <c r="M139" s="100">
        <v>100743</v>
      </c>
      <c r="N139" s="100">
        <v>18202</v>
      </c>
      <c r="O139" s="100">
        <v>0</v>
      </c>
      <c r="P139" s="100">
        <v>254571</v>
      </c>
      <c r="Q139" s="100">
        <v>0</v>
      </c>
      <c r="R139" s="100">
        <v>63149</v>
      </c>
      <c r="S139" s="100">
        <v>0</v>
      </c>
      <c r="T139" s="100">
        <v>200182</v>
      </c>
      <c r="U139" s="100">
        <v>124830</v>
      </c>
      <c r="V139" s="100">
        <v>53116</v>
      </c>
      <c r="W139" s="100">
        <v>146716</v>
      </c>
      <c r="X139" s="100">
        <v>5181</v>
      </c>
      <c r="Y139" s="100">
        <v>213331</v>
      </c>
      <c r="Z139" s="100">
        <v>454618</v>
      </c>
      <c r="AA139" s="100">
        <v>17823</v>
      </c>
      <c r="AB139" s="100">
        <v>398183</v>
      </c>
      <c r="AC139" s="100">
        <v>81525</v>
      </c>
      <c r="AD139" s="100">
        <v>10074</v>
      </c>
      <c r="AE139" s="100">
        <v>832982</v>
      </c>
      <c r="AF139" s="100">
        <v>71171</v>
      </c>
      <c r="AG139" s="100">
        <v>27919</v>
      </c>
      <c r="AH139" s="100">
        <v>279715</v>
      </c>
      <c r="AI139" s="100">
        <v>51438</v>
      </c>
      <c r="AJ139" s="100">
        <v>8491</v>
      </c>
    </row>
    <row r="140" spans="1:36" x14ac:dyDescent="0.25">
      <c r="A140" s="2">
        <v>130</v>
      </c>
      <c r="B140" s="32">
        <v>45856</v>
      </c>
      <c r="C140" s="2" t="s">
        <v>206</v>
      </c>
      <c r="F140" s="102">
        <v>0.1</v>
      </c>
      <c r="G140" s="5">
        <v>250</v>
      </c>
      <c r="H140" s="4">
        <v>0.8</v>
      </c>
      <c r="I140" s="5">
        <v>400</v>
      </c>
      <c r="J140" s="30">
        <v>1.25</v>
      </c>
      <c r="K140" s="100">
        <v>19304</v>
      </c>
      <c r="L140" s="100">
        <v>12033</v>
      </c>
      <c r="M140" s="100">
        <v>117885</v>
      </c>
      <c r="N140" s="100">
        <v>18925</v>
      </c>
      <c r="O140" s="100">
        <v>0</v>
      </c>
      <c r="P140" s="100">
        <v>284719</v>
      </c>
      <c r="Q140" s="100">
        <v>0</v>
      </c>
      <c r="R140" s="100">
        <v>68950</v>
      </c>
      <c r="S140" s="100">
        <v>0</v>
      </c>
      <c r="T140" s="100">
        <v>207069</v>
      </c>
      <c r="U140" s="100">
        <v>129451</v>
      </c>
      <c r="V140" s="100">
        <v>55976</v>
      </c>
      <c r="W140" s="100">
        <v>161912</v>
      </c>
      <c r="X140" s="100">
        <v>7733</v>
      </c>
      <c r="Y140" s="100">
        <v>238139</v>
      </c>
      <c r="Z140" s="100">
        <v>493779</v>
      </c>
      <c r="AA140" s="100">
        <v>18234</v>
      </c>
      <c r="AB140" s="100">
        <v>400837</v>
      </c>
      <c r="AC140" s="100">
        <v>85644</v>
      </c>
      <c r="AD140" s="100">
        <v>11531</v>
      </c>
      <c r="AE140" s="100">
        <v>857846</v>
      </c>
      <c r="AF140" s="100">
        <v>70299</v>
      </c>
      <c r="AG140" s="100">
        <v>0</v>
      </c>
      <c r="AH140" s="100">
        <v>87920</v>
      </c>
      <c r="AI140" s="100">
        <v>52221</v>
      </c>
      <c r="AJ140" s="100">
        <v>9825</v>
      </c>
    </row>
    <row r="141" spans="1:36" x14ac:dyDescent="0.25">
      <c r="A141" s="2">
        <v>131</v>
      </c>
      <c r="B141" s="32">
        <v>45856</v>
      </c>
      <c r="C141" s="2" t="s">
        <v>207</v>
      </c>
      <c r="F141" s="102">
        <v>0.1</v>
      </c>
      <c r="G141" s="5">
        <v>250</v>
      </c>
      <c r="H141" s="4">
        <v>0.8</v>
      </c>
      <c r="I141" s="5">
        <v>400</v>
      </c>
      <c r="J141" s="30">
        <v>1.25</v>
      </c>
      <c r="K141" s="100">
        <v>18948</v>
      </c>
      <c r="L141" s="100">
        <v>12792</v>
      </c>
      <c r="M141" s="100">
        <v>117190</v>
      </c>
      <c r="N141" s="100">
        <v>19710</v>
      </c>
      <c r="O141" s="100">
        <v>0</v>
      </c>
      <c r="P141" s="100">
        <v>304460</v>
      </c>
      <c r="Q141" s="100">
        <v>0</v>
      </c>
      <c r="R141" s="100">
        <v>77734</v>
      </c>
      <c r="S141" s="100">
        <v>0</v>
      </c>
      <c r="T141" s="100">
        <v>219848</v>
      </c>
      <c r="U141" s="100">
        <v>133477</v>
      </c>
      <c r="V141" s="100">
        <v>58135</v>
      </c>
      <c r="W141" s="100">
        <v>161603</v>
      </c>
      <c r="X141" s="100">
        <v>6206</v>
      </c>
      <c r="Y141" s="100">
        <v>245106</v>
      </c>
      <c r="Z141" s="100">
        <v>498732</v>
      </c>
      <c r="AA141" s="100">
        <v>18705</v>
      </c>
      <c r="AB141" s="100">
        <v>398627</v>
      </c>
      <c r="AC141" s="100">
        <v>91674</v>
      </c>
      <c r="AD141" s="100">
        <v>11808</v>
      </c>
      <c r="AE141" s="100">
        <v>905368</v>
      </c>
      <c r="AF141" s="100">
        <v>77516</v>
      </c>
      <c r="AG141" s="100">
        <v>0</v>
      </c>
      <c r="AH141" s="100">
        <v>89525</v>
      </c>
      <c r="AI141" s="100">
        <v>54451</v>
      </c>
      <c r="AJ141" s="100">
        <v>9492</v>
      </c>
    </row>
    <row r="142" spans="1:36" x14ac:dyDescent="0.25">
      <c r="A142" s="2">
        <v>132</v>
      </c>
      <c r="B142" s="32">
        <v>45856</v>
      </c>
      <c r="C142" s="2" t="s">
        <v>207</v>
      </c>
      <c r="F142" s="102">
        <v>0.1</v>
      </c>
      <c r="G142" s="5">
        <v>250</v>
      </c>
      <c r="H142" s="4">
        <v>0.8</v>
      </c>
      <c r="I142" s="5">
        <v>400</v>
      </c>
      <c r="J142" s="30">
        <v>1.25</v>
      </c>
      <c r="K142" s="100">
        <v>17894</v>
      </c>
      <c r="L142" s="100">
        <v>10653</v>
      </c>
      <c r="M142" s="100">
        <v>115845</v>
      </c>
      <c r="N142" s="100">
        <v>23176</v>
      </c>
      <c r="O142" s="100">
        <v>0</v>
      </c>
      <c r="P142" s="100">
        <v>330982</v>
      </c>
      <c r="Q142" s="100">
        <v>0</v>
      </c>
      <c r="R142" s="100">
        <v>97116</v>
      </c>
      <c r="S142" s="100">
        <v>0</v>
      </c>
      <c r="T142" s="100">
        <v>225946</v>
      </c>
      <c r="U142" s="100">
        <v>134968</v>
      </c>
      <c r="V142" s="100">
        <v>55619</v>
      </c>
      <c r="W142" s="100">
        <v>167413</v>
      </c>
      <c r="X142" s="100">
        <v>8450</v>
      </c>
      <c r="Y142" s="100">
        <v>264177</v>
      </c>
      <c r="Z142" s="100">
        <v>520998</v>
      </c>
      <c r="AA142" s="100">
        <v>20162</v>
      </c>
      <c r="AB142" s="100">
        <v>406018</v>
      </c>
      <c r="AC142" s="100">
        <v>102033</v>
      </c>
      <c r="AD142" s="100">
        <v>12133</v>
      </c>
      <c r="AE142" s="100">
        <v>964522</v>
      </c>
      <c r="AF142" s="100">
        <v>82344</v>
      </c>
      <c r="AG142" s="100">
        <v>17580</v>
      </c>
      <c r="AH142" s="100">
        <v>148089</v>
      </c>
      <c r="AI142" s="100">
        <v>46413</v>
      </c>
      <c r="AJ142" s="100">
        <v>9538</v>
      </c>
    </row>
    <row r="143" spans="1:36" x14ac:dyDescent="0.25">
      <c r="A143" s="2">
        <v>133</v>
      </c>
      <c r="B143" s="32">
        <v>45884</v>
      </c>
      <c r="C143" s="2" t="s">
        <v>163</v>
      </c>
      <c r="F143" s="102">
        <v>0.1</v>
      </c>
      <c r="G143" s="5">
        <v>250</v>
      </c>
      <c r="H143" s="4">
        <v>0.8</v>
      </c>
      <c r="I143" s="5">
        <v>400</v>
      </c>
      <c r="J143" s="30">
        <v>1.25</v>
      </c>
      <c r="K143" s="100">
        <v>8191</v>
      </c>
      <c r="L143" s="100">
        <v>0</v>
      </c>
      <c r="M143" s="100">
        <v>45747</v>
      </c>
      <c r="N143" s="100">
        <v>8912</v>
      </c>
      <c r="O143" s="100">
        <v>0</v>
      </c>
      <c r="P143" s="100">
        <v>168748</v>
      </c>
      <c r="Q143" s="100">
        <v>0</v>
      </c>
      <c r="R143" s="100">
        <v>29947</v>
      </c>
      <c r="S143" s="100">
        <v>0</v>
      </c>
      <c r="T143" s="100">
        <v>175348</v>
      </c>
      <c r="U143" s="100">
        <v>86865</v>
      </c>
      <c r="V143" s="100">
        <v>46200</v>
      </c>
      <c r="W143" s="100">
        <v>86055</v>
      </c>
      <c r="X143" s="100">
        <v>7693</v>
      </c>
      <c r="Y143" s="100">
        <v>108033</v>
      </c>
      <c r="Z143" s="100">
        <v>155496</v>
      </c>
      <c r="AA143" s="100">
        <v>7092</v>
      </c>
      <c r="AB143" s="100">
        <v>407593</v>
      </c>
      <c r="AC143" s="100">
        <v>36271</v>
      </c>
      <c r="AD143" s="100">
        <v>5396</v>
      </c>
      <c r="AE143" s="100">
        <v>401877</v>
      </c>
      <c r="AF143" s="100">
        <v>34259</v>
      </c>
      <c r="AG143" s="100">
        <v>0</v>
      </c>
      <c r="AH143" s="100">
        <v>27584</v>
      </c>
      <c r="AI143" s="100">
        <v>53541</v>
      </c>
      <c r="AJ143" s="100">
        <v>4039</v>
      </c>
    </row>
    <row r="144" spans="1:36" x14ac:dyDescent="0.25">
      <c r="A144" s="2">
        <v>134</v>
      </c>
      <c r="B144" s="32">
        <v>45884</v>
      </c>
      <c r="C144" s="2" t="s">
        <v>163</v>
      </c>
      <c r="F144" s="102">
        <v>0.1</v>
      </c>
      <c r="G144" s="5">
        <v>250</v>
      </c>
      <c r="H144" s="4">
        <v>0.8</v>
      </c>
      <c r="I144" s="5">
        <v>400</v>
      </c>
      <c r="J144" s="30">
        <v>1.25</v>
      </c>
      <c r="K144" s="100">
        <v>4209</v>
      </c>
      <c r="L144" s="100">
        <v>0</v>
      </c>
      <c r="M144" s="100">
        <v>18943</v>
      </c>
      <c r="N144" s="100">
        <v>3834</v>
      </c>
      <c r="O144" s="100">
        <v>0</v>
      </c>
      <c r="P144" s="100">
        <v>153028</v>
      </c>
      <c r="Q144" s="100">
        <v>0</v>
      </c>
      <c r="R144" s="100">
        <v>22013</v>
      </c>
      <c r="S144" s="100">
        <v>0</v>
      </c>
      <c r="T144" s="100">
        <v>170640</v>
      </c>
      <c r="U144" s="100">
        <v>75805</v>
      </c>
      <c r="V144" s="100">
        <v>41702</v>
      </c>
      <c r="W144" s="100">
        <v>64556</v>
      </c>
      <c r="X144" s="100">
        <v>5254</v>
      </c>
      <c r="Y144" s="100">
        <v>87963</v>
      </c>
      <c r="Z144" s="100">
        <v>103430</v>
      </c>
      <c r="AA144" s="100">
        <v>14926</v>
      </c>
      <c r="AB144" s="100">
        <v>414344</v>
      </c>
      <c r="AC144" s="100">
        <v>29007</v>
      </c>
      <c r="AD144" s="100">
        <v>6435</v>
      </c>
      <c r="AE144" s="100">
        <v>344304</v>
      </c>
      <c r="AF144" s="100">
        <v>31995</v>
      </c>
      <c r="AG144" s="100">
        <v>0</v>
      </c>
      <c r="AH144" s="100">
        <v>46606</v>
      </c>
      <c r="AI144" s="100">
        <v>53153</v>
      </c>
      <c r="AJ144" s="100">
        <v>2997</v>
      </c>
    </row>
    <row r="145" spans="1:36" x14ac:dyDescent="0.25">
      <c r="A145" s="2">
        <v>135</v>
      </c>
      <c r="B145" s="32">
        <v>45884</v>
      </c>
      <c r="C145" s="2" t="s">
        <v>164</v>
      </c>
      <c r="F145" s="102">
        <v>0.1</v>
      </c>
      <c r="G145" s="5">
        <v>250</v>
      </c>
      <c r="H145" s="4">
        <v>0.8</v>
      </c>
      <c r="I145" s="5">
        <v>400</v>
      </c>
      <c r="J145" s="30">
        <v>1.25</v>
      </c>
      <c r="K145" s="100">
        <v>4701</v>
      </c>
      <c r="L145" s="100">
        <v>0</v>
      </c>
      <c r="M145" s="100">
        <v>28383</v>
      </c>
      <c r="N145" s="100">
        <v>9688</v>
      </c>
      <c r="O145" s="100">
        <v>0</v>
      </c>
      <c r="P145" s="100">
        <v>140834</v>
      </c>
      <c r="Q145" s="100">
        <v>0</v>
      </c>
      <c r="R145" s="100">
        <v>15017</v>
      </c>
      <c r="S145" s="100">
        <v>0</v>
      </c>
      <c r="T145" s="100">
        <v>179679</v>
      </c>
      <c r="U145" s="100">
        <v>66669</v>
      </c>
      <c r="V145" s="100">
        <v>44680</v>
      </c>
      <c r="W145" s="100">
        <v>66445</v>
      </c>
      <c r="X145" s="100">
        <v>5205</v>
      </c>
      <c r="Y145" s="100">
        <v>80565</v>
      </c>
      <c r="Z145" s="100">
        <v>124692</v>
      </c>
      <c r="AA145" s="100">
        <v>7679</v>
      </c>
      <c r="AB145" s="100">
        <v>395601</v>
      </c>
      <c r="AC145" s="100">
        <v>25765</v>
      </c>
      <c r="AD145" s="100">
        <v>6507</v>
      </c>
      <c r="AE145" s="100">
        <v>310977</v>
      </c>
      <c r="AF145" s="100">
        <v>29987</v>
      </c>
      <c r="AG145" s="100">
        <v>0</v>
      </c>
      <c r="AH145" s="100">
        <v>26716</v>
      </c>
      <c r="AI145" s="100">
        <v>50288</v>
      </c>
      <c r="AJ145" s="100">
        <v>4758</v>
      </c>
    </row>
    <row r="146" spans="1:36" x14ac:dyDescent="0.25">
      <c r="A146" s="2">
        <v>136</v>
      </c>
      <c r="B146" s="32">
        <v>45884</v>
      </c>
      <c r="C146" s="2" t="s">
        <v>164</v>
      </c>
      <c r="F146" s="102">
        <v>0.1</v>
      </c>
      <c r="G146" s="5">
        <v>250</v>
      </c>
      <c r="H146" s="4">
        <v>0.8</v>
      </c>
      <c r="I146" s="5">
        <v>400</v>
      </c>
      <c r="J146" s="30">
        <v>1.25</v>
      </c>
      <c r="K146" s="100">
        <v>5474</v>
      </c>
      <c r="L146" s="100">
        <v>0</v>
      </c>
      <c r="M146" s="100">
        <v>30811</v>
      </c>
      <c r="N146" s="100">
        <v>11345</v>
      </c>
      <c r="O146" s="100">
        <v>0</v>
      </c>
      <c r="P146" s="100">
        <v>138245</v>
      </c>
      <c r="Q146" s="100">
        <v>0</v>
      </c>
      <c r="R146" s="100">
        <v>25777</v>
      </c>
      <c r="S146" s="100">
        <v>0</v>
      </c>
      <c r="T146" s="100">
        <v>169518</v>
      </c>
      <c r="U146" s="100">
        <v>70946</v>
      </c>
      <c r="V146" s="100">
        <v>40485</v>
      </c>
      <c r="W146" s="100">
        <v>70491</v>
      </c>
      <c r="X146" s="100">
        <v>5451</v>
      </c>
      <c r="Y146" s="100">
        <v>78745</v>
      </c>
      <c r="Z146" s="100">
        <v>130005</v>
      </c>
      <c r="AA146" s="100">
        <v>15757</v>
      </c>
      <c r="AB146" s="100">
        <v>400035</v>
      </c>
      <c r="AC146" s="100">
        <v>26009</v>
      </c>
      <c r="AD146" s="100">
        <v>6641</v>
      </c>
      <c r="AE146" s="100">
        <v>303295</v>
      </c>
      <c r="AF146" s="100">
        <v>32022</v>
      </c>
      <c r="AG146" s="100">
        <v>0</v>
      </c>
      <c r="AH146" s="100">
        <v>25508</v>
      </c>
      <c r="AI146" s="100">
        <v>48932</v>
      </c>
      <c r="AJ146" s="100">
        <v>4605</v>
      </c>
    </row>
    <row r="147" spans="1:36" x14ac:dyDescent="0.25">
      <c r="A147" s="2">
        <v>137</v>
      </c>
      <c r="B147" s="32">
        <v>45884</v>
      </c>
      <c r="C147" s="2" t="s">
        <v>182</v>
      </c>
      <c r="F147" s="102">
        <v>0.1</v>
      </c>
      <c r="G147" s="5">
        <v>250</v>
      </c>
      <c r="H147" s="4">
        <v>0.8</v>
      </c>
      <c r="I147" s="5">
        <v>400</v>
      </c>
      <c r="J147" s="30">
        <v>1.25</v>
      </c>
      <c r="K147" s="100">
        <v>18036</v>
      </c>
      <c r="L147" s="100">
        <v>0</v>
      </c>
      <c r="M147" s="100">
        <v>99557</v>
      </c>
      <c r="N147" s="100">
        <v>12281</v>
      </c>
      <c r="O147" s="100">
        <v>0</v>
      </c>
      <c r="P147" s="100">
        <v>297622</v>
      </c>
      <c r="Q147" s="100">
        <v>0</v>
      </c>
      <c r="R147" s="100">
        <v>37548</v>
      </c>
      <c r="S147" s="100">
        <v>0</v>
      </c>
      <c r="T147" s="100">
        <v>224704</v>
      </c>
      <c r="U147" s="100">
        <v>117087</v>
      </c>
      <c r="V147" s="100">
        <v>51692</v>
      </c>
      <c r="W147" s="100">
        <v>212514</v>
      </c>
      <c r="X147" s="100">
        <v>5086</v>
      </c>
      <c r="Y147" s="100">
        <v>215598</v>
      </c>
      <c r="Z147" s="100">
        <v>139365</v>
      </c>
      <c r="AA147" s="100">
        <v>17598</v>
      </c>
      <c r="AB147" s="100">
        <v>402139</v>
      </c>
      <c r="AC147" s="100">
        <v>78878</v>
      </c>
      <c r="AD147" s="100">
        <v>6414</v>
      </c>
      <c r="AE147" s="100">
        <v>687170</v>
      </c>
      <c r="AF147" s="100">
        <v>56376</v>
      </c>
      <c r="AG147" s="100">
        <v>0</v>
      </c>
      <c r="AH147" s="100">
        <v>26944</v>
      </c>
      <c r="AI147" s="100">
        <v>45683</v>
      </c>
      <c r="AJ147" s="100">
        <v>13545</v>
      </c>
    </row>
    <row r="148" spans="1:36" x14ac:dyDescent="0.25">
      <c r="A148" s="2">
        <v>138</v>
      </c>
      <c r="B148" s="32">
        <v>45884</v>
      </c>
      <c r="C148" s="2" t="s">
        <v>182</v>
      </c>
      <c r="F148" s="102">
        <v>0.1</v>
      </c>
      <c r="G148" s="5">
        <v>250</v>
      </c>
      <c r="H148" s="4">
        <v>0.8</v>
      </c>
      <c r="I148" s="5">
        <v>400</v>
      </c>
      <c r="J148" s="30">
        <v>1.25</v>
      </c>
      <c r="K148" s="100">
        <v>20198</v>
      </c>
      <c r="L148" s="100">
        <v>0</v>
      </c>
      <c r="M148" s="100">
        <v>109741</v>
      </c>
      <c r="N148" s="100">
        <v>10964</v>
      </c>
      <c r="O148" s="100">
        <v>0</v>
      </c>
      <c r="P148" s="100">
        <v>310348</v>
      </c>
      <c r="Q148" s="100">
        <v>0</v>
      </c>
      <c r="R148" s="100">
        <v>70314</v>
      </c>
      <c r="S148" s="100">
        <v>0</v>
      </c>
      <c r="T148" s="100">
        <v>216149</v>
      </c>
      <c r="U148" s="100">
        <v>117983</v>
      </c>
      <c r="V148" s="100">
        <v>46673</v>
      </c>
      <c r="W148" s="100">
        <v>224617</v>
      </c>
      <c r="X148" s="100">
        <v>5408</v>
      </c>
      <c r="Y148" s="100">
        <v>211362</v>
      </c>
      <c r="Z148" s="100">
        <v>134211</v>
      </c>
      <c r="AA148" s="100">
        <v>17870</v>
      </c>
      <c r="AB148" s="100">
        <v>395334</v>
      </c>
      <c r="AC148" s="100">
        <v>78193</v>
      </c>
      <c r="AD148" s="100">
        <v>7056</v>
      </c>
      <c r="AE148" s="100">
        <v>733144</v>
      </c>
      <c r="AF148" s="100">
        <v>61044</v>
      </c>
      <c r="AG148" s="100">
        <v>0</v>
      </c>
      <c r="AH148" s="100">
        <v>65103</v>
      </c>
      <c r="AI148" s="100">
        <v>43856</v>
      </c>
      <c r="AJ148" s="100">
        <v>15370</v>
      </c>
    </row>
    <row r="149" spans="1:36" x14ac:dyDescent="0.25">
      <c r="A149" s="2">
        <v>139</v>
      </c>
      <c r="B149" s="32">
        <v>45884</v>
      </c>
      <c r="C149" s="2" t="s">
        <v>173</v>
      </c>
      <c r="F149" s="102">
        <v>0.1</v>
      </c>
      <c r="G149" s="5">
        <v>250</v>
      </c>
      <c r="H149" s="4">
        <v>0.8</v>
      </c>
      <c r="I149" s="5">
        <v>400</v>
      </c>
      <c r="J149" s="30">
        <v>1.25</v>
      </c>
      <c r="K149" s="100">
        <v>23361</v>
      </c>
      <c r="L149" s="100">
        <v>0</v>
      </c>
      <c r="M149" s="100">
        <v>120948</v>
      </c>
      <c r="N149" s="100">
        <v>11440</v>
      </c>
      <c r="O149" s="100">
        <v>0</v>
      </c>
      <c r="P149" s="100">
        <v>312453</v>
      </c>
      <c r="Q149" s="100">
        <v>0</v>
      </c>
      <c r="R149" s="100">
        <v>75066</v>
      </c>
      <c r="S149" s="100">
        <v>0</v>
      </c>
      <c r="T149" s="100">
        <v>237204</v>
      </c>
      <c r="U149" s="100">
        <v>125209</v>
      </c>
      <c r="V149" s="100">
        <v>45798</v>
      </c>
      <c r="W149" s="100">
        <v>192358</v>
      </c>
      <c r="X149" s="100">
        <v>5418</v>
      </c>
      <c r="Y149" s="100">
        <v>237870</v>
      </c>
      <c r="Z149" s="100">
        <v>191693</v>
      </c>
      <c r="AA149" s="100">
        <v>20139</v>
      </c>
      <c r="AB149" s="100">
        <v>406824</v>
      </c>
      <c r="AC149" s="100">
        <v>84397</v>
      </c>
      <c r="AD149" s="100">
        <v>11901</v>
      </c>
      <c r="AE149" s="100">
        <v>743006</v>
      </c>
      <c r="AF149" s="100">
        <v>61365</v>
      </c>
      <c r="AG149" s="100">
        <v>0</v>
      </c>
      <c r="AH149" s="100">
        <v>58748</v>
      </c>
      <c r="AI149" s="100">
        <v>50237</v>
      </c>
      <c r="AJ149" s="100">
        <v>12985</v>
      </c>
    </row>
    <row r="150" spans="1:36" x14ac:dyDescent="0.25">
      <c r="A150" s="2">
        <v>140</v>
      </c>
      <c r="B150" s="32">
        <v>45884</v>
      </c>
      <c r="C150" s="2" t="s">
        <v>173</v>
      </c>
      <c r="F150" s="102">
        <v>0.1</v>
      </c>
      <c r="G150" s="5">
        <v>250</v>
      </c>
      <c r="H150" s="4">
        <v>0.8</v>
      </c>
      <c r="I150" s="5">
        <v>400</v>
      </c>
      <c r="J150" s="30">
        <v>1.25</v>
      </c>
      <c r="K150" s="100">
        <v>23994</v>
      </c>
      <c r="L150" s="100">
        <v>0</v>
      </c>
      <c r="M150" s="100">
        <v>113435</v>
      </c>
      <c r="N150" s="100">
        <v>10956</v>
      </c>
      <c r="O150" s="100">
        <v>0</v>
      </c>
      <c r="P150" s="100">
        <v>295087</v>
      </c>
      <c r="Q150" s="100">
        <v>0</v>
      </c>
      <c r="R150" s="100">
        <v>74685</v>
      </c>
      <c r="S150" s="100">
        <v>0</v>
      </c>
      <c r="T150" s="100">
        <v>226100</v>
      </c>
      <c r="U150" s="100">
        <v>116832</v>
      </c>
      <c r="V150" s="100">
        <v>42444</v>
      </c>
      <c r="W150" s="100">
        <v>173689</v>
      </c>
      <c r="X150" s="100">
        <v>5227</v>
      </c>
      <c r="Y150" s="100">
        <v>238766</v>
      </c>
      <c r="Z150" s="100">
        <v>188912</v>
      </c>
      <c r="AA150" s="100">
        <v>20479</v>
      </c>
      <c r="AB150" s="100">
        <v>386649</v>
      </c>
      <c r="AC150" s="100">
        <v>81982</v>
      </c>
      <c r="AD150" s="100">
        <v>12725</v>
      </c>
      <c r="AE150" s="100">
        <v>666904</v>
      </c>
      <c r="AF150" s="100">
        <v>54116</v>
      </c>
      <c r="AG150" s="100">
        <v>0</v>
      </c>
      <c r="AH150" s="100">
        <v>26933</v>
      </c>
      <c r="AI150" s="100">
        <v>47579</v>
      </c>
      <c r="AJ150" s="100">
        <v>11326</v>
      </c>
    </row>
    <row r="151" spans="1:36" x14ac:dyDescent="0.25">
      <c r="A151" s="2">
        <v>141</v>
      </c>
      <c r="B151" s="32">
        <v>45884</v>
      </c>
      <c r="C151" s="2" t="s">
        <v>184</v>
      </c>
      <c r="F151" s="102">
        <v>0.1</v>
      </c>
      <c r="G151" s="5">
        <v>250</v>
      </c>
      <c r="H151" s="4">
        <v>0.8</v>
      </c>
      <c r="I151" s="5">
        <v>400</v>
      </c>
      <c r="J151" s="30">
        <v>1.25</v>
      </c>
      <c r="K151" s="100">
        <v>0</v>
      </c>
      <c r="L151" s="100">
        <v>0</v>
      </c>
      <c r="M151" s="100">
        <v>21623</v>
      </c>
      <c r="N151" s="100">
        <v>2609</v>
      </c>
      <c r="O151" s="100">
        <v>0</v>
      </c>
      <c r="P151" s="100">
        <v>70613</v>
      </c>
      <c r="Q151" s="100">
        <v>0</v>
      </c>
      <c r="R151" s="100">
        <v>14679</v>
      </c>
      <c r="S151" s="100">
        <v>0</v>
      </c>
      <c r="T151" s="100">
        <v>62560</v>
      </c>
      <c r="U151" s="100">
        <v>18862</v>
      </c>
      <c r="V151" s="100">
        <v>6554</v>
      </c>
      <c r="W151" s="100">
        <v>34922</v>
      </c>
      <c r="X151" s="100">
        <v>0</v>
      </c>
      <c r="Y151" s="100">
        <v>1603</v>
      </c>
      <c r="Z151" s="100">
        <v>40913</v>
      </c>
      <c r="AA151" s="100">
        <v>7814</v>
      </c>
      <c r="AB151" s="100">
        <v>397006</v>
      </c>
      <c r="AC151" s="100">
        <v>18239</v>
      </c>
      <c r="AD151" s="100">
        <v>3107</v>
      </c>
      <c r="AE151" s="100">
        <v>156831</v>
      </c>
      <c r="AF151" s="100">
        <v>13565</v>
      </c>
      <c r="AG151" s="100">
        <v>0</v>
      </c>
      <c r="AH151" s="100">
        <v>5821</v>
      </c>
      <c r="AI151" s="100">
        <v>13378</v>
      </c>
      <c r="AJ151" s="100">
        <v>1669</v>
      </c>
    </row>
    <row r="152" spans="1:36" x14ac:dyDescent="0.25">
      <c r="A152" s="2">
        <v>142</v>
      </c>
      <c r="B152" s="32">
        <v>45884</v>
      </c>
      <c r="C152" s="2" t="s">
        <v>184</v>
      </c>
      <c r="F152" s="102">
        <v>0.1</v>
      </c>
      <c r="G152" s="5">
        <v>250</v>
      </c>
      <c r="H152" s="4">
        <v>0.8</v>
      </c>
      <c r="I152" s="5">
        <v>400</v>
      </c>
      <c r="J152" s="30">
        <v>1.25</v>
      </c>
      <c r="K152" s="100">
        <v>0</v>
      </c>
      <c r="L152" s="100">
        <v>0</v>
      </c>
      <c r="M152" s="100">
        <v>5468</v>
      </c>
      <c r="N152" s="100">
        <v>0</v>
      </c>
      <c r="O152" s="100">
        <v>0</v>
      </c>
      <c r="P152" s="100">
        <v>34576</v>
      </c>
      <c r="Q152" s="100">
        <v>0</v>
      </c>
      <c r="R152" s="100">
        <v>5106</v>
      </c>
      <c r="S152" s="100">
        <v>0</v>
      </c>
      <c r="T152" s="100">
        <v>32801</v>
      </c>
      <c r="U152" s="100">
        <v>15164</v>
      </c>
      <c r="V152" s="100">
        <v>9195</v>
      </c>
      <c r="W152" s="100">
        <v>16321</v>
      </c>
      <c r="X152" s="100">
        <v>0</v>
      </c>
      <c r="Y152" s="100">
        <v>19627</v>
      </c>
      <c r="Z152" s="100">
        <v>22452</v>
      </c>
      <c r="AA152" s="100">
        <v>0</v>
      </c>
      <c r="AB152" s="100">
        <v>388516</v>
      </c>
      <c r="AC152" s="100">
        <v>8672</v>
      </c>
      <c r="AD152" s="100">
        <v>0</v>
      </c>
      <c r="AE152" s="100">
        <v>76392</v>
      </c>
      <c r="AF152" s="100">
        <v>7159</v>
      </c>
      <c r="AG152" s="100">
        <v>0</v>
      </c>
      <c r="AH152" s="100">
        <v>2843</v>
      </c>
      <c r="AI152" s="100">
        <v>11783</v>
      </c>
      <c r="AJ152" s="100">
        <v>1008</v>
      </c>
    </row>
    <row r="153" spans="1:36" x14ac:dyDescent="0.25">
      <c r="A153" s="2">
        <v>143</v>
      </c>
      <c r="B153" s="32">
        <v>45884</v>
      </c>
      <c r="C153" s="2" t="s">
        <v>185</v>
      </c>
      <c r="F153" s="102">
        <v>0.1</v>
      </c>
      <c r="G153" s="5">
        <v>250</v>
      </c>
      <c r="H153" s="4">
        <v>0.8</v>
      </c>
      <c r="I153" s="5">
        <v>400</v>
      </c>
      <c r="J153" s="30">
        <v>1.25</v>
      </c>
      <c r="K153" s="100">
        <v>0</v>
      </c>
      <c r="L153" s="100">
        <v>0</v>
      </c>
      <c r="M153" s="100">
        <v>12037</v>
      </c>
      <c r="N153" s="100">
        <v>2749</v>
      </c>
      <c r="O153" s="100">
        <v>0</v>
      </c>
      <c r="P153" s="100">
        <v>64850</v>
      </c>
      <c r="Q153" s="100">
        <v>0</v>
      </c>
      <c r="R153" s="100">
        <v>9309</v>
      </c>
      <c r="S153" s="100">
        <v>0</v>
      </c>
      <c r="T153" s="100">
        <v>75402</v>
      </c>
      <c r="U153" s="100">
        <v>34303</v>
      </c>
      <c r="V153" s="100">
        <v>17115</v>
      </c>
      <c r="W153" s="100">
        <v>27798</v>
      </c>
      <c r="X153" s="100">
        <v>0</v>
      </c>
      <c r="Y153" s="100">
        <v>1316</v>
      </c>
      <c r="Z153" s="100">
        <v>39355</v>
      </c>
      <c r="AA153" s="100">
        <v>7108</v>
      </c>
      <c r="AB153" s="100">
        <v>394098</v>
      </c>
      <c r="AC153" s="100">
        <v>14001</v>
      </c>
      <c r="AD153" s="100">
        <v>0</v>
      </c>
      <c r="AE153" s="100">
        <v>135275</v>
      </c>
      <c r="AF153" s="100">
        <v>13009</v>
      </c>
      <c r="AG153" s="100">
        <v>0</v>
      </c>
      <c r="AH153" s="100">
        <v>4739</v>
      </c>
      <c r="AI153" s="100">
        <v>24189</v>
      </c>
      <c r="AJ153" s="100">
        <v>1507</v>
      </c>
    </row>
    <row r="154" spans="1:36" x14ac:dyDescent="0.25">
      <c r="A154" s="2">
        <v>144</v>
      </c>
      <c r="B154" s="32">
        <v>45884</v>
      </c>
      <c r="C154" s="2" t="s">
        <v>185</v>
      </c>
      <c r="F154" s="102">
        <v>0.1</v>
      </c>
      <c r="G154" s="5">
        <v>250</v>
      </c>
      <c r="H154" s="4">
        <v>0.8</v>
      </c>
      <c r="I154" s="5">
        <v>400</v>
      </c>
      <c r="J154" s="30">
        <v>1.25</v>
      </c>
      <c r="K154" s="100">
        <v>0</v>
      </c>
      <c r="L154" s="100">
        <v>0</v>
      </c>
      <c r="M154" s="100">
        <v>10301</v>
      </c>
      <c r="N154" s="100">
        <v>1721</v>
      </c>
      <c r="O154" s="100">
        <v>0</v>
      </c>
      <c r="P154" s="100">
        <v>67534</v>
      </c>
      <c r="Q154" s="100">
        <v>0</v>
      </c>
      <c r="R154" s="100">
        <v>9886</v>
      </c>
      <c r="S154" s="100">
        <v>0</v>
      </c>
      <c r="T154" s="100">
        <v>79303</v>
      </c>
      <c r="U154" s="100">
        <v>34698</v>
      </c>
      <c r="V154" s="100">
        <v>16787</v>
      </c>
      <c r="W154" s="100">
        <v>28854</v>
      </c>
      <c r="X154" s="100">
        <v>0</v>
      </c>
      <c r="Y154" s="100">
        <v>2032</v>
      </c>
      <c r="Z154" s="100">
        <v>41501</v>
      </c>
      <c r="AA154" s="100">
        <v>4900</v>
      </c>
      <c r="AB154" s="100">
        <v>382574</v>
      </c>
      <c r="AC154" s="100">
        <v>13617</v>
      </c>
      <c r="AD154" s="100">
        <v>0</v>
      </c>
      <c r="AE154" s="100">
        <v>140854</v>
      </c>
      <c r="AF154" s="100">
        <v>13688</v>
      </c>
      <c r="AG154" s="100">
        <v>0</v>
      </c>
      <c r="AH154" s="100">
        <v>4385</v>
      </c>
      <c r="AI154" s="100">
        <v>24047</v>
      </c>
      <c r="AJ154" s="100">
        <v>2180</v>
      </c>
    </row>
    <row r="155" spans="1:36" x14ac:dyDescent="0.25">
      <c r="A155" s="2">
        <v>145</v>
      </c>
      <c r="B155" s="32">
        <v>45884</v>
      </c>
      <c r="C155" s="2" t="s">
        <v>186</v>
      </c>
      <c r="F155" s="102">
        <v>0.1</v>
      </c>
      <c r="G155" s="5">
        <v>250</v>
      </c>
      <c r="H155" s="4">
        <v>0.8</v>
      </c>
      <c r="I155" s="5">
        <v>400</v>
      </c>
      <c r="J155" s="30">
        <v>1.25</v>
      </c>
      <c r="K155" s="100">
        <v>0</v>
      </c>
      <c r="L155" s="100">
        <v>0</v>
      </c>
      <c r="M155" s="100">
        <v>18596</v>
      </c>
      <c r="N155" s="100">
        <v>4910</v>
      </c>
      <c r="O155" s="100">
        <v>0</v>
      </c>
      <c r="P155" s="100">
        <v>63953</v>
      </c>
      <c r="Q155" s="100">
        <v>0</v>
      </c>
      <c r="R155" s="100">
        <v>14734</v>
      </c>
      <c r="S155" s="100">
        <v>0</v>
      </c>
      <c r="T155" s="100">
        <v>115561</v>
      </c>
      <c r="U155" s="100">
        <v>40603</v>
      </c>
      <c r="V155" s="100">
        <v>29433</v>
      </c>
      <c r="W155" s="100">
        <v>39117</v>
      </c>
      <c r="X155" s="100">
        <v>1573</v>
      </c>
      <c r="Y155" s="100">
        <v>47915</v>
      </c>
      <c r="Z155" s="100">
        <v>57591</v>
      </c>
      <c r="AA155" s="100">
        <v>5559</v>
      </c>
      <c r="AB155" s="100">
        <v>370614</v>
      </c>
      <c r="AC155" s="100">
        <v>15032</v>
      </c>
      <c r="AD155" s="100">
        <v>3705</v>
      </c>
      <c r="AE155" s="100">
        <v>181983</v>
      </c>
      <c r="AF155" s="100">
        <v>18760</v>
      </c>
      <c r="AG155" s="100">
        <v>0</v>
      </c>
      <c r="AH155" s="100">
        <v>5337</v>
      </c>
      <c r="AI155" s="100">
        <v>37894</v>
      </c>
      <c r="AJ155" s="100">
        <v>2414</v>
      </c>
    </row>
    <row r="156" spans="1:36" x14ac:dyDescent="0.25">
      <c r="A156" s="2">
        <v>146</v>
      </c>
      <c r="B156" s="32">
        <v>45884</v>
      </c>
      <c r="C156" s="2" t="s">
        <v>186</v>
      </c>
      <c r="F156" s="102">
        <v>0.1</v>
      </c>
      <c r="G156" s="5">
        <v>250</v>
      </c>
      <c r="H156" s="4">
        <v>0.8</v>
      </c>
      <c r="I156" s="5">
        <v>400</v>
      </c>
      <c r="J156" s="30">
        <v>1.25</v>
      </c>
      <c r="K156" s="100">
        <v>2830</v>
      </c>
      <c r="L156" s="100">
        <v>0</v>
      </c>
      <c r="M156" s="100">
        <v>14415</v>
      </c>
      <c r="N156" s="100">
        <v>1350</v>
      </c>
      <c r="O156" s="100">
        <v>0</v>
      </c>
      <c r="P156" s="100">
        <v>93673</v>
      </c>
      <c r="Q156" s="100">
        <v>0</v>
      </c>
      <c r="R156" s="100">
        <v>11696</v>
      </c>
      <c r="S156" s="100">
        <v>0</v>
      </c>
      <c r="T156" s="100">
        <v>119304</v>
      </c>
      <c r="U156" s="100">
        <v>42021</v>
      </c>
      <c r="V156" s="100">
        <v>30165</v>
      </c>
      <c r="W156" s="100">
        <v>40157</v>
      </c>
      <c r="X156" s="100">
        <v>2202</v>
      </c>
      <c r="Y156" s="100">
        <v>50225</v>
      </c>
      <c r="Z156" s="100">
        <v>66435</v>
      </c>
      <c r="AA156" s="100">
        <v>11326</v>
      </c>
      <c r="AB156" s="100">
        <v>392243</v>
      </c>
      <c r="AC156" s="100">
        <v>15987</v>
      </c>
      <c r="AD156" s="100">
        <v>0</v>
      </c>
      <c r="AE156" s="100">
        <v>198099</v>
      </c>
      <c r="AF156" s="100">
        <v>20266</v>
      </c>
      <c r="AG156" s="100">
        <v>0</v>
      </c>
      <c r="AH156" s="100">
        <v>10240</v>
      </c>
      <c r="AI156" s="100">
        <v>39217</v>
      </c>
      <c r="AJ156" s="100">
        <v>2634</v>
      </c>
    </row>
    <row r="157" spans="1:36" x14ac:dyDescent="0.25">
      <c r="A157" s="2">
        <v>147</v>
      </c>
      <c r="B157" s="32">
        <v>45884</v>
      </c>
      <c r="C157" s="2" t="s">
        <v>187</v>
      </c>
      <c r="F157" s="102">
        <v>0.1</v>
      </c>
      <c r="G157" s="5">
        <v>250</v>
      </c>
      <c r="H157" s="4">
        <v>0.8</v>
      </c>
      <c r="I157" s="5">
        <v>400</v>
      </c>
      <c r="J157" s="30">
        <v>1.25</v>
      </c>
      <c r="K157" s="100">
        <v>5899</v>
      </c>
      <c r="L157" s="100">
        <v>0</v>
      </c>
      <c r="M157" s="100">
        <v>36019</v>
      </c>
      <c r="N157" s="100">
        <v>4570</v>
      </c>
      <c r="O157" s="100">
        <v>0</v>
      </c>
      <c r="P157" s="100">
        <v>148720</v>
      </c>
      <c r="Q157" s="100">
        <v>0</v>
      </c>
      <c r="R157" s="100">
        <v>23102</v>
      </c>
      <c r="S157" s="100">
        <v>0</v>
      </c>
      <c r="T157" s="100">
        <v>152212</v>
      </c>
      <c r="U157" s="100">
        <v>69227</v>
      </c>
      <c r="V157" s="100">
        <v>35213</v>
      </c>
      <c r="W157" s="100">
        <v>59995</v>
      </c>
      <c r="X157" s="100">
        <v>3771</v>
      </c>
      <c r="Y157" s="100">
        <v>74951</v>
      </c>
      <c r="Z157" s="100">
        <v>90457</v>
      </c>
      <c r="AA157" s="100">
        <v>8514</v>
      </c>
      <c r="AB157" s="100">
        <v>387864</v>
      </c>
      <c r="AC157" s="100">
        <v>24214</v>
      </c>
      <c r="AD157" s="100">
        <v>5302</v>
      </c>
      <c r="AE157" s="100">
        <v>283617</v>
      </c>
      <c r="AF157" s="100">
        <v>28325</v>
      </c>
      <c r="AG157" s="100">
        <v>0</v>
      </c>
      <c r="AH157" s="100">
        <v>12518</v>
      </c>
      <c r="AI157" s="100">
        <v>49688</v>
      </c>
      <c r="AJ157" s="100">
        <v>2815</v>
      </c>
    </row>
    <row r="158" spans="1:36" x14ac:dyDescent="0.25">
      <c r="A158" s="2">
        <v>148</v>
      </c>
      <c r="B158" s="32">
        <v>45884</v>
      </c>
      <c r="C158" s="2" t="s">
        <v>187</v>
      </c>
      <c r="F158" s="102">
        <v>0.1</v>
      </c>
      <c r="G158" s="5">
        <v>250</v>
      </c>
      <c r="H158" s="4">
        <v>0.8</v>
      </c>
      <c r="I158" s="5">
        <v>400</v>
      </c>
      <c r="J158" s="30">
        <v>1.25</v>
      </c>
      <c r="K158" s="100">
        <v>5495</v>
      </c>
      <c r="L158" s="100">
        <v>0</v>
      </c>
      <c r="M158" s="100">
        <v>32216</v>
      </c>
      <c r="N158" s="100">
        <v>8660</v>
      </c>
      <c r="O158" s="100">
        <v>0</v>
      </c>
      <c r="P158" s="100">
        <v>155891</v>
      </c>
      <c r="Q158" s="100">
        <v>0</v>
      </c>
      <c r="R158" s="100">
        <v>12485</v>
      </c>
      <c r="S158" s="100">
        <v>0</v>
      </c>
      <c r="T158" s="100">
        <v>175455</v>
      </c>
      <c r="U158" s="100">
        <v>73044</v>
      </c>
      <c r="V158" s="100">
        <v>43733</v>
      </c>
      <c r="W158" s="100">
        <v>62911</v>
      </c>
      <c r="X158" s="100">
        <v>4733</v>
      </c>
      <c r="Y158" s="100">
        <v>77612</v>
      </c>
      <c r="Z158" s="100">
        <v>94557</v>
      </c>
      <c r="AA158" s="100">
        <v>8166</v>
      </c>
      <c r="AB158" s="100">
        <v>385731</v>
      </c>
      <c r="AC158" s="100">
        <v>24196</v>
      </c>
      <c r="AD158" s="100">
        <v>6360</v>
      </c>
      <c r="AE158" s="100">
        <v>282428</v>
      </c>
      <c r="AF158" s="100">
        <v>27309</v>
      </c>
      <c r="AG158" s="100">
        <v>0</v>
      </c>
      <c r="AH158" s="100">
        <v>9181</v>
      </c>
      <c r="AI158" s="100">
        <v>56058</v>
      </c>
      <c r="AJ158" s="100">
        <v>3387</v>
      </c>
    </row>
    <row r="159" spans="1:36" x14ac:dyDescent="0.25">
      <c r="A159" s="2">
        <v>149</v>
      </c>
      <c r="B159" s="32">
        <v>45884</v>
      </c>
      <c r="C159" s="2" t="s">
        <v>188</v>
      </c>
      <c r="F159" s="102">
        <v>0.1</v>
      </c>
      <c r="G159" s="5">
        <v>250</v>
      </c>
      <c r="H159" s="4">
        <v>0.8</v>
      </c>
      <c r="I159" s="5">
        <v>400</v>
      </c>
      <c r="J159" s="30">
        <v>1.25</v>
      </c>
      <c r="K159" s="100">
        <v>3987</v>
      </c>
      <c r="L159" s="100">
        <v>0</v>
      </c>
      <c r="M159" s="100">
        <v>23761</v>
      </c>
      <c r="N159" s="100">
        <v>3718</v>
      </c>
      <c r="O159" s="100">
        <v>0</v>
      </c>
      <c r="P159" s="100">
        <v>101689</v>
      </c>
      <c r="Q159" s="100">
        <v>0</v>
      </c>
      <c r="R159" s="100">
        <v>22355</v>
      </c>
      <c r="S159" s="100">
        <v>0</v>
      </c>
      <c r="T159" s="100">
        <v>77065</v>
      </c>
      <c r="U159" s="100">
        <v>38988</v>
      </c>
      <c r="V159" s="100">
        <v>17527</v>
      </c>
      <c r="W159" s="100">
        <v>41726</v>
      </c>
      <c r="X159" s="100">
        <v>1718</v>
      </c>
      <c r="Y159" s="100">
        <v>68526</v>
      </c>
      <c r="Z159" s="100">
        <v>45708</v>
      </c>
      <c r="AA159" s="100">
        <v>7863</v>
      </c>
      <c r="AB159" s="100">
        <v>394871</v>
      </c>
      <c r="AC159" s="100">
        <v>26621</v>
      </c>
      <c r="AD159" s="100">
        <v>3959</v>
      </c>
      <c r="AE159" s="100">
        <v>196212</v>
      </c>
      <c r="AF159" s="100">
        <v>16709</v>
      </c>
      <c r="AG159" s="100">
        <v>0</v>
      </c>
      <c r="AH159" s="100">
        <v>5154</v>
      </c>
      <c r="AI159" s="100">
        <v>18546</v>
      </c>
      <c r="AJ159" s="100">
        <v>1418</v>
      </c>
    </row>
    <row r="160" spans="1:36" x14ac:dyDescent="0.25">
      <c r="A160" s="2">
        <v>150</v>
      </c>
      <c r="B160" s="32">
        <v>45884</v>
      </c>
      <c r="C160" s="2" t="s">
        <v>188</v>
      </c>
      <c r="F160" s="102">
        <v>0.1</v>
      </c>
      <c r="G160" s="5">
        <v>250</v>
      </c>
      <c r="H160" s="4">
        <v>0.8</v>
      </c>
      <c r="I160" s="5">
        <v>400</v>
      </c>
      <c r="J160" s="30">
        <v>1.25</v>
      </c>
      <c r="K160" s="100">
        <v>3711</v>
      </c>
      <c r="L160" s="100">
        <v>0</v>
      </c>
      <c r="M160" s="100">
        <v>22443</v>
      </c>
      <c r="N160" s="100">
        <v>812</v>
      </c>
      <c r="O160" s="100">
        <v>0</v>
      </c>
      <c r="P160" s="100">
        <v>83535</v>
      </c>
      <c r="Q160" s="100">
        <v>0</v>
      </c>
      <c r="R160" s="100">
        <v>18136</v>
      </c>
      <c r="S160" s="100">
        <v>0</v>
      </c>
      <c r="T160" s="100">
        <v>56214</v>
      </c>
      <c r="U160" s="100">
        <v>22130</v>
      </c>
      <c r="V160" s="100">
        <v>5378</v>
      </c>
      <c r="W160" s="100">
        <v>31350</v>
      </c>
      <c r="X160" s="100">
        <v>1544</v>
      </c>
      <c r="Y160" s="100">
        <v>65936</v>
      </c>
      <c r="Z160" s="100">
        <v>39012</v>
      </c>
      <c r="AA160" s="100">
        <v>6991</v>
      </c>
      <c r="AB160" s="100">
        <v>386758</v>
      </c>
      <c r="AC160" s="100">
        <v>23801</v>
      </c>
      <c r="AD160" s="100">
        <v>0</v>
      </c>
      <c r="AE160" s="100">
        <v>156684</v>
      </c>
      <c r="AF160" s="100">
        <v>12599</v>
      </c>
      <c r="AG160" s="100">
        <v>0</v>
      </c>
      <c r="AH160" s="100">
        <v>4087</v>
      </c>
      <c r="AI160" s="100">
        <v>7979</v>
      </c>
      <c r="AJ160" s="100">
        <v>4210</v>
      </c>
    </row>
    <row r="161" spans="1:36" x14ac:dyDescent="0.25">
      <c r="A161" s="2">
        <v>151</v>
      </c>
      <c r="B161" s="32">
        <v>45884</v>
      </c>
      <c r="C161" s="2" t="s">
        <v>189</v>
      </c>
      <c r="F161" s="102">
        <v>0.1</v>
      </c>
      <c r="G161" s="5">
        <v>250</v>
      </c>
      <c r="H161" s="4">
        <v>0.8</v>
      </c>
      <c r="I161" s="5">
        <v>400</v>
      </c>
      <c r="J161" s="30">
        <v>1.25</v>
      </c>
      <c r="K161" s="100">
        <v>4751</v>
      </c>
      <c r="L161" s="100">
        <v>0</v>
      </c>
      <c r="M161" s="100">
        <v>42643</v>
      </c>
      <c r="N161" s="100">
        <v>1695</v>
      </c>
      <c r="O161" s="100">
        <v>0</v>
      </c>
      <c r="P161" s="100">
        <v>166246</v>
      </c>
      <c r="Q161" s="100">
        <v>0</v>
      </c>
      <c r="R161" s="100">
        <v>34927</v>
      </c>
      <c r="S161" s="100">
        <v>0</v>
      </c>
      <c r="T161" s="100">
        <v>101259</v>
      </c>
      <c r="U161" s="100">
        <v>58834</v>
      </c>
      <c r="V161" s="100">
        <v>21232</v>
      </c>
      <c r="W161" s="100">
        <v>59529</v>
      </c>
      <c r="X161" s="100">
        <v>0</v>
      </c>
      <c r="Y161" s="100">
        <v>2021</v>
      </c>
      <c r="Z161" s="100">
        <v>72390</v>
      </c>
      <c r="AA161" s="100">
        <v>9837</v>
      </c>
      <c r="AB161" s="100">
        <v>381090</v>
      </c>
      <c r="AC161" s="100">
        <v>43895</v>
      </c>
      <c r="AD161" s="100">
        <v>2925</v>
      </c>
      <c r="AE161" s="100">
        <v>331758</v>
      </c>
      <c r="AF161" s="100">
        <v>28968</v>
      </c>
      <c r="AG161" s="100">
        <v>0</v>
      </c>
      <c r="AH161" s="100">
        <v>14004</v>
      </c>
      <c r="AI161" s="100">
        <v>19386</v>
      </c>
      <c r="AJ161" s="100">
        <v>2744</v>
      </c>
    </row>
    <row r="162" spans="1:36" x14ac:dyDescent="0.25">
      <c r="A162" s="2">
        <v>152</v>
      </c>
      <c r="B162" s="32">
        <v>45884</v>
      </c>
      <c r="C162" s="2" t="s">
        <v>189</v>
      </c>
      <c r="F162" s="102">
        <v>0.1</v>
      </c>
      <c r="G162" s="5">
        <v>250</v>
      </c>
      <c r="H162" s="4">
        <v>0.8</v>
      </c>
      <c r="I162" s="5">
        <v>400</v>
      </c>
      <c r="J162" s="30">
        <v>1.25</v>
      </c>
      <c r="K162" s="100">
        <v>8983</v>
      </c>
      <c r="L162" s="100">
        <v>0</v>
      </c>
      <c r="M162" s="100">
        <v>52680</v>
      </c>
      <c r="N162" s="100">
        <v>4778</v>
      </c>
      <c r="O162" s="100">
        <v>0</v>
      </c>
      <c r="P162" s="100">
        <v>184331</v>
      </c>
      <c r="Q162" s="100">
        <v>0</v>
      </c>
      <c r="R162" s="100">
        <v>44396</v>
      </c>
      <c r="S162" s="100">
        <v>0</v>
      </c>
      <c r="T162" s="100">
        <v>114800</v>
      </c>
      <c r="U162" s="100">
        <v>63586</v>
      </c>
      <c r="V162" s="100">
        <v>24409</v>
      </c>
      <c r="W162" s="100">
        <v>63220</v>
      </c>
      <c r="X162" s="100">
        <v>2456</v>
      </c>
      <c r="Y162" s="100">
        <v>142684</v>
      </c>
      <c r="Z162" s="100">
        <v>80656</v>
      </c>
      <c r="AA162" s="100">
        <v>13340</v>
      </c>
      <c r="AB162" s="100">
        <v>400551</v>
      </c>
      <c r="AC162" s="100">
        <v>52882</v>
      </c>
      <c r="AD162" s="100">
        <v>4795</v>
      </c>
      <c r="AE162" s="100">
        <v>391746</v>
      </c>
      <c r="AF162" s="100">
        <v>31858</v>
      </c>
      <c r="AG162" s="100">
        <v>0</v>
      </c>
      <c r="AH162" s="100">
        <v>9219</v>
      </c>
      <c r="AI162" s="100">
        <v>21612</v>
      </c>
      <c r="AJ162" s="100">
        <v>4111</v>
      </c>
    </row>
    <row r="163" spans="1:36" x14ac:dyDescent="0.25">
      <c r="A163" s="2">
        <v>153</v>
      </c>
      <c r="B163" s="32">
        <v>45884</v>
      </c>
      <c r="C163" s="2" t="s">
        <v>190</v>
      </c>
      <c r="F163" s="102">
        <v>0.1</v>
      </c>
      <c r="G163" s="5">
        <v>250</v>
      </c>
      <c r="H163" s="4">
        <v>0.8</v>
      </c>
      <c r="I163" s="5">
        <v>400</v>
      </c>
      <c r="J163" s="30">
        <v>1.25</v>
      </c>
      <c r="K163" s="100">
        <v>11532</v>
      </c>
      <c r="L163" s="100">
        <v>0</v>
      </c>
      <c r="M163" s="100">
        <v>62773</v>
      </c>
      <c r="N163" s="100">
        <v>9611</v>
      </c>
      <c r="O163" s="100">
        <v>0</v>
      </c>
      <c r="P163" s="100">
        <v>190490</v>
      </c>
      <c r="Q163" s="100">
        <v>0</v>
      </c>
      <c r="R163" s="100">
        <v>33493</v>
      </c>
      <c r="S163" s="100">
        <v>0</v>
      </c>
      <c r="T163" s="100">
        <v>181884</v>
      </c>
      <c r="U163" s="100">
        <v>95889</v>
      </c>
      <c r="V163" s="100">
        <v>47508</v>
      </c>
      <c r="W163" s="100">
        <v>112115</v>
      </c>
      <c r="X163" s="100">
        <v>5152</v>
      </c>
      <c r="Y163" s="100">
        <v>195442</v>
      </c>
      <c r="Z163" s="100">
        <v>122848</v>
      </c>
      <c r="AA163" s="100">
        <v>17250</v>
      </c>
      <c r="AB163" s="100">
        <v>404203</v>
      </c>
      <c r="AC163" s="100">
        <v>67226</v>
      </c>
      <c r="AD163" s="100">
        <v>4661</v>
      </c>
      <c r="AE163" s="100">
        <v>530423</v>
      </c>
      <c r="AF163" s="100">
        <v>45926</v>
      </c>
      <c r="AG163" s="100">
        <v>0</v>
      </c>
      <c r="AH163" s="100">
        <v>21774</v>
      </c>
      <c r="AI163" s="100">
        <v>34386</v>
      </c>
      <c r="AJ163" s="100">
        <v>4576</v>
      </c>
    </row>
    <row r="164" spans="1:36" x14ac:dyDescent="0.25">
      <c r="A164" s="2">
        <v>154</v>
      </c>
      <c r="B164" s="32">
        <v>45884</v>
      </c>
      <c r="C164" s="2" t="s">
        <v>190</v>
      </c>
      <c r="F164" s="102">
        <v>0.1</v>
      </c>
      <c r="G164" s="5">
        <v>250</v>
      </c>
      <c r="H164" s="4">
        <v>0.8</v>
      </c>
      <c r="I164" s="5">
        <v>400</v>
      </c>
      <c r="J164" s="30">
        <v>1.25</v>
      </c>
      <c r="K164" s="100">
        <v>25134</v>
      </c>
      <c r="L164" s="100">
        <v>0</v>
      </c>
      <c r="M164" s="100">
        <v>91961</v>
      </c>
      <c r="N164" s="100">
        <v>7851</v>
      </c>
      <c r="O164" s="100">
        <v>0</v>
      </c>
      <c r="P164" s="100">
        <v>264295</v>
      </c>
      <c r="Q164" s="100">
        <v>7215</v>
      </c>
      <c r="R164" s="100">
        <v>63450</v>
      </c>
      <c r="S164" s="100">
        <v>0</v>
      </c>
      <c r="T164" s="100">
        <v>177251</v>
      </c>
      <c r="U164" s="100">
        <v>101085</v>
      </c>
      <c r="V164" s="100">
        <v>12397</v>
      </c>
      <c r="W164" s="100">
        <v>110463</v>
      </c>
      <c r="X164" s="100">
        <v>4587</v>
      </c>
      <c r="Y164" s="100">
        <v>208644</v>
      </c>
      <c r="Z164" s="100">
        <v>118624</v>
      </c>
      <c r="AA164" s="100">
        <v>18306</v>
      </c>
      <c r="AB164" s="100">
        <v>384682</v>
      </c>
      <c r="AC164" s="100">
        <v>71240</v>
      </c>
      <c r="AD164" s="100">
        <v>5018</v>
      </c>
      <c r="AE164" s="100">
        <v>527227</v>
      </c>
      <c r="AF164" s="100">
        <v>45503</v>
      </c>
      <c r="AG164" s="100">
        <v>0</v>
      </c>
      <c r="AH164" s="100">
        <v>14938</v>
      </c>
      <c r="AI164" s="100">
        <v>33688</v>
      </c>
      <c r="AJ164" s="100">
        <v>5577</v>
      </c>
    </row>
    <row r="165" spans="1:36" x14ac:dyDescent="0.25">
      <c r="A165" s="2">
        <v>155</v>
      </c>
      <c r="B165" s="32">
        <v>45884</v>
      </c>
      <c r="C165" s="2" t="s">
        <v>191</v>
      </c>
      <c r="F165" s="102">
        <v>0.1</v>
      </c>
      <c r="G165" s="5">
        <v>250</v>
      </c>
      <c r="H165" s="4">
        <v>0.8</v>
      </c>
      <c r="I165" s="5">
        <v>400</v>
      </c>
      <c r="J165" s="30">
        <v>1.25</v>
      </c>
      <c r="K165" s="100">
        <v>28454</v>
      </c>
      <c r="L165" s="100">
        <v>0</v>
      </c>
      <c r="M165" s="100">
        <v>109229</v>
      </c>
      <c r="N165" s="100">
        <v>8877</v>
      </c>
      <c r="O165" s="100">
        <v>0</v>
      </c>
      <c r="P165" s="100">
        <v>349397</v>
      </c>
      <c r="Q165" s="100">
        <v>0</v>
      </c>
      <c r="R165" s="100">
        <v>78833</v>
      </c>
      <c r="S165" s="100">
        <v>0</v>
      </c>
      <c r="T165" s="100">
        <v>227900</v>
      </c>
      <c r="U165" s="100">
        <v>131449</v>
      </c>
      <c r="V165" s="100">
        <v>19373</v>
      </c>
      <c r="W165" s="100">
        <v>152095</v>
      </c>
      <c r="X165" s="100">
        <v>5172</v>
      </c>
      <c r="Y165" s="100">
        <v>264379</v>
      </c>
      <c r="Z165" s="100">
        <v>164658</v>
      </c>
      <c r="AA165" s="100">
        <v>22442</v>
      </c>
      <c r="AB165" s="100">
        <v>383364</v>
      </c>
      <c r="AC165" s="100">
        <v>91754</v>
      </c>
      <c r="AD165" s="100">
        <v>6556</v>
      </c>
      <c r="AE165" s="100">
        <v>724447</v>
      </c>
      <c r="AF165" s="100">
        <v>65425</v>
      </c>
      <c r="AG165" s="100">
        <v>0</v>
      </c>
      <c r="AH165" s="100">
        <v>31704</v>
      </c>
      <c r="AI165" s="100">
        <v>42790</v>
      </c>
      <c r="AJ165" s="100">
        <v>8269</v>
      </c>
    </row>
    <row r="166" spans="1:36" x14ac:dyDescent="0.25">
      <c r="A166" s="2">
        <v>156</v>
      </c>
      <c r="B166" s="32">
        <v>45884</v>
      </c>
      <c r="C166" s="2" t="s">
        <v>191</v>
      </c>
      <c r="F166" s="102">
        <v>0.1</v>
      </c>
      <c r="G166" s="5">
        <v>250</v>
      </c>
      <c r="H166" s="4">
        <v>0.8</v>
      </c>
      <c r="I166" s="5">
        <v>400</v>
      </c>
      <c r="J166" s="30">
        <v>1.25</v>
      </c>
      <c r="K166" s="100">
        <v>26685</v>
      </c>
      <c r="L166" s="100">
        <v>0</v>
      </c>
      <c r="M166" s="100">
        <v>101331</v>
      </c>
      <c r="N166" s="100">
        <v>11039</v>
      </c>
      <c r="O166" s="100">
        <v>0</v>
      </c>
      <c r="P166" s="100">
        <v>359885</v>
      </c>
      <c r="Q166" s="100">
        <v>0</v>
      </c>
      <c r="R166" s="100">
        <v>45230</v>
      </c>
      <c r="S166" s="100">
        <v>0</v>
      </c>
      <c r="T166" s="100">
        <v>254242</v>
      </c>
      <c r="U166" s="100">
        <v>143047</v>
      </c>
      <c r="V166" s="100">
        <v>53735</v>
      </c>
      <c r="W166" s="100">
        <v>171680</v>
      </c>
      <c r="X166" s="100">
        <v>4799</v>
      </c>
      <c r="Y166" s="100">
        <v>277561</v>
      </c>
      <c r="Z166" s="100">
        <v>171766</v>
      </c>
      <c r="AA166" s="100">
        <v>22506</v>
      </c>
      <c r="AB166" s="100">
        <v>390585</v>
      </c>
      <c r="AC166" s="100">
        <v>94748</v>
      </c>
      <c r="AD166" s="100">
        <v>7925</v>
      </c>
      <c r="AE166" s="100">
        <v>723361</v>
      </c>
      <c r="AF166" s="100">
        <v>67600</v>
      </c>
      <c r="AG166" s="100">
        <v>0</v>
      </c>
      <c r="AH166" s="100">
        <v>21305</v>
      </c>
      <c r="AI166" s="100">
        <v>49823</v>
      </c>
      <c r="AJ166" s="100">
        <v>9451</v>
      </c>
    </row>
    <row r="167" spans="1:36" x14ac:dyDescent="0.25">
      <c r="A167" s="2">
        <v>157</v>
      </c>
      <c r="B167" s="32">
        <v>45884</v>
      </c>
      <c r="C167" s="2" t="s">
        <v>208</v>
      </c>
      <c r="F167" s="102">
        <v>0.1</v>
      </c>
      <c r="G167" s="5">
        <v>250</v>
      </c>
      <c r="H167" s="4">
        <v>0.8</v>
      </c>
      <c r="I167" s="5">
        <v>400</v>
      </c>
      <c r="J167" s="30">
        <v>1.25</v>
      </c>
      <c r="K167" s="100">
        <v>9304</v>
      </c>
      <c r="L167" s="100">
        <v>0</v>
      </c>
      <c r="M167" s="100">
        <v>49510</v>
      </c>
      <c r="N167" s="100">
        <v>8397</v>
      </c>
      <c r="O167" s="100">
        <v>0</v>
      </c>
      <c r="P167" s="100">
        <v>169402</v>
      </c>
      <c r="Q167" s="100">
        <v>0</v>
      </c>
      <c r="R167" s="100">
        <v>30303</v>
      </c>
      <c r="S167" s="100">
        <v>0</v>
      </c>
      <c r="T167" s="100">
        <v>170975</v>
      </c>
      <c r="U167" s="100">
        <v>85967</v>
      </c>
      <c r="V167" s="100">
        <v>41447</v>
      </c>
      <c r="W167" s="100">
        <v>83882</v>
      </c>
      <c r="X167" s="100">
        <v>5499</v>
      </c>
      <c r="Y167" s="100">
        <v>103026</v>
      </c>
      <c r="Z167" s="100">
        <v>132361</v>
      </c>
      <c r="AA167" s="100">
        <v>9995</v>
      </c>
      <c r="AB167" s="100">
        <v>387089</v>
      </c>
      <c r="AC167" s="100">
        <v>33087</v>
      </c>
      <c r="AD167" s="100">
        <v>5366</v>
      </c>
      <c r="AE167" s="100">
        <v>353037</v>
      </c>
      <c r="AF167" s="100">
        <v>35658</v>
      </c>
      <c r="AG167" s="100">
        <v>0</v>
      </c>
      <c r="AH167" s="100">
        <v>20434</v>
      </c>
      <c r="AI167" s="100">
        <v>48232</v>
      </c>
      <c r="AJ167" s="100">
        <v>4236</v>
      </c>
    </row>
    <row r="168" spans="1:36" x14ac:dyDescent="0.25">
      <c r="A168" s="2">
        <v>158</v>
      </c>
      <c r="B168" s="32">
        <v>45884</v>
      </c>
      <c r="C168" s="2" t="s">
        <v>208</v>
      </c>
      <c r="F168" s="102">
        <v>0.1</v>
      </c>
      <c r="G168" s="5">
        <v>250</v>
      </c>
      <c r="H168" s="4">
        <v>0.8</v>
      </c>
      <c r="I168" s="5">
        <v>400</v>
      </c>
      <c r="J168" s="30">
        <v>1.25</v>
      </c>
      <c r="K168" s="100">
        <v>7426</v>
      </c>
      <c r="L168" s="100">
        <v>0</v>
      </c>
      <c r="M168" s="100">
        <v>35216</v>
      </c>
      <c r="N168" s="100">
        <v>9448</v>
      </c>
      <c r="O168" s="100">
        <v>0</v>
      </c>
      <c r="P168" s="100">
        <v>144199</v>
      </c>
      <c r="Q168" s="100">
        <v>0</v>
      </c>
      <c r="R168" s="100">
        <v>25463</v>
      </c>
      <c r="S168" s="100">
        <v>0</v>
      </c>
      <c r="T168" s="100">
        <v>168999</v>
      </c>
      <c r="U168" s="100">
        <v>73929</v>
      </c>
      <c r="V168" s="100">
        <v>43507</v>
      </c>
      <c r="W168" s="100">
        <v>72151</v>
      </c>
      <c r="X168" s="100">
        <v>5526</v>
      </c>
      <c r="Y168" s="100">
        <v>81979</v>
      </c>
      <c r="Z168" s="100">
        <v>125179</v>
      </c>
      <c r="AA168" s="100">
        <v>9286</v>
      </c>
      <c r="AB168" s="100">
        <v>383031</v>
      </c>
      <c r="AC168" s="100">
        <v>25186</v>
      </c>
      <c r="AD168" s="100">
        <v>5593</v>
      </c>
      <c r="AE168" s="100">
        <v>261903</v>
      </c>
      <c r="AF168" s="100">
        <v>27877</v>
      </c>
      <c r="AG168" s="100">
        <v>0</v>
      </c>
      <c r="AH168" s="100">
        <v>6429</v>
      </c>
      <c r="AI168" s="100">
        <v>52565</v>
      </c>
      <c r="AJ168" s="100">
        <v>3942</v>
      </c>
    </row>
    <row r="169" spans="1:36" x14ac:dyDescent="0.25">
      <c r="A169" s="2">
        <v>159</v>
      </c>
      <c r="B169" s="32">
        <v>45884</v>
      </c>
      <c r="C169" s="2" t="s">
        <v>209</v>
      </c>
      <c r="F169" s="102">
        <v>0.1</v>
      </c>
      <c r="G169" s="5">
        <v>250</v>
      </c>
      <c r="H169" s="4">
        <v>0.8</v>
      </c>
      <c r="I169" s="5">
        <v>400</v>
      </c>
      <c r="J169" s="30">
        <v>1.25</v>
      </c>
      <c r="K169" s="100">
        <v>6284</v>
      </c>
      <c r="L169" s="100">
        <v>0</v>
      </c>
      <c r="M169" s="100">
        <v>36706</v>
      </c>
      <c r="N169" s="100">
        <v>7641</v>
      </c>
      <c r="O169" s="100">
        <v>0</v>
      </c>
      <c r="P169" s="100">
        <v>142286</v>
      </c>
      <c r="Q169" s="100">
        <v>0</v>
      </c>
      <c r="R169" s="100">
        <v>23521</v>
      </c>
      <c r="S169" s="100">
        <v>0</v>
      </c>
      <c r="T169" s="100">
        <v>162497</v>
      </c>
      <c r="U169" s="100">
        <v>69848</v>
      </c>
      <c r="V169" s="100">
        <v>42002</v>
      </c>
      <c r="W169" s="100">
        <v>82834</v>
      </c>
      <c r="X169" s="100">
        <v>6236</v>
      </c>
      <c r="Y169" s="100">
        <v>77080</v>
      </c>
      <c r="Z169" s="100">
        <v>134868</v>
      </c>
      <c r="AA169" s="100">
        <v>6029</v>
      </c>
      <c r="AB169" s="100">
        <v>382459</v>
      </c>
      <c r="AC169" s="100">
        <v>23701</v>
      </c>
      <c r="AD169" s="100">
        <v>7778</v>
      </c>
      <c r="AE169" s="100">
        <v>276402</v>
      </c>
      <c r="AF169" s="100">
        <v>28400</v>
      </c>
      <c r="AG169" s="100">
        <v>0</v>
      </c>
      <c r="AH169" s="100">
        <v>7094</v>
      </c>
      <c r="AI169" s="100">
        <v>51226</v>
      </c>
      <c r="AJ169" s="100">
        <v>5493</v>
      </c>
    </row>
    <row r="170" spans="1:36" x14ac:dyDescent="0.25">
      <c r="A170" s="2">
        <v>160</v>
      </c>
      <c r="B170" s="32">
        <v>45884</v>
      </c>
      <c r="C170" s="2" t="s">
        <v>209</v>
      </c>
      <c r="F170" s="102">
        <v>0.1</v>
      </c>
      <c r="G170" s="5">
        <v>250</v>
      </c>
      <c r="H170" s="4">
        <v>0.8</v>
      </c>
      <c r="I170" s="5">
        <v>400</v>
      </c>
      <c r="J170" s="30">
        <v>1.25</v>
      </c>
      <c r="K170" s="100">
        <v>5656</v>
      </c>
      <c r="L170" s="100">
        <v>0</v>
      </c>
      <c r="M170" s="100">
        <v>35236</v>
      </c>
      <c r="N170" s="100">
        <v>9116</v>
      </c>
      <c r="O170" s="100">
        <v>0</v>
      </c>
      <c r="P170" s="100">
        <v>147271</v>
      </c>
      <c r="Q170" s="100">
        <v>0</v>
      </c>
      <c r="R170" s="100">
        <v>25185</v>
      </c>
      <c r="S170" s="100">
        <v>0</v>
      </c>
      <c r="T170" s="100">
        <v>170262</v>
      </c>
      <c r="U170" s="100">
        <v>72924</v>
      </c>
      <c r="V170" s="100">
        <v>45660</v>
      </c>
      <c r="W170" s="100">
        <v>86999</v>
      </c>
      <c r="X170" s="100">
        <v>6063</v>
      </c>
      <c r="Y170" s="100">
        <v>85646</v>
      </c>
      <c r="Z170" s="100">
        <v>139090</v>
      </c>
      <c r="AA170" s="100">
        <v>6572</v>
      </c>
      <c r="AB170" s="100">
        <v>389175</v>
      </c>
      <c r="AC170" s="100">
        <v>25408</v>
      </c>
      <c r="AD170" s="100">
        <v>8268</v>
      </c>
      <c r="AE170" s="100">
        <v>283814</v>
      </c>
      <c r="AF170" s="100">
        <v>29186</v>
      </c>
      <c r="AG170" s="100">
        <v>0</v>
      </c>
      <c r="AH170" s="100">
        <v>6498</v>
      </c>
      <c r="AI170" s="100">
        <v>52824</v>
      </c>
      <c r="AJ170" s="100">
        <v>5721</v>
      </c>
    </row>
    <row r="171" spans="1:36" x14ac:dyDescent="0.25">
      <c r="A171" s="2">
        <v>161</v>
      </c>
      <c r="B171" s="32">
        <v>45884</v>
      </c>
      <c r="C171" s="2" t="s">
        <v>210</v>
      </c>
      <c r="F171" s="102">
        <v>0.1</v>
      </c>
      <c r="G171" s="5">
        <v>250</v>
      </c>
      <c r="H171" s="4">
        <v>0.8</v>
      </c>
      <c r="I171" s="5">
        <v>400</v>
      </c>
      <c r="J171" s="30">
        <v>1.25</v>
      </c>
      <c r="K171" s="100">
        <v>21449</v>
      </c>
      <c r="L171" s="100">
        <v>0</v>
      </c>
      <c r="M171" s="100">
        <v>105468</v>
      </c>
      <c r="N171" s="100">
        <v>11404</v>
      </c>
      <c r="O171" s="100">
        <v>0</v>
      </c>
      <c r="P171" s="100">
        <v>269003</v>
      </c>
      <c r="Q171" s="100">
        <v>0</v>
      </c>
      <c r="R171" s="100">
        <v>72217</v>
      </c>
      <c r="S171" s="100">
        <v>0</v>
      </c>
      <c r="T171" s="100">
        <v>212836</v>
      </c>
      <c r="U171" s="100">
        <v>102371</v>
      </c>
      <c r="V171" s="100">
        <v>41246</v>
      </c>
      <c r="W171" s="100">
        <v>178354</v>
      </c>
      <c r="X171" s="100">
        <v>4654</v>
      </c>
      <c r="Y171" s="100">
        <v>214145</v>
      </c>
      <c r="Z171" s="100">
        <v>179150</v>
      </c>
      <c r="AA171" s="100">
        <v>21866</v>
      </c>
      <c r="AB171" s="100">
        <v>412632</v>
      </c>
      <c r="AC171" s="100">
        <v>78824</v>
      </c>
      <c r="AD171" s="100">
        <v>12508</v>
      </c>
      <c r="AE171" s="100">
        <v>641687</v>
      </c>
      <c r="AF171" s="100">
        <v>60517</v>
      </c>
      <c r="AG171" s="100">
        <v>0</v>
      </c>
      <c r="AH171" s="100">
        <v>31939</v>
      </c>
      <c r="AI171" s="100">
        <v>47656</v>
      </c>
      <c r="AJ171" s="100">
        <v>11607</v>
      </c>
    </row>
    <row r="172" spans="1:36" x14ac:dyDescent="0.25">
      <c r="A172" s="2">
        <v>162</v>
      </c>
      <c r="B172" s="32">
        <v>45884</v>
      </c>
      <c r="C172" s="2" t="s">
        <v>210</v>
      </c>
      <c r="F172" s="102">
        <v>0.1</v>
      </c>
      <c r="G172" s="5">
        <v>250</v>
      </c>
      <c r="H172" s="4">
        <v>0.8</v>
      </c>
      <c r="I172" s="5">
        <v>400</v>
      </c>
      <c r="J172" s="30">
        <v>1.25</v>
      </c>
      <c r="K172" s="100">
        <v>20115</v>
      </c>
      <c r="L172" s="100">
        <v>0</v>
      </c>
      <c r="M172" s="100">
        <v>102179</v>
      </c>
      <c r="N172" s="100">
        <v>15845</v>
      </c>
      <c r="O172" s="100">
        <v>0</v>
      </c>
      <c r="P172" s="100">
        <v>292036</v>
      </c>
      <c r="Q172" s="100">
        <v>0</v>
      </c>
      <c r="R172" s="100">
        <v>39158</v>
      </c>
      <c r="S172" s="100">
        <v>0</v>
      </c>
      <c r="T172" s="100">
        <v>222253</v>
      </c>
      <c r="U172" s="100">
        <v>102318</v>
      </c>
      <c r="V172" s="100">
        <v>53458</v>
      </c>
      <c r="W172" s="100">
        <v>203926</v>
      </c>
      <c r="X172" s="100">
        <v>8172</v>
      </c>
      <c r="Y172" s="100">
        <v>223666</v>
      </c>
      <c r="Z172" s="100">
        <v>176336</v>
      </c>
      <c r="AA172" s="100">
        <v>21975</v>
      </c>
      <c r="AB172" s="100">
        <v>411223</v>
      </c>
      <c r="AC172" s="100">
        <v>79253</v>
      </c>
      <c r="AD172" s="100">
        <v>13533</v>
      </c>
      <c r="AE172" s="100">
        <v>663272</v>
      </c>
      <c r="AF172" s="100">
        <v>65732</v>
      </c>
      <c r="AG172" s="100">
        <v>0</v>
      </c>
      <c r="AH172" s="100">
        <v>36265</v>
      </c>
      <c r="AI172" s="100">
        <v>50511</v>
      </c>
      <c r="AJ172" s="100">
        <v>13720</v>
      </c>
    </row>
    <row r="173" spans="1:36" x14ac:dyDescent="0.25">
      <c r="A173" s="2">
        <v>163</v>
      </c>
      <c r="B173" s="32">
        <v>45884</v>
      </c>
      <c r="C173" s="2" t="s">
        <v>211</v>
      </c>
      <c r="F173" s="102">
        <v>0.1</v>
      </c>
      <c r="G173" s="5">
        <v>250</v>
      </c>
      <c r="H173" s="4">
        <v>0.8</v>
      </c>
      <c r="I173" s="5">
        <v>400</v>
      </c>
      <c r="J173" s="30">
        <v>1.25</v>
      </c>
      <c r="K173" s="100">
        <v>8273</v>
      </c>
      <c r="L173" s="100">
        <v>0</v>
      </c>
      <c r="M173" s="100">
        <v>123661</v>
      </c>
      <c r="N173" s="100">
        <v>11115</v>
      </c>
      <c r="O173" s="100">
        <v>0</v>
      </c>
      <c r="P173" s="100">
        <v>303963</v>
      </c>
      <c r="Q173" s="100">
        <v>0</v>
      </c>
      <c r="R173" s="100">
        <v>79746</v>
      </c>
      <c r="S173" s="100">
        <v>0</v>
      </c>
      <c r="T173" s="100">
        <v>219285</v>
      </c>
      <c r="U173" s="100">
        <v>118490</v>
      </c>
      <c r="V173" s="100">
        <v>44410</v>
      </c>
      <c r="W173" s="100">
        <v>219550</v>
      </c>
      <c r="X173" s="100">
        <v>5206</v>
      </c>
      <c r="Y173" s="100">
        <v>252991</v>
      </c>
      <c r="Z173" s="100">
        <v>186370</v>
      </c>
      <c r="AA173" s="100">
        <v>22210</v>
      </c>
      <c r="AB173" s="100">
        <v>401515</v>
      </c>
      <c r="AC173" s="100">
        <v>87624</v>
      </c>
      <c r="AD173" s="100">
        <v>11234</v>
      </c>
      <c r="AE173" s="100">
        <v>728931</v>
      </c>
      <c r="AF173" s="100">
        <v>69043</v>
      </c>
      <c r="AG173" s="100">
        <v>0</v>
      </c>
      <c r="AH173" s="100">
        <v>32682</v>
      </c>
      <c r="AI173" s="100">
        <v>46401</v>
      </c>
      <c r="AJ173" s="100">
        <v>14871</v>
      </c>
    </row>
    <row r="174" spans="1:36" x14ac:dyDescent="0.25">
      <c r="A174" s="2">
        <v>164</v>
      </c>
      <c r="B174" s="32">
        <v>45884</v>
      </c>
      <c r="C174" s="2" t="s">
        <v>211</v>
      </c>
      <c r="F174" s="102">
        <v>0.1</v>
      </c>
      <c r="G174" s="5">
        <v>250</v>
      </c>
      <c r="H174" s="4">
        <v>0.8</v>
      </c>
      <c r="I174" s="5">
        <v>400</v>
      </c>
      <c r="J174" s="30">
        <v>1.25</v>
      </c>
      <c r="K174" s="100">
        <v>30090</v>
      </c>
      <c r="L174" s="100">
        <v>0</v>
      </c>
      <c r="M174" s="100">
        <v>141300</v>
      </c>
      <c r="N174" s="100">
        <v>15578</v>
      </c>
      <c r="O174" s="100">
        <v>0</v>
      </c>
      <c r="P174" s="100">
        <v>305574</v>
      </c>
      <c r="Q174" s="100">
        <v>0</v>
      </c>
      <c r="R174" s="100">
        <v>78201</v>
      </c>
      <c r="S174" s="100">
        <v>0</v>
      </c>
      <c r="T174" s="100">
        <v>219440</v>
      </c>
      <c r="U174" s="100">
        <v>121352</v>
      </c>
      <c r="V174" s="100">
        <v>45275</v>
      </c>
      <c r="W174" s="100">
        <v>220442</v>
      </c>
      <c r="X174" s="100">
        <v>5646</v>
      </c>
      <c r="Y174" s="100">
        <v>0</v>
      </c>
      <c r="Z174" s="100">
        <v>180839</v>
      </c>
      <c r="AA174" s="100">
        <v>20761</v>
      </c>
      <c r="AB174" s="100">
        <v>404929</v>
      </c>
      <c r="AC174" s="100">
        <v>85229</v>
      </c>
      <c r="AD174" s="100">
        <v>12198</v>
      </c>
      <c r="AE174" s="100">
        <v>747471</v>
      </c>
      <c r="AF174" s="100">
        <v>71364</v>
      </c>
      <c r="AG174" s="100">
        <v>0</v>
      </c>
      <c r="AH174" s="100">
        <v>72035</v>
      </c>
      <c r="AI174" s="100">
        <v>46042</v>
      </c>
      <c r="AJ174" s="100">
        <v>15349</v>
      </c>
    </row>
    <row r="175" spans="1:36" x14ac:dyDescent="0.25">
      <c r="A175" s="2">
        <v>165</v>
      </c>
      <c r="B175" s="32">
        <v>45884</v>
      </c>
      <c r="C175" s="2" t="s">
        <v>212</v>
      </c>
      <c r="F175" s="102">
        <v>0.1</v>
      </c>
      <c r="G175" s="5">
        <v>250</v>
      </c>
      <c r="H175" s="4">
        <v>0.8</v>
      </c>
      <c r="I175" s="5">
        <v>400</v>
      </c>
      <c r="J175" s="30">
        <v>1.25</v>
      </c>
      <c r="K175" s="100">
        <v>8409</v>
      </c>
      <c r="L175" s="100">
        <v>0</v>
      </c>
      <c r="M175" s="100">
        <v>55054</v>
      </c>
      <c r="N175" s="100">
        <v>9871</v>
      </c>
      <c r="O175" s="100">
        <v>0</v>
      </c>
      <c r="P175" s="100">
        <v>179572</v>
      </c>
      <c r="Q175" s="100">
        <v>0</v>
      </c>
      <c r="R175" s="100">
        <v>32438</v>
      </c>
      <c r="S175" s="100">
        <v>0</v>
      </c>
      <c r="T175" s="100">
        <v>191322</v>
      </c>
      <c r="U175" s="100">
        <v>80331</v>
      </c>
      <c r="V175" s="100">
        <v>39463</v>
      </c>
      <c r="W175" s="100">
        <v>96396</v>
      </c>
      <c r="X175" s="100">
        <v>0</v>
      </c>
      <c r="Y175" s="100">
        <v>6542</v>
      </c>
      <c r="Z175" s="100">
        <v>135023</v>
      </c>
      <c r="AA175" s="100">
        <v>6560</v>
      </c>
      <c r="AB175" s="100">
        <v>380607</v>
      </c>
      <c r="AC175" s="100">
        <v>32474</v>
      </c>
      <c r="AD175" s="100">
        <v>5221</v>
      </c>
      <c r="AE175" s="100">
        <v>332621</v>
      </c>
      <c r="AF175" s="100">
        <v>35310</v>
      </c>
      <c r="AG175" s="100">
        <v>0</v>
      </c>
      <c r="AH175" s="100">
        <v>6019</v>
      </c>
      <c r="AI175" s="100">
        <v>50611</v>
      </c>
      <c r="AJ175" s="100">
        <v>5990</v>
      </c>
    </row>
    <row r="176" spans="1:36" x14ac:dyDescent="0.25">
      <c r="A176" s="2">
        <v>166</v>
      </c>
      <c r="B176" s="32">
        <v>45884</v>
      </c>
      <c r="C176" s="2" t="s">
        <v>212</v>
      </c>
      <c r="F176" s="102">
        <v>0.1</v>
      </c>
      <c r="G176" s="5">
        <v>250</v>
      </c>
      <c r="H176" s="4">
        <v>0.8</v>
      </c>
      <c r="I176" s="5">
        <v>400</v>
      </c>
      <c r="J176" s="30">
        <v>1.25</v>
      </c>
      <c r="K176" s="100">
        <v>6554</v>
      </c>
      <c r="L176" s="100">
        <v>0</v>
      </c>
      <c r="M176" s="100">
        <v>44784</v>
      </c>
      <c r="N176" s="100">
        <v>8920</v>
      </c>
      <c r="O176" s="100">
        <v>0</v>
      </c>
      <c r="P176" s="100">
        <v>156132</v>
      </c>
      <c r="Q176" s="100">
        <v>0</v>
      </c>
      <c r="R176" s="100">
        <v>25244</v>
      </c>
      <c r="S176" s="100">
        <v>0</v>
      </c>
      <c r="T176" s="100">
        <v>188387</v>
      </c>
      <c r="U176" s="100">
        <v>77400</v>
      </c>
      <c r="V176" s="100">
        <v>41040</v>
      </c>
      <c r="W176" s="100">
        <v>78653</v>
      </c>
      <c r="X176" s="100">
        <v>0</v>
      </c>
      <c r="Y176" s="100">
        <v>6439</v>
      </c>
      <c r="Z176" s="100">
        <v>130893</v>
      </c>
      <c r="AA176" s="100">
        <v>8266</v>
      </c>
      <c r="AB176" s="100">
        <v>372066</v>
      </c>
      <c r="AC176" s="100">
        <v>27296</v>
      </c>
      <c r="AD176" s="100">
        <v>5128</v>
      </c>
      <c r="AE176" s="100">
        <v>304291</v>
      </c>
      <c r="AF176" s="100">
        <v>32740</v>
      </c>
      <c r="AG176" s="100">
        <v>0</v>
      </c>
      <c r="AH176" s="100">
        <v>10564</v>
      </c>
      <c r="AI176" s="100">
        <v>52478</v>
      </c>
      <c r="AJ176" s="100">
        <v>3266</v>
      </c>
    </row>
    <row r="177" spans="1:36" x14ac:dyDescent="0.25">
      <c r="A177" s="2">
        <v>167</v>
      </c>
      <c r="B177" s="32">
        <v>45884</v>
      </c>
      <c r="C177" s="2" t="s">
        <v>213</v>
      </c>
      <c r="F177" s="102">
        <v>0.1</v>
      </c>
      <c r="G177" s="5">
        <v>250</v>
      </c>
      <c r="H177" s="4">
        <v>0.8</v>
      </c>
      <c r="I177" s="5">
        <v>400</v>
      </c>
      <c r="J177" s="30">
        <v>1.25</v>
      </c>
      <c r="K177" s="100">
        <v>3817</v>
      </c>
      <c r="L177" s="100">
        <v>0</v>
      </c>
      <c r="M177" s="100">
        <v>29958</v>
      </c>
      <c r="N177" s="100">
        <v>6739</v>
      </c>
      <c r="O177" s="100">
        <v>0</v>
      </c>
      <c r="P177" s="100">
        <v>149776</v>
      </c>
      <c r="Q177" s="100">
        <v>0</v>
      </c>
      <c r="R177" s="100">
        <v>26972</v>
      </c>
      <c r="S177" s="100">
        <v>0</v>
      </c>
      <c r="T177" s="100">
        <v>170518</v>
      </c>
      <c r="U177" s="100">
        <v>67700</v>
      </c>
      <c r="V177" s="100">
        <v>43579</v>
      </c>
      <c r="W177" s="100">
        <v>85326</v>
      </c>
      <c r="X177" s="100">
        <v>5057</v>
      </c>
      <c r="Y177" s="100">
        <v>80372</v>
      </c>
      <c r="Z177" s="100">
        <v>119991</v>
      </c>
      <c r="AA177" s="100">
        <v>5447</v>
      </c>
      <c r="AB177" s="100">
        <v>374840</v>
      </c>
      <c r="AC177" s="100">
        <v>24647</v>
      </c>
      <c r="AD177" s="100">
        <v>6712</v>
      </c>
      <c r="AE177" s="100">
        <v>274563</v>
      </c>
      <c r="AF177" s="100">
        <v>31419</v>
      </c>
      <c r="AG177" s="100">
        <v>0</v>
      </c>
      <c r="AH177" s="100">
        <v>12830</v>
      </c>
      <c r="AI177" s="100">
        <v>47674</v>
      </c>
      <c r="AJ177" s="100">
        <v>5465</v>
      </c>
    </row>
    <row r="178" spans="1:36" x14ac:dyDescent="0.25">
      <c r="A178" s="2">
        <v>168</v>
      </c>
      <c r="B178" s="32">
        <v>45884</v>
      </c>
      <c r="C178" s="2" t="s">
        <v>213</v>
      </c>
      <c r="F178" s="102">
        <v>0.1</v>
      </c>
      <c r="G178" s="5">
        <v>250</v>
      </c>
      <c r="H178" s="4">
        <v>0.8</v>
      </c>
      <c r="I178" s="5">
        <v>400</v>
      </c>
      <c r="J178" s="30">
        <v>1.25</v>
      </c>
      <c r="K178" s="100">
        <v>5568</v>
      </c>
      <c r="L178" s="100">
        <v>0</v>
      </c>
      <c r="M178" s="100">
        <v>39145</v>
      </c>
      <c r="N178" s="100">
        <v>7289</v>
      </c>
      <c r="O178" s="100">
        <v>0</v>
      </c>
      <c r="P178" s="100">
        <v>150007</v>
      </c>
      <c r="Q178" s="100">
        <v>0</v>
      </c>
      <c r="R178" s="100">
        <v>24307</v>
      </c>
      <c r="S178" s="100">
        <v>0</v>
      </c>
      <c r="T178" s="100">
        <v>152883</v>
      </c>
      <c r="U178" s="100">
        <v>68619</v>
      </c>
      <c r="V178" s="100">
        <v>40932</v>
      </c>
      <c r="W178" s="100">
        <v>87750</v>
      </c>
      <c r="X178" s="100">
        <v>0</v>
      </c>
      <c r="Y178" s="100">
        <v>5635</v>
      </c>
      <c r="Z178" s="100">
        <v>118297</v>
      </c>
      <c r="AA178" s="100">
        <v>7159</v>
      </c>
      <c r="AB178" s="100">
        <v>387376</v>
      </c>
      <c r="AC178" s="100">
        <v>25619</v>
      </c>
      <c r="AD178" s="100">
        <v>6820</v>
      </c>
      <c r="AE178" s="100">
        <v>276466</v>
      </c>
      <c r="AF178" s="100">
        <v>31891</v>
      </c>
      <c r="AG178" s="100">
        <v>0</v>
      </c>
      <c r="AH178" s="100">
        <v>9335</v>
      </c>
      <c r="AI178" s="100">
        <v>45943</v>
      </c>
      <c r="AJ178" s="100">
        <v>4706</v>
      </c>
    </row>
    <row r="179" spans="1:36" x14ac:dyDescent="0.25">
      <c r="A179" s="2">
        <v>169</v>
      </c>
      <c r="B179" s="32">
        <v>45884</v>
      </c>
      <c r="C179" s="2" t="s">
        <v>214</v>
      </c>
      <c r="F179" s="102">
        <v>0.1</v>
      </c>
      <c r="G179" s="5">
        <v>250</v>
      </c>
      <c r="H179" s="4">
        <v>0.8</v>
      </c>
      <c r="I179" s="5">
        <v>400</v>
      </c>
      <c r="J179" s="30">
        <v>1.25</v>
      </c>
      <c r="K179" s="100">
        <v>24071</v>
      </c>
      <c r="L179" s="100">
        <v>0</v>
      </c>
      <c r="M179" s="100">
        <v>107813</v>
      </c>
      <c r="N179" s="100">
        <v>11490</v>
      </c>
      <c r="O179" s="100">
        <v>0</v>
      </c>
      <c r="P179" s="100">
        <v>270655</v>
      </c>
      <c r="Q179" s="100">
        <v>0</v>
      </c>
      <c r="R179" s="100">
        <v>71412</v>
      </c>
      <c r="S179" s="100">
        <v>0</v>
      </c>
      <c r="T179" s="100">
        <v>208177</v>
      </c>
      <c r="U179" s="100">
        <v>105416</v>
      </c>
      <c r="V179" s="100">
        <v>43211</v>
      </c>
      <c r="W179" s="100">
        <v>176697</v>
      </c>
      <c r="X179" s="100">
        <v>0</v>
      </c>
      <c r="Y179" s="100">
        <v>5856</v>
      </c>
      <c r="Z179" s="100">
        <v>171064</v>
      </c>
      <c r="AA179" s="100">
        <v>16985</v>
      </c>
      <c r="AB179" s="100">
        <v>401648</v>
      </c>
      <c r="AC179" s="100">
        <v>77489</v>
      </c>
      <c r="AD179" s="100">
        <v>10870</v>
      </c>
      <c r="AE179" s="100">
        <v>634709</v>
      </c>
      <c r="AF179" s="100">
        <v>66527</v>
      </c>
      <c r="AG179" s="100">
        <v>0</v>
      </c>
      <c r="AH179" s="100">
        <v>30539</v>
      </c>
      <c r="AI179" s="100">
        <v>42099</v>
      </c>
      <c r="AJ179" s="100">
        <v>11895</v>
      </c>
    </row>
    <row r="180" spans="1:36" x14ac:dyDescent="0.25">
      <c r="A180" s="2">
        <v>170</v>
      </c>
      <c r="B180" s="32">
        <v>45884</v>
      </c>
      <c r="C180" s="2" t="s">
        <v>214</v>
      </c>
      <c r="F180" s="102">
        <v>0.1</v>
      </c>
      <c r="G180" s="5">
        <v>250</v>
      </c>
      <c r="H180" s="4">
        <v>0.8</v>
      </c>
      <c r="I180" s="5">
        <v>400</v>
      </c>
      <c r="J180" s="30">
        <v>1.25</v>
      </c>
      <c r="K180" s="100">
        <v>17706</v>
      </c>
      <c r="L180" s="100">
        <v>0</v>
      </c>
      <c r="M180" s="100">
        <v>102854</v>
      </c>
      <c r="N180" s="100">
        <v>13272</v>
      </c>
      <c r="O180" s="100">
        <v>0</v>
      </c>
      <c r="P180" s="100">
        <v>283268</v>
      </c>
      <c r="Q180" s="100">
        <v>0</v>
      </c>
      <c r="R180" s="100">
        <v>48536</v>
      </c>
      <c r="S180" s="100">
        <v>0</v>
      </c>
      <c r="T180" s="100">
        <v>238909</v>
      </c>
      <c r="U180" s="100">
        <v>111186</v>
      </c>
      <c r="V180" s="100">
        <v>46317</v>
      </c>
      <c r="W180" s="100">
        <v>188004</v>
      </c>
      <c r="X180" s="100">
        <v>5543</v>
      </c>
      <c r="Y180" s="100">
        <v>0</v>
      </c>
      <c r="Z180" s="100">
        <v>176340</v>
      </c>
      <c r="AA180" s="100">
        <v>17704</v>
      </c>
      <c r="AB180" s="100">
        <v>386558</v>
      </c>
      <c r="AC180" s="100">
        <v>83103</v>
      </c>
      <c r="AD180" s="100">
        <v>11713</v>
      </c>
      <c r="AE180" s="100">
        <v>624917</v>
      </c>
      <c r="AF180" s="100">
        <v>65836</v>
      </c>
      <c r="AG180" s="100">
        <v>0</v>
      </c>
      <c r="AH180" s="100">
        <v>32049</v>
      </c>
      <c r="AI180" s="100">
        <v>45236</v>
      </c>
      <c r="AJ180" s="100">
        <v>12189</v>
      </c>
    </row>
    <row r="181" spans="1:36" x14ac:dyDescent="0.25">
      <c r="A181" s="2">
        <v>171</v>
      </c>
      <c r="B181" s="32">
        <v>45884</v>
      </c>
      <c r="C181" s="2" t="s">
        <v>215</v>
      </c>
      <c r="F181" s="102">
        <v>0.1</v>
      </c>
      <c r="G181" s="5">
        <v>250</v>
      </c>
      <c r="H181" s="4">
        <v>0.8</v>
      </c>
      <c r="I181" s="5">
        <v>400</v>
      </c>
      <c r="J181" s="30">
        <v>1.25</v>
      </c>
      <c r="K181" s="100">
        <v>27788</v>
      </c>
      <c r="L181" s="100">
        <v>0</v>
      </c>
      <c r="M181" s="100">
        <v>131945</v>
      </c>
      <c r="N181" s="100">
        <v>13826</v>
      </c>
      <c r="O181" s="100">
        <v>0</v>
      </c>
      <c r="P181" s="100">
        <v>304740</v>
      </c>
      <c r="Q181" s="100">
        <v>0</v>
      </c>
      <c r="R181" s="100">
        <v>84249</v>
      </c>
      <c r="S181" s="100">
        <v>0</v>
      </c>
      <c r="T181" s="100">
        <v>229344</v>
      </c>
      <c r="U181" s="100">
        <v>111006</v>
      </c>
      <c r="V181" s="100">
        <v>41937</v>
      </c>
      <c r="W181" s="100">
        <v>205189</v>
      </c>
      <c r="X181" s="100">
        <v>0</v>
      </c>
      <c r="Y181" s="100">
        <v>5233</v>
      </c>
      <c r="Z181" s="100">
        <v>172859</v>
      </c>
      <c r="AA181" s="100">
        <v>20597</v>
      </c>
      <c r="AB181" s="100">
        <v>397424</v>
      </c>
      <c r="AC181" s="100">
        <v>89709</v>
      </c>
      <c r="AD181" s="100">
        <v>12871</v>
      </c>
      <c r="AE181" s="100">
        <v>695901</v>
      </c>
      <c r="AF181" s="100">
        <v>75086</v>
      </c>
      <c r="AG181" s="100">
        <v>0</v>
      </c>
      <c r="AH181" s="100">
        <v>27196</v>
      </c>
      <c r="AI181" s="100">
        <v>42006</v>
      </c>
      <c r="AJ181" s="100">
        <v>14287</v>
      </c>
    </row>
    <row r="182" spans="1:36" x14ac:dyDescent="0.25">
      <c r="A182" s="2">
        <v>172</v>
      </c>
      <c r="B182" s="32">
        <v>45884</v>
      </c>
      <c r="C182" s="2" t="s">
        <v>215</v>
      </c>
      <c r="F182" s="102">
        <v>0.1</v>
      </c>
      <c r="G182" s="5">
        <v>250</v>
      </c>
      <c r="H182" s="4">
        <v>0.8</v>
      </c>
      <c r="I182" s="5">
        <v>400</v>
      </c>
      <c r="J182" s="30">
        <v>1.25</v>
      </c>
      <c r="K182" s="100">
        <v>24909</v>
      </c>
      <c r="L182" s="100">
        <v>0</v>
      </c>
      <c r="M182" s="100">
        <v>129291</v>
      </c>
      <c r="N182" s="100">
        <v>11678</v>
      </c>
      <c r="O182" s="100">
        <v>0</v>
      </c>
      <c r="P182" s="100">
        <v>295421</v>
      </c>
      <c r="Q182" s="100">
        <v>0</v>
      </c>
      <c r="R182" s="100">
        <v>78564</v>
      </c>
      <c r="S182" s="100">
        <v>0</v>
      </c>
      <c r="T182" s="100">
        <v>207034</v>
      </c>
      <c r="U182" s="100">
        <v>107106</v>
      </c>
      <c r="V182" s="100">
        <v>43734</v>
      </c>
      <c r="W182" s="100">
        <v>204774</v>
      </c>
      <c r="X182" s="100">
        <v>0</v>
      </c>
      <c r="Y182" s="100">
        <v>4886</v>
      </c>
      <c r="Z182" s="100">
        <v>167262</v>
      </c>
      <c r="AA182" s="100">
        <v>21168</v>
      </c>
      <c r="AB182" s="100">
        <v>395351</v>
      </c>
      <c r="AC182" s="100">
        <v>86060</v>
      </c>
      <c r="AD182" s="100">
        <v>12208</v>
      </c>
      <c r="AE182" s="100">
        <v>684840</v>
      </c>
      <c r="AF182" s="100">
        <v>68932</v>
      </c>
      <c r="AG182" s="100">
        <v>0</v>
      </c>
      <c r="AH182" s="100">
        <v>32253</v>
      </c>
      <c r="AI182" s="100">
        <v>43017</v>
      </c>
      <c r="AJ182" s="100">
        <v>14161</v>
      </c>
    </row>
    <row r="183" spans="1:36" x14ac:dyDescent="0.25">
      <c r="A183" s="2">
        <v>173</v>
      </c>
      <c r="B183" s="32">
        <v>45884</v>
      </c>
      <c r="C183" s="2" t="s">
        <v>216</v>
      </c>
      <c r="F183" s="102">
        <v>0.1</v>
      </c>
      <c r="G183" s="5">
        <v>250</v>
      </c>
      <c r="H183" s="4">
        <v>0.8</v>
      </c>
      <c r="I183" s="5">
        <v>400</v>
      </c>
      <c r="J183" s="30">
        <v>1.25</v>
      </c>
      <c r="K183" s="100">
        <v>7201</v>
      </c>
      <c r="L183" s="100">
        <v>0</v>
      </c>
      <c r="M183" s="100">
        <v>48764</v>
      </c>
      <c r="N183" s="100">
        <v>7619</v>
      </c>
      <c r="O183" s="100">
        <v>0</v>
      </c>
      <c r="P183" s="100">
        <v>168200</v>
      </c>
      <c r="Q183" s="100">
        <v>0</v>
      </c>
      <c r="R183" s="100">
        <v>31991</v>
      </c>
      <c r="S183" s="100">
        <v>0</v>
      </c>
      <c r="T183" s="100">
        <v>174676</v>
      </c>
      <c r="U183" s="100">
        <v>70243</v>
      </c>
      <c r="V183" s="100">
        <v>38932</v>
      </c>
      <c r="W183" s="100">
        <v>84677</v>
      </c>
      <c r="X183" s="100">
        <v>5397</v>
      </c>
      <c r="Y183" s="100">
        <v>0</v>
      </c>
      <c r="Z183" s="100">
        <v>124042</v>
      </c>
      <c r="AA183" s="100">
        <v>14849</v>
      </c>
      <c r="AB183" s="100">
        <v>397897</v>
      </c>
      <c r="AC183" s="100">
        <v>33932</v>
      </c>
      <c r="AD183" s="100">
        <v>4018</v>
      </c>
      <c r="AE183" s="100">
        <v>360775</v>
      </c>
      <c r="AF183" s="100">
        <v>39347</v>
      </c>
      <c r="AG183" s="100">
        <v>0</v>
      </c>
      <c r="AH183" s="100">
        <v>28092</v>
      </c>
      <c r="AI183" s="100">
        <v>46582</v>
      </c>
      <c r="AJ183" s="100">
        <v>6147</v>
      </c>
    </row>
    <row r="184" spans="1:36" x14ac:dyDescent="0.25">
      <c r="A184" s="2">
        <v>174</v>
      </c>
      <c r="B184" s="32">
        <v>45884</v>
      </c>
      <c r="C184" s="2" t="s">
        <v>216</v>
      </c>
      <c r="F184" s="102">
        <v>0.1</v>
      </c>
      <c r="G184" s="5">
        <v>250</v>
      </c>
      <c r="H184" s="4">
        <v>0.8</v>
      </c>
      <c r="I184" s="5">
        <v>400</v>
      </c>
      <c r="J184" s="30">
        <v>1.25</v>
      </c>
      <c r="K184" s="100">
        <v>7217</v>
      </c>
      <c r="L184" s="100">
        <v>0</v>
      </c>
      <c r="M184" s="100">
        <v>38293</v>
      </c>
      <c r="N184" s="100">
        <v>11197</v>
      </c>
      <c r="O184" s="100">
        <v>0</v>
      </c>
      <c r="P184" s="100">
        <v>154403</v>
      </c>
      <c r="Q184" s="100">
        <v>0</v>
      </c>
      <c r="R184" s="100">
        <v>26201</v>
      </c>
      <c r="S184" s="100">
        <v>0</v>
      </c>
      <c r="T184" s="100">
        <v>176452</v>
      </c>
      <c r="U184" s="100">
        <v>71446</v>
      </c>
      <c r="V184" s="100">
        <v>39421</v>
      </c>
      <c r="W184" s="100">
        <v>71792</v>
      </c>
      <c r="X184" s="100">
        <v>0</v>
      </c>
      <c r="Y184" s="100">
        <v>5857</v>
      </c>
      <c r="Z184" s="100">
        <v>126393</v>
      </c>
      <c r="AA184" s="100">
        <v>7862</v>
      </c>
      <c r="AB184" s="100">
        <v>384676</v>
      </c>
      <c r="AC184" s="100">
        <v>28432</v>
      </c>
      <c r="AD184" s="100">
        <v>6834</v>
      </c>
      <c r="AE184" s="100">
        <v>309034</v>
      </c>
      <c r="AF184" s="100">
        <v>33728</v>
      </c>
      <c r="AG184" s="100">
        <v>0</v>
      </c>
      <c r="AH184" s="100">
        <v>11303</v>
      </c>
      <c r="AI184" s="100">
        <v>48088</v>
      </c>
      <c r="AJ184" s="100">
        <v>3272</v>
      </c>
    </row>
    <row r="185" spans="1:36" x14ac:dyDescent="0.25">
      <c r="A185" s="2">
        <v>175</v>
      </c>
      <c r="B185" s="32">
        <v>45884</v>
      </c>
      <c r="C185" s="2" t="s">
        <v>217</v>
      </c>
      <c r="F185" s="102">
        <v>0.1</v>
      </c>
      <c r="G185" s="5">
        <v>250</v>
      </c>
      <c r="H185" s="4">
        <v>0.8</v>
      </c>
      <c r="I185" s="5">
        <v>400</v>
      </c>
      <c r="J185" s="30">
        <v>1.25</v>
      </c>
      <c r="K185" s="100">
        <v>5630</v>
      </c>
      <c r="L185" s="100">
        <v>0</v>
      </c>
      <c r="M185" s="100">
        <v>38417</v>
      </c>
      <c r="N185" s="100">
        <v>6250</v>
      </c>
      <c r="O185" s="100">
        <v>0</v>
      </c>
      <c r="P185" s="100">
        <v>146131</v>
      </c>
      <c r="Q185" s="100">
        <v>0</v>
      </c>
      <c r="R185" s="100">
        <v>24121</v>
      </c>
      <c r="S185" s="100">
        <v>0</v>
      </c>
      <c r="T185" s="100">
        <v>162647</v>
      </c>
      <c r="U185" s="100">
        <v>65052</v>
      </c>
      <c r="V185" s="100">
        <v>38237</v>
      </c>
      <c r="W185" s="100">
        <v>78769</v>
      </c>
      <c r="X185" s="100">
        <v>6274</v>
      </c>
      <c r="Y185" s="100">
        <v>76147</v>
      </c>
      <c r="Z185" s="100">
        <v>127490</v>
      </c>
      <c r="AA185" s="100">
        <v>7329</v>
      </c>
      <c r="AB185" s="100">
        <v>391821</v>
      </c>
      <c r="AC185" s="100">
        <v>25807</v>
      </c>
      <c r="AD185" s="100">
        <v>7403</v>
      </c>
      <c r="AE185" s="100">
        <v>297396</v>
      </c>
      <c r="AF185" s="100">
        <v>37944</v>
      </c>
      <c r="AG185" s="100">
        <v>0</v>
      </c>
      <c r="AH185" s="100">
        <v>17593</v>
      </c>
      <c r="AI185" s="100">
        <v>46104</v>
      </c>
      <c r="AJ185" s="100">
        <v>4839</v>
      </c>
    </row>
    <row r="186" spans="1:36" x14ac:dyDescent="0.25">
      <c r="A186" s="2">
        <v>176</v>
      </c>
      <c r="B186" s="32">
        <v>45884</v>
      </c>
      <c r="C186" s="2" t="s">
        <v>217</v>
      </c>
      <c r="F186" s="102">
        <v>0.1</v>
      </c>
      <c r="G186" s="5">
        <v>250</v>
      </c>
      <c r="H186" s="4">
        <v>0.8</v>
      </c>
      <c r="I186" s="5">
        <v>400</v>
      </c>
      <c r="J186" s="30">
        <v>1.25</v>
      </c>
      <c r="K186" s="100">
        <v>6732</v>
      </c>
      <c r="L186" s="100">
        <v>0</v>
      </c>
      <c r="M186" s="100">
        <v>35381</v>
      </c>
      <c r="N186" s="100">
        <v>7292</v>
      </c>
      <c r="O186" s="100">
        <v>0</v>
      </c>
      <c r="P186" s="100">
        <v>144120</v>
      </c>
      <c r="Q186" s="100">
        <v>0</v>
      </c>
      <c r="R186" s="100">
        <v>23368</v>
      </c>
      <c r="S186" s="100">
        <v>0</v>
      </c>
      <c r="T186" s="100">
        <v>159511</v>
      </c>
      <c r="U186" s="100">
        <v>66713</v>
      </c>
      <c r="V186" s="100">
        <v>40357</v>
      </c>
      <c r="W186" s="100">
        <v>80228</v>
      </c>
      <c r="X186" s="100">
        <v>5739</v>
      </c>
      <c r="Y186" s="100">
        <v>75782</v>
      </c>
      <c r="Z186" s="100">
        <v>130385</v>
      </c>
      <c r="AA186" s="100">
        <v>6617</v>
      </c>
      <c r="AB186" s="100">
        <v>411378</v>
      </c>
      <c r="AC186" s="100">
        <v>26097</v>
      </c>
      <c r="AD186" s="100">
        <v>8015</v>
      </c>
      <c r="AE186" s="100">
        <v>305427</v>
      </c>
      <c r="AF186" s="100">
        <v>38702</v>
      </c>
      <c r="AG186" s="100">
        <v>0</v>
      </c>
      <c r="AH186" s="100">
        <v>32724</v>
      </c>
      <c r="AI186" s="100">
        <v>49364</v>
      </c>
      <c r="AJ186" s="100">
        <v>5814</v>
      </c>
    </row>
    <row r="187" spans="1:36" x14ac:dyDescent="0.25">
      <c r="A187" s="2">
        <v>177</v>
      </c>
      <c r="B187" s="32">
        <v>45884</v>
      </c>
      <c r="C187" s="2" t="s">
        <v>218</v>
      </c>
      <c r="F187" s="102">
        <v>0.1</v>
      </c>
      <c r="G187" s="5">
        <v>250</v>
      </c>
      <c r="H187" s="4">
        <v>0.8</v>
      </c>
      <c r="I187" s="5">
        <v>400</v>
      </c>
      <c r="J187" s="30">
        <v>1.25</v>
      </c>
      <c r="K187" s="100">
        <v>10283</v>
      </c>
      <c r="L187" s="100">
        <v>0</v>
      </c>
      <c r="M187" s="100">
        <v>88084</v>
      </c>
      <c r="N187" s="100">
        <v>15704</v>
      </c>
      <c r="O187" s="100">
        <v>0</v>
      </c>
      <c r="P187" s="100">
        <v>299297</v>
      </c>
      <c r="Q187" s="100">
        <v>0</v>
      </c>
      <c r="R187" s="100">
        <v>82632</v>
      </c>
      <c r="S187" s="100">
        <v>0</v>
      </c>
      <c r="T187" s="100">
        <v>178547</v>
      </c>
      <c r="U187" s="100">
        <v>133629</v>
      </c>
      <c r="V187" s="100">
        <v>58790</v>
      </c>
      <c r="W187" s="100">
        <v>206637</v>
      </c>
      <c r="X187" s="100">
        <v>9156</v>
      </c>
      <c r="Y187" s="100">
        <v>247417</v>
      </c>
      <c r="Z187" s="100">
        <v>196587</v>
      </c>
      <c r="AA187" s="100">
        <v>22367</v>
      </c>
      <c r="AB187" s="100">
        <v>415158</v>
      </c>
      <c r="AC187" s="100">
        <v>83046</v>
      </c>
      <c r="AD187" s="100">
        <v>9055</v>
      </c>
      <c r="AE187" s="100">
        <v>685390</v>
      </c>
      <c r="AF187" s="100">
        <v>73951</v>
      </c>
      <c r="AG187" s="100">
        <v>0</v>
      </c>
      <c r="AH187" s="100">
        <v>37476</v>
      </c>
      <c r="AI187" s="100">
        <v>41850</v>
      </c>
      <c r="AJ187" s="100">
        <v>11492</v>
      </c>
    </row>
    <row r="188" spans="1:36" x14ac:dyDescent="0.25">
      <c r="A188" s="2">
        <v>178</v>
      </c>
      <c r="B188" s="32">
        <v>45884</v>
      </c>
      <c r="C188" s="2" t="s">
        <v>218</v>
      </c>
      <c r="F188" s="102">
        <v>0.1</v>
      </c>
      <c r="G188" s="5">
        <v>250</v>
      </c>
      <c r="H188" s="4">
        <v>0.8</v>
      </c>
      <c r="I188" s="5">
        <v>400</v>
      </c>
      <c r="J188" s="30">
        <v>1.25</v>
      </c>
      <c r="K188" s="100">
        <v>13054</v>
      </c>
      <c r="L188" s="100">
        <v>0</v>
      </c>
      <c r="M188" s="100">
        <v>97226</v>
      </c>
      <c r="N188" s="100">
        <v>9189</v>
      </c>
      <c r="O188" s="100">
        <v>0</v>
      </c>
      <c r="P188" s="100">
        <v>319267</v>
      </c>
      <c r="Q188" s="100">
        <v>34169</v>
      </c>
      <c r="R188" s="100">
        <v>65447</v>
      </c>
      <c r="S188" s="100">
        <v>0</v>
      </c>
      <c r="T188" s="100">
        <v>73387</v>
      </c>
      <c r="U188" s="100">
        <v>103759</v>
      </c>
      <c r="V188" s="100">
        <v>61591</v>
      </c>
      <c r="W188" s="100">
        <v>222804</v>
      </c>
      <c r="X188" s="100">
        <v>9720</v>
      </c>
      <c r="Y188" s="100">
        <v>276837</v>
      </c>
      <c r="Z188" s="100">
        <v>197897</v>
      </c>
      <c r="AA188" s="100">
        <v>25217</v>
      </c>
      <c r="AB188" s="100">
        <v>439553</v>
      </c>
      <c r="AC188" s="100">
        <v>92800</v>
      </c>
      <c r="AD188" s="100">
        <v>12600</v>
      </c>
      <c r="AE188" s="100">
        <v>788526</v>
      </c>
      <c r="AF188" s="100">
        <v>94071</v>
      </c>
      <c r="AG188" s="100">
        <v>0</v>
      </c>
      <c r="AH188" s="100">
        <v>207667</v>
      </c>
      <c r="AI188" s="100">
        <v>0</v>
      </c>
      <c r="AJ188" s="100">
        <v>15806</v>
      </c>
    </row>
    <row r="189" spans="1:36" x14ac:dyDescent="0.25">
      <c r="A189" s="2">
        <v>179</v>
      </c>
      <c r="B189" s="32">
        <v>45884</v>
      </c>
      <c r="C189" s="2" t="s">
        <v>219</v>
      </c>
      <c r="F189" s="102">
        <v>0.1</v>
      </c>
      <c r="G189" s="5">
        <v>250</v>
      </c>
      <c r="H189" s="4">
        <v>0.8</v>
      </c>
      <c r="I189" s="5">
        <v>400</v>
      </c>
      <c r="J189" s="30">
        <v>1.25</v>
      </c>
      <c r="K189" s="100">
        <v>8761</v>
      </c>
      <c r="L189" s="100">
        <v>0</v>
      </c>
      <c r="M189" s="100">
        <v>55763</v>
      </c>
      <c r="N189" s="100">
        <v>12307</v>
      </c>
      <c r="O189" s="100">
        <v>0</v>
      </c>
      <c r="P189" s="100">
        <v>114178</v>
      </c>
      <c r="Q189" s="100">
        <v>0</v>
      </c>
      <c r="R189" s="100">
        <v>19298</v>
      </c>
      <c r="S189" s="100">
        <v>0</v>
      </c>
      <c r="T189" s="100">
        <v>137314</v>
      </c>
      <c r="U189" s="100">
        <v>73540</v>
      </c>
      <c r="V189" s="100">
        <v>36843</v>
      </c>
      <c r="W189" s="100">
        <v>127476</v>
      </c>
      <c r="X189" s="100">
        <v>6634</v>
      </c>
      <c r="Y189" s="100">
        <v>119009</v>
      </c>
      <c r="Z189" s="100">
        <v>120133</v>
      </c>
      <c r="AA189" s="100">
        <v>15171</v>
      </c>
      <c r="AB189" s="100">
        <v>438256</v>
      </c>
      <c r="AC189" s="100">
        <v>41903</v>
      </c>
      <c r="AD189" s="100">
        <v>3538</v>
      </c>
      <c r="AE189" s="100">
        <v>373944</v>
      </c>
      <c r="AF189" s="100">
        <v>44705</v>
      </c>
      <c r="AG189" s="100">
        <v>0</v>
      </c>
      <c r="AH189" s="100">
        <v>8387</v>
      </c>
      <c r="AI189" s="100">
        <v>30178</v>
      </c>
      <c r="AJ189" s="100">
        <v>7719</v>
      </c>
    </row>
    <row r="190" spans="1:36" x14ac:dyDescent="0.25">
      <c r="A190" s="2">
        <v>180</v>
      </c>
      <c r="B190" s="32">
        <v>45884</v>
      </c>
      <c r="C190" s="2" t="s">
        <v>219</v>
      </c>
      <c r="F190" s="102">
        <v>0.1</v>
      </c>
      <c r="G190" s="5">
        <v>250</v>
      </c>
      <c r="H190" s="4">
        <v>0.8</v>
      </c>
      <c r="I190" s="5">
        <v>400</v>
      </c>
      <c r="J190" s="30">
        <v>1.25</v>
      </c>
      <c r="K190" s="100">
        <v>4389</v>
      </c>
      <c r="L190" s="100">
        <v>0</v>
      </c>
      <c r="M190" s="100">
        <v>43177</v>
      </c>
      <c r="N190" s="100">
        <v>7323</v>
      </c>
      <c r="O190" s="100">
        <v>0</v>
      </c>
      <c r="P190" s="100">
        <v>95126</v>
      </c>
      <c r="Q190" s="100">
        <v>0</v>
      </c>
      <c r="R190" s="100">
        <v>14595</v>
      </c>
      <c r="S190" s="100">
        <v>0</v>
      </c>
      <c r="T190" s="100">
        <v>111995</v>
      </c>
      <c r="U190" s="100">
        <v>65343</v>
      </c>
      <c r="V190" s="100">
        <v>28011</v>
      </c>
      <c r="W190" s="100">
        <v>107599</v>
      </c>
      <c r="X190" s="100">
        <v>5165</v>
      </c>
      <c r="Y190" s="100">
        <v>92937</v>
      </c>
      <c r="Z190" s="100">
        <v>102556</v>
      </c>
      <c r="AA190" s="100">
        <v>8234</v>
      </c>
      <c r="AB190" s="100">
        <v>408179</v>
      </c>
      <c r="AC190" s="100">
        <v>33490</v>
      </c>
      <c r="AD190" s="100">
        <v>2303</v>
      </c>
      <c r="AE190" s="100">
        <v>301133</v>
      </c>
      <c r="AF190" s="100">
        <v>37156</v>
      </c>
      <c r="AG190" s="100">
        <v>0</v>
      </c>
      <c r="AH190" s="100">
        <v>7854</v>
      </c>
      <c r="AI190" s="100">
        <v>25366</v>
      </c>
      <c r="AJ190" s="100">
        <v>6099</v>
      </c>
    </row>
    <row r="191" spans="1:36" x14ac:dyDescent="0.25">
      <c r="A191" s="2">
        <v>181</v>
      </c>
      <c r="B191" s="32">
        <v>45884</v>
      </c>
      <c r="C191" s="2" t="s">
        <v>220</v>
      </c>
      <c r="F191" s="102">
        <v>0.1</v>
      </c>
      <c r="G191" s="5">
        <v>250</v>
      </c>
      <c r="H191" s="4">
        <v>0.8</v>
      </c>
      <c r="I191" s="5">
        <v>400</v>
      </c>
      <c r="J191" s="30">
        <v>1.25</v>
      </c>
      <c r="K191" s="100">
        <v>6381</v>
      </c>
      <c r="L191" s="100">
        <v>0</v>
      </c>
      <c r="M191" s="100">
        <v>39983</v>
      </c>
      <c r="N191" s="100">
        <v>7328</v>
      </c>
      <c r="O191" s="100">
        <v>0</v>
      </c>
      <c r="P191" s="100">
        <v>150186</v>
      </c>
      <c r="Q191" s="100">
        <v>0</v>
      </c>
      <c r="R191" s="100">
        <v>26553</v>
      </c>
      <c r="S191" s="100">
        <v>0</v>
      </c>
      <c r="T191" s="100">
        <v>160861</v>
      </c>
      <c r="U191" s="100">
        <v>65605</v>
      </c>
      <c r="V191" s="100">
        <v>37610</v>
      </c>
      <c r="W191" s="100">
        <v>73650</v>
      </c>
      <c r="X191" s="100">
        <v>5231</v>
      </c>
      <c r="Y191" s="100">
        <v>0</v>
      </c>
      <c r="Z191" s="100">
        <v>133371</v>
      </c>
      <c r="AA191" s="100">
        <v>16650</v>
      </c>
      <c r="AB191" s="100">
        <v>377927</v>
      </c>
      <c r="AC191" s="100">
        <v>26512</v>
      </c>
      <c r="AD191" s="100">
        <v>3916</v>
      </c>
      <c r="AE191" s="100">
        <v>288334</v>
      </c>
      <c r="AF191" s="100">
        <v>32486</v>
      </c>
      <c r="AG191" s="100">
        <v>0</v>
      </c>
      <c r="AH191" s="100">
        <v>14787</v>
      </c>
      <c r="AI191" s="100">
        <v>46299</v>
      </c>
      <c r="AJ191" s="100">
        <v>3920</v>
      </c>
    </row>
    <row r="192" spans="1:36" x14ac:dyDescent="0.25">
      <c r="A192" s="2">
        <v>182</v>
      </c>
      <c r="B192" s="32">
        <v>45884</v>
      </c>
      <c r="C192" s="2" t="s">
        <v>220</v>
      </c>
      <c r="F192" s="102">
        <v>0.1</v>
      </c>
      <c r="G192" s="5">
        <v>250</v>
      </c>
      <c r="H192" s="4">
        <v>0.8</v>
      </c>
      <c r="I192" s="5">
        <v>400</v>
      </c>
      <c r="J192" s="30">
        <v>1.25</v>
      </c>
      <c r="K192" s="100">
        <v>3536</v>
      </c>
      <c r="L192" s="100">
        <v>0</v>
      </c>
      <c r="M192" s="100">
        <v>28046</v>
      </c>
      <c r="N192" s="100">
        <v>7427</v>
      </c>
      <c r="O192" s="100">
        <v>0</v>
      </c>
      <c r="P192" s="100">
        <v>112957</v>
      </c>
      <c r="Q192" s="100">
        <v>0</v>
      </c>
      <c r="R192" s="100">
        <v>19202</v>
      </c>
      <c r="S192" s="100">
        <v>0</v>
      </c>
      <c r="T192" s="100">
        <v>60680</v>
      </c>
      <c r="U192" s="100">
        <v>68900</v>
      </c>
      <c r="V192" s="100">
        <v>50770</v>
      </c>
      <c r="W192" s="100">
        <v>78846</v>
      </c>
      <c r="X192" s="100">
        <v>3831</v>
      </c>
      <c r="Y192" s="100">
        <v>86902</v>
      </c>
      <c r="Z192" s="100">
        <v>135824</v>
      </c>
      <c r="AA192" s="100">
        <v>7911</v>
      </c>
      <c r="AB192" s="100">
        <v>393868</v>
      </c>
      <c r="AC192" s="100">
        <v>27797</v>
      </c>
      <c r="AD192" s="100">
        <v>7037</v>
      </c>
      <c r="AE192" s="100">
        <v>309217</v>
      </c>
      <c r="AF192" s="100">
        <v>35776</v>
      </c>
      <c r="AG192" s="100">
        <v>0</v>
      </c>
      <c r="AH192" s="100">
        <v>23114</v>
      </c>
      <c r="AI192" s="100">
        <v>55967</v>
      </c>
      <c r="AJ192" s="100">
        <v>3838</v>
      </c>
    </row>
    <row r="193" spans="1:36" x14ac:dyDescent="0.25">
      <c r="A193" s="2">
        <v>183</v>
      </c>
      <c r="B193" s="32">
        <v>45884</v>
      </c>
      <c r="C193" s="2" t="s">
        <v>221</v>
      </c>
      <c r="F193" s="102">
        <v>0.1</v>
      </c>
      <c r="G193" s="5">
        <v>250</v>
      </c>
      <c r="H193" s="4">
        <v>0.8</v>
      </c>
      <c r="I193" s="5">
        <v>400</v>
      </c>
      <c r="J193" s="30">
        <v>1.25</v>
      </c>
      <c r="K193" s="100">
        <v>6951</v>
      </c>
      <c r="L193" s="100">
        <v>0</v>
      </c>
      <c r="M193" s="100">
        <v>41651</v>
      </c>
      <c r="N193" s="100">
        <v>8116</v>
      </c>
      <c r="O193" s="100">
        <v>0</v>
      </c>
      <c r="P193" s="100">
        <v>144261</v>
      </c>
      <c r="Q193" s="100">
        <v>0</v>
      </c>
      <c r="R193" s="100">
        <v>23732</v>
      </c>
      <c r="S193" s="100">
        <v>0</v>
      </c>
      <c r="T193" s="100">
        <v>161106</v>
      </c>
      <c r="U193" s="100">
        <v>72869</v>
      </c>
      <c r="V193" s="100">
        <v>40831</v>
      </c>
      <c r="W193" s="100">
        <v>84429</v>
      </c>
      <c r="X193" s="100">
        <v>5019</v>
      </c>
      <c r="Y193" s="100">
        <v>88453</v>
      </c>
      <c r="Z193" s="100">
        <v>142057</v>
      </c>
      <c r="AA193" s="100">
        <v>8926</v>
      </c>
      <c r="AB193" s="100">
        <v>387687</v>
      </c>
      <c r="AC193" s="100">
        <v>27978</v>
      </c>
      <c r="AD193" s="100">
        <v>7448</v>
      </c>
      <c r="AE193" s="100">
        <v>311846</v>
      </c>
      <c r="AF193" s="100">
        <v>40244</v>
      </c>
      <c r="AG193" s="100">
        <v>0</v>
      </c>
      <c r="AH193" s="100">
        <v>13853</v>
      </c>
      <c r="AI193" s="100">
        <v>44981</v>
      </c>
      <c r="AJ193" s="100">
        <v>5428</v>
      </c>
    </row>
    <row r="194" spans="1:36" x14ac:dyDescent="0.25">
      <c r="A194" s="2">
        <v>184</v>
      </c>
      <c r="B194" s="32">
        <v>45884</v>
      </c>
      <c r="C194" s="2" t="s">
        <v>221</v>
      </c>
      <c r="F194" s="102">
        <v>0.1</v>
      </c>
      <c r="G194" s="5">
        <v>250</v>
      </c>
      <c r="H194" s="4">
        <v>0.8</v>
      </c>
      <c r="I194" s="5">
        <v>400</v>
      </c>
      <c r="J194" s="30">
        <v>1.25</v>
      </c>
      <c r="K194" s="100">
        <v>4542</v>
      </c>
      <c r="L194" s="100">
        <v>0</v>
      </c>
      <c r="M194" s="100">
        <v>25561</v>
      </c>
      <c r="N194" s="100">
        <v>4556</v>
      </c>
      <c r="O194" s="100">
        <v>0</v>
      </c>
      <c r="P194" s="100">
        <v>156006</v>
      </c>
      <c r="Q194" s="100">
        <v>0</v>
      </c>
      <c r="R194" s="100">
        <v>27833</v>
      </c>
      <c r="S194" s="100">
        <v>0</v>
      </c>
      <c r="T194" s="100">
        <v>160797</v>
      </c>
      <c r="U194" s="100">
        <v>75299</v>
      </c>
      <c r="V194" s="100">
        <v>43447</v>
      </c>
      <c r="W194" s="100">
        <v>87569</v>
      </c>
      <c r="X194" s="100">
        <v>5567</v>
      </c>
      <c r="Y194" s="100">
        <v>88188</v>
      </c>
      <c r="Z194" s="100">
        <v>142900</v>
      </c>
      <c r="AA194" s="100">
        <v>8306</v>
      </c>
      <c r="AB194" s="100">
        <v>398377</v>
      </c>
      <c r="AC194" s="100">
        <v>27840</v>
      </c>
      <c r="AD194" s="100">
        <v>8135</v>
      </c>
      <c r="AE194" s="100">
        <v>305436</v>
      </c>
      <c r="AF194" s="100">
        <v>37168</v>
      </c>
      <c r="AG194" s="100">
        <v>0</v>
      </c>
      <c r="AH194" s="100">
        <v>8309</v>
      </c>
      <c r="AI194" s="100">
        <v>48039</v>
      </c>
      <c r="AJ194" s="100">
        <v>6758</v>
      </c>
    </row>
    <row r="195" spans="1:36" x14ac:dyDescent="0.25">
      <c r="A195" s="2">
        <v>185</v>
      </c>
      <c r="B195" s="32">
        <v>45884</v>
      </c>
      <c r="C195" s="2" t="s">
        <v>222</v>
      </c>
      <c r="F195" s="102">
        <v>0.1</v>
      </c>
      <c r="G195" s="5">
        <v>250</v>
      </c>
      <c r="H195" s="4">
        <v>0.8</v>
      </c>
      <c r="I195" s="5">
        <v>400</v>
      </c>
      <c r="J195" s="30">
        <v>1.25</v>
      </c>
      <c r="K195" s="100">
        <v>28042</v>
      </c>
      <c r="L195" s="100">
        <v>0</v>
      </c>
      <c r="M195" s="100">
        <v>145517</v>
      </c>
      <c r="N195" s="100">
        <v>12298</v>
      </c>
      <c r="O195" s="100">
        <v>0</v>
      </c>
      <c r="P195" s="100">
        <v>303882</v>
      </c>
      <c r="Q195" s="100">
        <v>0</v>
      </c>
      <c r="R195" s="100">
        <v>76004</v>
      </c>
      <c r="S195" s="100">
        <v>0</v>
      </c>
      <c r="T195" s="100">
        <v>217165</v>
      </c>
      <c r="U195" s="100">
        <v>113243</v>
      </c>
      <c r="V195" s="100">
        <v>46360</v>
      </c>
      <c r="W195" s="100">
        <v>247559</v>
      </c>
      <c r="X195" s="100">
        <v>5171</v>
      </c>
      <c r="Y195" s="100">
        <v>0</v>
      </c>
      <c r="Z195" s="100">
        <v>176465</v>
      </c>
      <c r="AA195" s="100">
        <v>20726</v>
      </c>
      <c r="AB195" s="100">
        <v>398008</v>
      </c>
      <c r="AC195" s="100">
        <v>80755</v>
      </c>
      <c r="AD195" s="100">
        <v>14198</v>
      </c>
      <c r="AE195" s="100">
        <v>689098</v>
      </c>
      <c r="AF195" s="100">
        <v>76734</v>
      </c>
      <c r="AG195" s="100">
        <v>0</v>
      </c>
      <c r="AH195" s="100">
        <v>32484</v>
      </c>
      <c r="AI195" s="100">
        <v>51196</v>
      </c>
      <c r="AJ195" s="100">
        <v>15676</v>
      </c>
    </row>
    <row r="196" spans="1:36" x14ac:dyDescent="0.25">
      <c r="A196" s="2">
        <v>186</v>
      </c>
      <c r="B196" s="32">
        <v>45884</v>
      </c>
      <c r="C196" s="2" t="s">
        <v>222</v>
      </c>
      <c r="F196" s="102">
        <v>0.1</v>
      </c>
      <c r="G196" s="5">
        <v>250</v>
      </c>
      <c r="H196" s="4">
        <v>0.8</v>
      </c>
      <c r="I196" s="5">
        <v>400</v>
      </c>
      <c r="J196" s="30">
        <v>1.25</v>
      </c>
      <c r="K196" s="100">
        <v>24714</v>
      </c>
      <c r="L196" s="100">
        <v>0</v>
      </c>
      <c r="M196" s="100">
        <v>143576</v>
      </c>
      <c r="N196" s="100">
        <v>12957</v>
      </c>
      <c r="O196" s="100">
        <v>0</v>
      </c>
      <c r="P196" s="100">
        <v>329981</v>
      </c>
      <c r="Q196" s="100">
        <v>0</v>
      </c>
      <c r="R196" s="100">
        <v>84946</v>
      </c>
      <c r="S196" s="100">
        <v>0</v>
      </c>
      <c r="T196" s="100">
        <v>234620</v>
      </c>
      <c r="U196" s="100">
        <v>120058</v>
      </c>
      <c r="V196" s="100">
        <v>46782</v>
      </c>
      <c r="W196" s="100">
        <v>266113</v>
      </c>
      <c r="X196" s="100">
        <v>8456</v>
      </c>
      <c r="Y196" s="100">
        <v>257554</v>
      </c>
      <c r="Z196" s="100">
        <v>191664</v>
      </c>
      <c r="AA196" s="100">
        <v>21036</v>
      </c>
      <c r="AB196" s="100">
        <v>416660</v>
      </c>
      <c r="AC196" s="100">
        <v>91377</v>
      </c>
      <c r="AD196" s="100">
        <v>14854</v>
      </c>
      <c r="AE196" s="100">
        <v>788644</v>
      </c>
      <c r="AF196" s="100">
        <v>90531</v>
      </c>
      <c r="AG196" s="100">
        <v>0</v>
      </c>
      <c r="AH196" s="100">
        <v>50873</v>
      </c>
      <c r="AI196" s="100">
        <v>48894</v>
      </c>
      <c r="AJ196" s="100">
        <v>17761</v>
      </c>
    </row>
    <row r="197" spans="1:36" x14ac:dyDescent="0.25">
      <c r="A197" s="2">
        <v>187</v>
      </c>
      <c r="B197" s="32">
        <v>45884</v>
      </c>
      <c r="C197" s="2" t="s">
        <v>223</v>
      </c>
      <c r="F197" s="102">
        <v>0.1</v>
      </c>
      <c r="G197" s="5">
        <v>250</v>
      </c>
      <c r="H197" s="4">
        <v>0.8</v>
      </c>
      <c r="I197" s="5">
        <v>400</v>
      </c>
      <c r="J197" s="30">
        <v>1.25</v>
      </c>
      <c r="K197" s="100">
        <v>19501</v>
      </c>
      <c r="L197" s="100">
        <v>0</v>
      </c>
      <c r="M197" s="100">
        <v>127493</v>
      </c>
      <c r="N197" s="100">
        <v>13850</v>
      </c>
      <c r="O197" s="100">
        <v>0</v>
      </c>
      <c r="P197" s="100">
        <v>312711</v>
      </c>
      <c r="Q197" s="100">
        <v>0</v>
      </c>
      <c r="R197" s="100">
        <v>85781</v>
      </c>
      <c r="S197" s="100">
        <v>0</v>
      </c>
      <c r="T197" s="100">
        <v>227336</v>
      </c>
      <c r="U197" s="100">
        <v>117833</v>
      </c>
      <c r="V197" s="100">
        <v>49951</v>
      </c>
      <c r="W197" s="100">
        <v>240418</v>
      </c>
      <c r="X197" s="100">
        <v>7706</v>
      </c>
      <c r="Y197" s="100">
        <v>263123</v>
      </c>
      <c r="Z197" s="100">
        <v>202387</v>
      </c>
      <c r="AA197" s="100">
        <v>21874</v>
      </c>
      <c r="AB197" s="100">
        <v>442324</v>
      </c>
      <c r="AC197" s="100">
        <v>92665</v>
      </c>
      <c r="AD197" s="100">
        <v>14773</v>
      </c>
      <c r="AE197" s="100">
        <v>783767</v>
      </c>
      <c r="AF197" s="100">
        <v>92856</v>
      </c>
      <c r="AG197" s="100">
        <v>0</v>
      </c>
      <c r="AH197" s="100">
        <v>49321</v>
      </c>
      <c r="AI197" s="100">
        <v>48331</v>
      </c>
      <c r="AJ197" s="100">
        <v>15873</v>
      </c>
    </row>
    <row r="198" spans="1:36" x14ac:dyDescent="0.25">
      <c r="A198" s="2">
        <v>188</v>
      </c>
      <c r="B198" s="32">
        <v>45884</v>
      </c>
      <c r="C198" s="2" t="s">
        <v>223</v>
      </c>
      <c r="F198" s="102">
        <v>0.1</v>
      </c>
      <c r="G198" s="5">
        <v>250</v>
      </c>
      <c r="H198" s="4">
        <v>0.8</v>
      </c>
      <c r="I198" s="5">
        <v>400</v>
      </c>
      <c r="J198" s="30">
        <v>1.25</v>
      </c>
      <c r="K198" s="100">
        <v>29772</v>
      </c>
      <c r="L198" s="100">
        <v>0</v>
      </c>
      <c r="M198" s="100">
        <v>138230</v>
      </c>
      <c r="N198" s="100">
        <v>12493</v>
      </c>
      <c r="O198" s="100">
        <v>0</v>
      </c>
      <c r="P198" s="100">
        <v>274289</v>
      </c>
      <c r="Q198" s="100">
        <v>0</v>
      </c>
      <c r="R198" s="100">
        <v>73647</v>
      </c>
      <c r="S198" s="100">
        <v>0</v>
      </c>
      <c r="T198" s="100">
        <v>199228</v>
      </c>
      <c r="U198" s="100">
        <v>107449</v>
      </c>
      <c r="V198" s="100">
        <v>43181</v>
      </c>
      <c r="W198" s="100">
        <v>216113</v>
      </c>
      <c r="X198" s="100">
        <v>0</v>
      </c>
      <c r="Y198" s="100">
        <v>6883</v>
      </c>
      <c r="Z198" s="100">
        <v>188844</v>
      </c>
      <c r="AA198" s="100">
        <v>22295</v>
      </c>
      <c r="AB198" s="100">
        <v>404202</v>
      </c>
      <c r="AC198" s="100">
        <v>84081</v>
      </c>
      <c r="AD198" s="100">
        <v>13984</v>
      </c>
      <c r="AE198" s="100">
        <v>677099</v>
      </c>
      <c r="AF198" s="100">
        <v>80086</v>
      </c>
      <c r="AG198" s="100">
        <v>0</v>
      </c>
      <c r="AH198" s="100">
        <v>41823</v>
      </c>
      <c r="AI198" s="100">
        <v>43773</v>
      </c>
      <c r="AJ198" s="100">
        <v>14783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2"/>
    <pageSetUpPr fitToPage="1"/>
  </sheetPr>
  <dimension ref="A1:AH202"/>
  <sheetViews>
    <sheetView zoomScaleNormal="100" workbookViewId="0">
      <selection activeCell="AH163" sqref="AH163:AH170"/>
    </sheetView>
  </sheetViews>
  <sheetFormatPr defaultColWidth="9.109375" defaultRowHeight="13.2" x14ac:dyDescent="0.25"/>
  <cols>
    <col min="1" max="1" width="6.88671875" style="2" customWidth="1"/>
    <col min="2" max="2" width="12.88671875" style="62" customWidth="1"/>
    <col min="3" max="3" width="10.88671875" style="2" customWidth="1"/>
    <col min="4" max="4" width="4.88671875" style="2" customWidth="1"/>
    <col min="5" max="5" width="7" style="2" customWidth="1"/>
    <col min="6" max="6" width="6.44140625" style="30" customWidth="1"/>
    <col min="7" max="7" width="8.44140625" style="30" customWidth="1"/>
    <col min="8" max="8" width="11.6640625" style="30" customWidth="1"/>
    <col min="9" max="34" width="12.88671875" style="30" customWidth="1"/>
    <col min="35" max="243" width="8.44140625" style="2" customWidth="1"/>
    <col min="244" max="16384" width="9.109375" style="2"/>
  </cols>
  <sheetData>
    <row r="1" spans="1:34" ht="20.399999999999999" x14ac:dyDescent="0.35">
      <c r="A1" s="101" t="s">
        <v>127</v>
      </c>
      <c r="B1" s="101"/>
      <c r="C1" s="101"/>
      <c r="D1" s="101"/>
      <c r="E1" s="101"/>
      <c r="F1" s="101"/>
      <c r="G1" s="101"/>
      <c r="H1" s="101"/>
    </row>
    <row r="2" spans="1:34" x14ac:dyDescent="0.25">
      <c r="A2" s="2" t="s">
        <v>149</v>
      </c>
    </row>
    <row r="3" spans="1:34" ht="20.399999999999999" x14ac:dyDescent="0.35">
      <c r="A3" s="2" t="s">
        <v>128</v>
      </c>
      <c r="J3" s="63" t="s">
        <v>133</v>
      </c>
      <c r="K3" s="64"/>
      <c r="L3" s="64"/>
    </row>
    <row r="4" spans="1:34" ht="20.399999999999999" x14ac:dyDescent="0.35">
      <c r="A4" s="2" t="s">
        <v>129</v>
      </c>
      <c r="J4" s="65" t="s">
        <v>147</v>
      </c>
      <c r="K4" s="66"/>
      <c r="L4" s="66"/>
      <c r="M4" s="66"/>
    </row>
    <row r="5" spans="1:34" x14ac:dyDescent="0.25">
      <c r="A5" s="67" t="s">
        <v>130</v>
      </c>
      <c r="C5" s="2" t="s">
        <v>131</v>
      </c>
    </row>
    <row r="6" spans="1:34" ht="17.399999999999999" x14ac:dyDescent="0.3">
      <c r="A6" s="68"/>
    </row>
    <row r="8" spans="1:34" ht="15" x14ac:dyDescent="0.25">
      <c r="B8" s="69" t="s">
        <v>108</v>
      </c>
      <c r="C8" s="70">
        <f>'Peak Areas'!B2</f>
        <v>0</v>
      </c>
    </row>
    <row r="9" spans="1:34" ht="20.399999999999999" x14ac:dyDescent="0.35">
      <c r="B9" s="69"/>
      <c r="C9" s="71"/>
      <c r="L9" s="72" t="s">
        <v>101</v>
      </c>
    </row>
    <row r="10" spans="1:34" ht="16.8" x14ac:dyDescent="0.25">
      <c r="M10" s="73" t="s">
        <v>156</v>
      </c>
    </row>
    <row r="11" spans="1:34" x14ac:dyDescent="0.25">
      <c r="K11" s="74"/>
      <c r="L11" s="74"/>
      <c r="M11" s="74" t="s">
        <v>148</v>
      </c>
      <c r="N11" s="74"/>
      <c r="O11" s="74"/>
    </row>
    <row r="12" spans="1:34" s="23" customFormat="1" x14ac:dyDescent="0.25">
      <c r="A12" s="75"/>
      <c r="B12" s="76"/>
      <c r="C12" s="77"/>
      <c r="D12" s="77"/>
      <c r="E12" s="77"/>
      <c r="F12" s="78" t="s">
        <v>107</v>
      </c>
      <c r="G12" s="78" t="s">
        <v>120</v>
      </c>
      <c r="H12" s="78" t="s">
        <v>77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</row>
    <row r="13" spans="1:34" s="23" customFormat="1" ht="14.4" x14ac:dyDescent="0.3">
      <c r="A13" s="79" t="s">
        <v>88</v>
      </c>
      <c r="B13" s="80" t="s">
        <v>46</v>
      </c>
      <c r="C13" s="81" t="s">
        <v>115</v>
      </c>
      <c r="D13" s="81" t="s">
        <v>90</v>
      </c>
      <c r="E13" s="81" t="s">
        <v>87</v>
      </c>
      <c r="F13" s="82" t="s">
        <v>132</v>
      </c>
      <c r="G13" s="82" t="s">
        <v>44</v>
      </c>
      <c r="H13" s="82" t="s">
        <v>43</v>
      </c>
      <c r="I13" s="82" t="s">
        <v>157</v>
      </c>
      <c r="J13" s="82" t="s">
        <v>158</v>
      </c>
      <c r="K13" s="82" t="s">
        <v>93</v>
      </c>
      <c r="L13" s="82" t="s">
        <v>6</v>
      </c>
      <c r="M13" s="82" t="s">
        <v>67</v>
      </c>
      <c r="N13" s="82" t="s">
        <v>7</v>
      </c>
      <c r="O13" s="82" t="s">
        <v>85</v>
      </c>
      <c r="P13" s="82" t="s">
        <v>102</v>
      </c>
      <c r="Q13" s="82" t="s">
        <v>118</v>
      </c>
      <c r="R13" s="82" t="s">
        <v>49</v>
      </c>
      <c r="S13" s="82" t="s">
        <v>19</v>
      </c>
      <c r="T13" s="82" t="s">
        <v>15</v>
      </c>
      <c r="U13" s="82" t="s">
        <v>52</v>
      </c>
      <c r="V13" s="82" t="s">
        <v>79</v>
      </c>
      <c r="W13" s="82" t="s">
        <v>121</v>
      </c>
      <c r="X13" s="82" t="s">
        <v>69</v>
      </c>
      <c r="Y13" s="82" t="s">
        <v>29</v>
      </c>
      <c r="Z13" s="82" t="s">
        <v>32</v>
      </c>
      <c r="AA13" s="82" t="s">
        <v>28</v>
      </c>
      <c r="AB13" s="82" t="s">
        <v>33</v>
      </c>
      <c r="AC13" s="82" t="s">
        <v>144</v>
      </c>
      <c r="AD13" s="82" t="s">
        <v>145</v>
      </c>
      <c r="AE13" s="82"/>
      <c r="AF13" s="82" t="s">
        <v>34</v>
      </c>
      <c r="AG13" s="82" t="s">
        <v>116</v>
      </c>
      <c r="AH13" s="82" t="s">
        <v>14</v>
      </c>
    </row>
    <row r="14" spans="1:34" s="23" customFormat="1" x14ac:dyDescent="0.25">
      <c r="A14" s="83"/>
      <c r="B14" s="84"/>
      <c r="C14" s="83"/>
      <c r="D14" s="83"/>
      <c r="E14" s="83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</row>
    <row r="15" spans="1:34" x14ac:dyDescent="0.25">
      <c r="A15" s="2">
        <f>'Peak Areas'!A11</f>
        <v>1</v>
      </c>
      <c r="B15" s="62">
        <f>'Peak Areas'!B11</f>
        <v>45809</v>
      </c>
      <c r="C15" s="2" t="str">
        <f>'Peak Areas'!C11</f>
        <v>control</v>
      </c>
      <c r="D15" s="2">
        <f>'Peak Areas'!D11</f>
        <v>0</v>
      </c>
      <c r="E15" s="2">
        <f>'Peak Areas'!E11</f>
        <v>0</v>
      </c>
      <c r="F15" s="30">
        <f>'Peak Areas'!F11</f>
        <v>0.1</v>
      </c>
      <c r="G15" s="30">
        <f>((1/'Peak Areas'!$G11)*(('Peak Areas'!$H11+('Internal Standard'!$E$10/1000))/'Peak Areas'!$F11)*'Peak Areas'!$J11)*H15</f>
        <v>5.5379931257501659E-2</v>
      </c>
      <c r="H15" s="30">
        <f>(('Internal Standard'!$F$13*('Peak Areas'!G11/'Internal Standard'!$C$10))/'Peak Areas'!AB11)</f>
        <v>1.3030572060588625</v>
      </c>
      <c r="I15" s="30">
        <f>IF('Peak Areas'!L11=0,0,((('Peak Areas'!L11*Coefficients!$G$21+Coefficients!$H$21)*$G15)))</f>
        <v>0</v>
      </c>
      <c r="J15" s="30">
        <f>IF('Peak Areas'!M11=0,0,((('Peak Areas'!M11*Coefficients!$G$20+Coefficients!$H$20)*$G15)))</f>
        <v>0.6400371579016908</v>
      </c>
      <c r="K15" s="30">
        <f>IF('Peak Areas'!N11=0,0,((('Peak Areas'!N11*Coefficients!$G$41+Coefficients!$H$41)*$G15)))</f>
        <v>0.1149733353755059</v>
      </c>
      <c r="L15" s="30">
        <f>IF('Peak Areas'!O11=0,0,((('Peak Areas'!O11*Coefficients!$G$10+Coefficients!$H$10)*$G15)))</f>
        <v>0</v>
      </c>
      <c r="M15" s="30">
        <f>IF('Peak Areas'!P11=0,0,((('Peak Areas'!P11*Coefficients!$G$32+Coefficients!$H$32)*$G15)))</f>
        <v>4.4155151418965364</v>
      </c>
      <c r="N15" s="30">
        <f>IF('Peak Areas'!Q11=0,0,((('Peak Areas'!Q11*Coefficients!$G$11+Coefficients!$H$11)*$G15)))</f>
        <v>3.5157043005331977E-2</v>
      </c>
      <c r="O15" s="30">
        <f>IF('Peak Areas'!R11=0,0,((('Peak Areas'!R11*Coefficients!$G$39+Coefficients!$H$39)*$G15)))</f>
        <v>1.3712021084963408</v>
      </c>
      <c r="P15" s="30">
        <f>IF('Peak Areas'!S11=0,0,((('Peak Areas'!S11*Coefficients!$G$46+Coefficients!$H$46)*$G15)))</f>
        <v>0</v>
      </c>
      <c r="Q15" s="30">
        <f>IF('Peak Areas'!T11=0,0,((('Peak Areas'!T11*Coefficients!$G$51+Coefficients!$H$51)*$G15)))</f>
        <v>1.642220398728232</v>
      </c>
      <c r="R15" s="30">
        <f>IF('Peak Areas'!U11=0,0,((('Peak Areas'!U11*Coefficients!$G$26+Coefficients!$H$26)*$G15)))</f>
        <v>3.6001190578379543</v>
      </c>
      <c r="S15" s="30">
        <f>IF('Peak Areas'!V11=0,0,((('Peak Areas'!V11*Coefficients!$G$13+Coefficients!$H$13)*$G15)))</f>
        <v>0.34016180945043478</v>
      </c>
      <c r="T15" s="30">
        <f>IF('Peak Areas'!W11=0,0,((('Peak Areas'!W11*Coefficients!$G$12+Coefficients!$H$12)*$G15)))</f>
        <v>0.78819475347484713</v>
      </c>
      <c r="U15" s="30">
        <f>IF('Peak Areas'!X11=0,0,((('Peak Areas'!X11*Coefficients!$G$27+Coefficients!$H$27)*$G15)))</f>
        <v>0.31131530068465019</v>
      </c>
      <c r="V15" s="30">
        <f>IF('Peak Areas'!Y11=0,0,((('Peak Areas'!Y11*Coefficients!$G$34+Coefficients!$H$34)*$G15)))</f>
        <v>2.9514728961151691</v>
      </c>
      <c r="W15" s="30">
        <f>IF('Peak Areas'!Z11=0,0,((('Peak Areas'!Z11*Coefficients!$G$52+Coefficients!$H$52)*$G15)))</f>
        <v>1.8229731807305771</v>
      </c>
      <c r="X15" s="30">
        <f>IF('Peak Areas'!AA11=0,0,((('Peak Areas'!AA11*Coefficients!$G$33+Coefficients!$H$33)*$G15)))</f>
        <v>0.36133184721068579</v>
      </c>
      <c r="Y15" s="30">
        <f>IF('Peak Areas'!AC11=0,0,((('Peak Areas'!AC11*Coefficients!$G$19+Coefficients!$H$19)*$G15)))</f>
        <v>4.7195318341121473</v>
      </c>
      <c r="Z15" s="30">
        <f>IF('Peak Areas'!AD11=0,0,((('Peak Areas'!AD11*Coefficients!$G$18+Coefficients!$H$18)*$G15)))</f>
        <v>1.0459497964340447</v>
      </c>
      <c r="AA15" s="30">
        <f>IF('Peak Areas'!AE11=0,0,((('Peak Areas'!AE11*Coefficients!$G$18+Coefficients!$H$18)*$G15)))</f>
        <v>39.673556959650981</v>
      </c>
      <c r="AB15" s="30">
        <f>IF('Peak Areas'!AF11=0,0,((('Peak Areas'!AF11*Coefficients!$G$18+Coefficients!$H$18)*$G15)))</f>
        <v>0.85126689811578105</v>
      </c>
      <c r="AC15" s="30">
        <f>IF('Peak Areas'!AG11=0,0,((('Peak Areas'!AG11*Coefficients!$G$7+Coefficients!$H$7)*$G15)))</f>
        <v>0</v>
      </c>
      <c r="AD15" s="30">
        <f>IF('Peak Areas'!AH11=0,0,((('Peak Areas'!AH11*Coefficients!$G$6+Coefficients!$H$6)*$G15)))</f>
        <v>5.4261193568579937</v>
      </c>
      <c r="AF15" s="30">
        <f>IF('Peak Areas'!K11=0,0,((('Peak Areas'!K11*Coefficients!$G$22+Coefficients!$H$22)*$G15)))</f>
        <v>0.92587423290767434</v>
      </c>
      <c r="AG15" s="30">
        <f>AA15+AF15</f>
        <v>40.599431192558654</v>
      </c>
      <c r="AH15" s="30">
        <f>Z15+AA15+AB15+AF15</f>
        <v>42.49664788710848</v>
      </c>
    </row>
    <row r="16" spans="1:34" x14ac:dyDescent="0.25">
      <c r="A16" s="2">
        <f>'Peak Areas'!A12</f>
        <v>2</v>
      </c>
      <c r="B16" s="62">
        <f>'Peak Areas'!B12</f>
        <v>45809</v>
      </c>
      <c r="C16" s="2" t="str">
        <f>'Peak Areas'!C12</f>
        <v>control</v>
      </c>
      <c r="D16" s="2">
        <f>'Peak Areas'!D12</f>
        <v>0</v>
      </c>
      <c r="E16" s="2">
        <f>'Peak Areas'!E12</f>
        <v>0</v>
      </c>
      <c r="F16" s="30">
        <f>'Peak Areas'!F12</f>
        <v>0.1</v>
      </c>
      <c r="G16" s="30">
        <f>((1/'Peak Areas'!$G12)*(('Peak Areas'!$H12+('Internal Standard'!$E$10/1000))/'Peak Areas'!$F12)*'Peak Areas'!$J12)*H16</f>
        <v>5.3717947175983834E-2</v>
      </c>
      <c r="H16" s="30">
        <f>(('Internal Standard'!$F$13*('Peak Areas'!G12/'Internal Standard'!$C$10))/'Peak Areas'!AB12)</f>
        <v>1.2639516982584431</v>
      </c>
      <c r="I16" s="30">
        <f>IF('Peak Areas'!L12=0,0,((('Peak Areas'!L12*Coefficients!$G$21+Coefficients!$H$21)*$G16)))</f>
        <v>0</v>
      </c>
      <c r="J16" s="30">
        <f>IF('Peak Areas'!M12=0,0,((('Peak Areas'!M12*Coefficients!$G$20+Coefficients!$H$20)*$G16)))</f>
        <v>0.53504877920200156</v>
      </c>
      <c r="K16" s="30">
        <f>IF('Peak Areas'!N12=0,0,((('Peak Areas'!N12*Coefficients!$G$41+Coefficients!$H$41)*$G16)))</f>
        <v>0.17752152362273524</v>
      </c>
      <c r="L16" s="30">
        <f>IF('Peak Areas'!O12=0,0,((('Peak Areas'!O12*Coefficients!$G$10+Coefficients!$H$10)*$G16)))</f>
        <v>0</v>
      </c>
      <c r="M16" s="30">
        <f>IF('Peak Areas'!P12=0,0,((('Peak Areas'!P12*Coefficients!$G$32+Coefficients!$H$32)*$G16)))</f>
        <v>4.2429506586061549</v>
      </c>
      <c r="N16" s="30">
        <f>IF('Peak Areas'!Q12=0,0,((('Peak Areas'!Q12*Coefficients!$G$11+Coefficients!$H$11)*$G16)))</f>
        <v>0</v>
      </c>
      <c r="O16" s="30">
        <f>IF('Peak Areas'!R12=0,0,((('Peak Areas'!R12*Coefficients!$G$39+Coefficients!$H$39)*$G16)))</f>
        <v>1.3641252612380101</v>
      </c>
      <c r="P16" s="30">
        <f>IF('Peak Areas'!S12=0,0,((('Peak Areas'!S12*Coefficients!$G$46+Coefficients!$H$46)*$G16)))</f>
        <v>0</v>
      </c>
      <c r="Q16" s="30">
        <f>IF('Peak Areas'!T12=0,0,((('Peak Areas'!T12*Coefficients!$G$51+Coefficients!$H$51)*$G16)))</f>
        <v>1.9455603402054547</v>
      </c>
      <c r="R16" s="30">
        <f>IF('Peak Areas'!U12=0,0,((('Peak Areas'!U12*Coefficients!$G$26+Coefficients!$H$26)*$G16)))</f>
        <v>3.3778387288630469</v>
      </c>
      <c r="S16" s="30">
        <f>IF('Peak Areas'!V12=0,0,((('Peak Areas'!V12*Coefficients!$G$13+Coefficients!$H$13)*$G16)))</f>
        <v>0.67365529959723491</v>
      </c>
      <c r="T16" s="30">
        <f>IF('Peak Areas'!W12=0,0,((('Peak Areas'!W12*Coefficients!$G$12+Coefficients!$H$12)*$G16)))</f>
        <v>0.80877216008422648</v>
      </c>
      <c r="U16" s="30">
        <f>IF('Peak Areas'!X12=0,0,((('Peak Areas'!X12*Coefficients!$G$27+Coefficients!$H$27)*$G16)))</f>
        <v>0.28347936840997878</v>
      </c>
      <c r="V16" s="30">
        <f>IF('Peak Areas'!Y12=0,0,((('Peak Areas'!Y12*Coefficients!$G$34+Coefficients!$H$34)*$G16)))</f>
        <v>2.8486067265930433</v>
      </c>
      <c r="W16" s="30">
        <f>IF('Peak Areas'!Z12=0,0,((('Peak Areas'!Z12*Coefficients!$G$52+Coefficients!$H$52)*$G16)))</f>
        <v>1.7680623496353929</v>
      </c>
      <c r="X16" s="30">
        <f>IF('Peak Areas'!AA12=0,0,((('Peak Areas'!AA12*Coefficients!$G$33+Coefficients!$H$33)*$G16)))</f>
        <v>0.33998935582126627</v>
      </c>
      <c r="Y16" s="30">
        <f>IF('Peak Areas'!AC12=0,0,((('Peak Areas'!AC12*Coefficients!$G$19+Coefficients!$H$19)*$G16)))</f>
        <v>4.6294240430631399</v>
      </c>
      <c r="Z16" s="30">
        <f>IF('Peak Areas'!AD12=0,0,((('Peak Areas'!AD12*Coefficients!$G$18+Coefficients!$H$18)*$G16)))</f>
        <v>0.93051342208463628</v>
      </c>
      <c r="AA16" s="30">
        <f>IF('Peak Areas'!AE12=0,0,((('Peak Areas'!AE12*Coefficients!$G$18+Coefficients!$H$18)*$G16)))</f>
        <v>39.457778627601691</v>
      </c>
      <c r="AB16" s="30">
        <f>IF('Peak Areas'!AF12=0,0,((('Peak Areas'!AF12*Coefficients!$G$18+Coefficients!$H$18)*$G16)))</f>
        <v>0.92271084728296693</v>
      </c>
      <c r="AC16" s="30">
        <f>IF('Peak Areas'!AG12=0,0,((('Peak Areas'!AG12*Coefficients!$G$7+Coefficients!$H$7)*$G16)))</f>
        <v>0.10906800678398992</v>
      </c>
      <c r="AD16" s="30">
        <f>IF('Peak Areas'!AH12=0,0,((('Peak Areas'!AH12*Coefficients!$G$6+Coefficients!$H$6)*$G16)))</f>
        <v>5.1890500807376787</v>
      </c>
      <c r="AF16" s="30">
        <f>IF('Peak Areas'!K12=0,0,((('Peak Areas'!K12*Coefficients!$G$22+Coefficients!$H$22)*$G16)))</f>
        <v>0.60940793561633722</v>
      </c>
      <c r="AG16" s="30">
        <f t="shared" ref="AG16:AG79" si="0">AA16+AF16</f>
        <v>40.06718656321803</v>
      </c>
      <c r="AH16" s="30">
        <f t="shared" ref="AH16:AH79" si="1">Z16+AA16+AB16+AF16</f>
        <v>41.920410832585631</v>
      </c>
    </row>
    <row r="17" spans="1:34" x14ac:dyDescent="0.25">
      <c r="A17" s="2">
        <f>'Peak Areas'!A13</f>
        <v>3</v>
      </c>
      <c r="B17" s="62">
        <f>'Peak Areas'!B13</f>
        <v>45809</v>
      </c>
      <c r="C17" s="2" t="str">
        <f>'Peak Areas'!C13</f>
        <v>solvent</v>
      </c>
      <c r="D17" s="2">
        <f>'Peak Areas'!D13</f>
        <v>0</v>
      </c>
      <c r="E17" s="2">
        <f>'Peak Areas'!E13</f>
        <v>0</v>
      </c>
      <c r="F17" s="30">
        <f>'Peak Areas'!F13</f>
        <v>0.1</v>
      </c>
      <c r="G17" s="30">
        <f>((1/'Peak Areas'!$G13)*(('Peak Areas'!$H13+('Internal Standard'!$E$10/1000))/'Peak Areas'!$F13)*'Peak Areas'!$J13)*H17</f>
        <v>4.574078082072066E-2</v>
      </c>
      <c r="H17" s="30">
        <f>(('Internal Standard'!$F$13*('Peak Areas'!G13/'Internal Standard'!$C$10))/'Peak Areas'!AB13)</f>
        <v>1.0762536663698978</v>
      </c>
      <c r="I17" s="30">
        <f>IF('Peak Areas'!L13=0,0,((('Peak Areas'!L13*Coefficients!$G$21+Coefficients!$H$21)*$G17)))</f>
        <v>0</v>
      </c>
      <c r="J17" s="30">
        <f>IF('Peak Areas'!M13=0,0,((('Peak Areas'!M13*Coefficients!$G$20+Coefficients!$H$20)*$G17)))</f>
        <v>0.29112936444782495</v>
      </c>
      <c r="K17" s="30">
        <f>IF('Peak Areas'!N13=0,0,((('Peak Areas'!N13*Coefficients!$G$41+Coefficients!$H$41)*$G17)))</f>
        <v>2.9376456980876844E-2</v>
      </c>
      <c r="L17" s="30">
        <f>IF('Peak Areas'!O13=0,0,((('Peak Areas'!O13*Coefficients!$G$10+Coefficients!$H$10)*$G17)))</f>
        <v>0</v>
      </c>
      <c r="M17" s="30">
        <f>IF('Peak Areas'!P13=0,0,((('Peak Areas'!P13*Coefficients!$G$32+Coefficients!$H$32)*$G17)))</f>
        <v>2.4532659510983921</v>
      </c>
      <c r="N17" s="30">
        <f>IF('Peak Areas'!Q13=0,0,((('Peak Areas'!Q13*Coefficients!$G$11+Coefficients!$H$11)*$G17)))</f>
        <v>0</v>
      </c>
      <c r="O17" s="30">
        <f>IF('Peak Areas'!R13=0,0,((('Peak Areas'!R13*Coefficients!$G$39+Coefficients!$H$39)*$G17)))</f>
        <v>1.0457875720167846</v>
      </c>
      <c r="P17" s="30">
        <f>IF('Peak Areas'!S13=0,0,((('Peak Areas'!S13*Coefficients!$G$46+Coefficients!$H$46)*$G17)))</f>
        <v>0</v>
      </c>
      <c r="Q17" s="30">
        <f>IF('Peak Areas'!T13=0,0,((('Peak Areas'!T13*Coefficients!$G$51+Coefficients!$H$51)*$G17)))</f>
        <v>1.2446564903747956</v>
      </c>
      <c r="R17" s="30">
        <f>IF('Peak Areas'!U13=0,0,((('Peak Areas'!U13*Coefficients!$G$26+Coefficients!$H$26)*$G17)))</f>
        <v>2.6035689309533772</v>
      </c>
      <c r="S17" s="30">
        <f>IF('Peak Areas'!V13=0,0,((('Peak Areas'!V13*Coefficients!$G$13+Coefficients!$H$13)*$G17)))</f>
        <v>0.43515591553177391</v>
      </c>
      <c r="T17" s="30">
        <f>IF('Peak Areas'!W13=0,0,((('Peak Areas'!W13*Coefficients!$G$12+Coefficients!$H$12)*$G17)))</f>
        <v>0.71865810657952323</v>
      </c>
      <c r="U17" s="30">
        <f>IF('Peak Areas'!X13=0,0,((('Peak Areas'!X13*Coefficients!$G$27+Coefficients!$H$27)*$G17)))</f>
        <v>0.18383020364570277</v>
      </c>
      <c r="V17" s="30">
        <f>IF('Peak Areas'!Y13=0,0,((('Peak Areas'!Y13*Coefficients!$G$34+Coefficients!$H$34)*$G17)))</f>
        <v>2.6847418025649947</v>
      </c>
      <c r="W17" s="30">
        <f>IF('Peak Areas'!Z13=0,0,((('Peak Areas'!Z13*Coefficients!$G$52+Coefficients!$H$52)*$G17)))</f>
        <v>1.9987793312941857</v>
      </c>
      <c r="X17" s="30">
        <f>IF('Peak Areas'!AA13=0,0,((('Peak Areas'!AA13*Coefficients!$G$33+Coefficients!$H$33)*$G17)))</f>
        <v>0.26857334957601131</v>
      </c>
      <c r="Y17" s="30">
        <f>IF('Peak Areas'!AC13=0,0,((('Peak Areas'!AC13*Coefficients!$G$19+Coefficients!$H$19)*$G17)))</f>
        <v>3.6250367946751001</v>
      </c>
      <c r="Z17" s="30">
        <f>IF('Peak Areas'!AD13=0,0,((('Peak Areas'!AD13*Coefficients!$G$18+Coefficients!$H$18)*$G17)))</f>
        <v>0.66759523130811915</v>
      </c>
      <c r="AA17" s="30">
        <f>IF('Peak Areas'!AE13=0,0,((('Peak Areas'!AE13*Coefficients!$G$18+Coefficients!$H$18)*$G17)))</f>
        <v>28.694267275224881</v>
      </c>
      <c r="AB17" s="30">
        <f>IF('Peak Areas'!AF13=0,0,((('Peak Areas'!AF13*Coefficients!$G$18+Coefficients!$H$18)*$G17)))</f>
        <v>0.76713829453190296</v>
      </c>
      <c r="AC17" s="30">
        <f>IF('Peak Areas'!AG13=0,0,((('Peak Areas'!AG13*Coefficients!$G$7+Coefficients!$H$7)*$G17)))</f>
        <v>0.40538618172428026</v>
      </c>
      <c r="AD17" s="30">
        <f>IF('Peak Areas'!AH13=0,0,((('Peak Areas'!AH13*Coefficients!$G$6+Coefficients!$H$6)*$G17)))</f>
        <v>4.6142342912270546</v>
      </c>
      <c r="AF17" s="30">
        <f>IF('Peak Areas'!K13=0,0,((('Peak Areas'!K13*Coefficients!$G$22+Coefficients!$H$22)*$G17)))</f>
        <v>0.42956676988218684</v>
      </c>
      <c r="AG17" s="30">
        <f t="shared" si="0"/>
        <v>29.123834045107067</v>
      </c>
      <c r="AH17" s="30">
        <f t="shared" si="1"/>
        <v>30.558567570947091</v>
      </c>
    </row>
    <row r="18" spans="1:34" x14ac:dyDescent="0.25">
      <c r="A18" s="2">
        <f>'Peak Areas'!A14</f>
        <v>4</v>
      </c>
      <c r="B18" s="62">
        <f>'Peak Areas'!B14</f>
        <v>45809</v>
      </c>
      <c r="C18" s="2" t="str">
        <f>'Peak Areas'!C14</f>
        <v>solvent</v>
      </c>
      <c r="D18" s="2">
        <f>'Peak Areas'!D14</f>
        <v>0</v>
      </c>
      <c r="E18" s="2">
        <f>'Peak Areas'!E14</f>
        <v>0</v>
      </c>
      <c r="F18" s="30">
        <f>'Peak Areas'!F14</f>
        <v>0.1</v>
      </c>
      <c r="G18" s="30">
        <f>((1/'Peak Areas'!$G14)*(('Peak Areas'!$H14+('Internal Standard'!$E$10/1000))/'Peak Areas'!$F14)*'Peak Areas'!$J14)*H18</f>
        <v>5.0809275449810246E-2</v>
      </c>
      <c r="H18" s="30">
        <f>(('Internal Standard'!$F$13*('Peak Areas'!G14/'Internal Standard'!$C$10))/'Peak Areas'!AB14)</f>
        <v>1.1955123635249469</v>
      </c>
      <c r="I18" s="30">
        <f>IF('Peak Areas'!L14=0,0,((('Peak Areas'!L14*Coefficients!$G$21+Coefficients!$H$21)*$G18)))</f>
        <v>0</v>
      </c>
      <c r="J18" s="30">
        <f>IF('Peak Areas'!M14=0,0,((('Peak Areas'!M14*Coefficients!$G$20+Coefficients!$H$20)*$G18)))</f>
        <v>0.29778043619105277</v>
      </c>
      <c r="K18" s="30">
        <f>IF('Peak Areas'!N14=0,0,((('Peak Areas'!N14*Coefficients!$G$41+Coefficients!$H$41)*$G18)))</f>
        <v>9.5347488632873012E-2</v>
      </c>
      <c r="L18" s="30">
        <f>IF('Peak Areas'!O14=0,0,((('Peak Areas'!O14*Coefficients!$G$10+Coefficients!$H$10)*$G18)))</f>
        <v>0</v>
      </c>
      <c r="M18" s="30">
        <f>IF('Peak Areas'!P14=0,0,((('Peak Areas'!P14*Coefficients!$G$32+Coefficients!$H$32)*$G18)))</f>
        <v>2.252253745607196</v>
      </c>
      <c r="N18" s="30">
        <f>IF('Peak Areas'!Q14=0,0,((('Peak Areas'!Q14*Coefficients!$G$11+Coefficients!$H$11)*$G18)))</f>
        <v>0</v>
      </c>
      <c r="O18" s="30">
        <f>IF('Peak Areas'!R14=0,0,((('Peak Areas'!R14*Coefficients!$G$39+Coefficients!$H$39)*$G18)))</f>
        <v>0.94664117668015269</v>
      </c>
      <c r="P18" s="30">
        <f>IF('Peak Areas'!S14=0,0,((('Peak Areas'!S14*Coefficients!$G$46+Coefficients!$H$46)*$G18)))</f>
        <v>0</v>
      </c>
      <c r="Q18" s="30">
        <f>IF('Peak Areas'!T14=0,0,((('Peak Areas'!T14*Coefficients!$G$51+Coefficients!$H$51)*$G18)))</f>
        <v>1.1393044493368283</v>
      </c>
      <c r="R18" s="30">
        <f>IF('Peak Areas'!U14=0,0,((('Peak Areas'!U14*Coefficients!$G$26+Coefficients!$H$26)*$G18)))</f>
        <v>2.5020997684057309</v>
      </c>
      <c r="S18" s="30">
        <f>IF('Peak Areas'!V14=0,0,((('Peak Areas'!V14*Coefficients!$G$13+Coefficients!$H$13)*$G18)))</f>
        <v>0.39686248246208217</v>
      </c>
      <c r="T18" s="30">
        <f>IF('Peak Areas'!W14=0,0,((('Peak Areas'!W14*Coefficients!$G$12+Coefficients!$H$12)*$G18)))</f>
        <v>0.70373899875074675</v>
      </c>
      <c r="U18" s="30">
        <f>IF('Peak Areas'!X14=0,0,((('Peak Areas'!X14*Coefficients!$G$27+Coefficients!$H$27)*$G18)))</f>
        <v>0.18095604842683782</v>
      </c>
      <c r="V18" s="30">
        <f>IF('Peak Areas'!Y14=0,0,((('Peak Areas'!Y14*Coefficients!$G$34+Coefficients!$H$34)*$G18)))</f>
        <v>2.6712527413011107</v>
      </c>
      <c r="W18" s="30">
        <f>IF('Peak Areas'!Z14=0,0,((('Peak Areas'!Z14*Coefficients!$G$52+Coefficients!$H$52)*$G18)))</f>
        <v>2.052395831187575</v>
      </c>
      <c r="X18" s="30">
        <f>IF('Peak Areas'!AA14=0,0,((('Peak Areas'!AA14*Coefficients!$G$33+Coefficients!$H$33)*$G18)))</f>
        <v>0.2614811048010327</v>
      </c>
      <c r="Y18" s="30">
        <f>IF('Peak Areas'!AC14=0,0,((('Peak Areas'!AC14*Coefficients!$G$19+Coefficients!$H$19)*$G18)))</f>
        <v>3.4128194159716863</v>
      </c>
      <c r="Z18" s="30">
        <f>IF('Peak Areas'!AD14=0,0,((('Peak Areas'!AD14*Coefficients!$G$18+Coefficients!$H$18)*$G18)))</f>
        <v>0.62713683418227972</v>
      </c>
      <c r="AA18" s="30">
        <f>IF('Peak Areas'!AE14=0,0,((('Peak Areas'!AE14*Coefficients!$G$18+Coefficients!$H$18)*$G18)))</f>
        <v>26.976652887933923</v>
      </c>
      <c r="AB18" s="30">
        <f>IF('Peak Areas'!AF14=0,0,((('Peak Areas'!AF14*Coefficients!$G$18+Coefficients!$H$18)*$G18)))</f>
        <v>0.73199380570938977</v>
      </c>
      <c r="AC18" s="30">
        <f>IF('Peak Areas'!AG14=0,0,((('Peak Areas'!AG14*Coefficients!$G$7+Coefficients!$H$7)*$G18)))</f>
        <v>0.4025289105921066</v>
      </c>
      <c r="AD18" s="30">
        <f>IF('Peak Areas'!AH14=0,0,((('Peak Areas'!AH14*Coefficients!$G$6+Coefficients!$H$6)*$G18)))</f>
        <v>4.461507504721328</v>
      </c>
      <c r="AF18" s="30">
        <f>IF('Peak Areas'!K14=0,0,((('Peak Areas'!K14*Coefficients!$G$22+Coefficients!$H$22)*$G18)))</f>
        <v>0.40203249252058365</v>
      </c>
      <c r="AG18" s="30">
        <f t="shared" si="0"/>
        <v>27.378685380454506</v>
      </c>
      <c r="AH18" s="30">
        <f t="shared" si="1"/>
        <v>28.737816020346177</v>
      </c>
    </row>
    <row r="19" spans="1:34" x14ac:dyDescent="0.25">
      <c r="A19" s="2">
        <f>'Peak Areas'!A15</f>
        <v>5</v>
      </c>
      <c r="B19" s="62">
        <f>'Peak Areas'!B15</f>
        <v>45809</v>
      </c>
      <c r="C19" s="2" t="str">
        <f>'Peak Areas'!C15</f>
        <v xml:space="preserve">solvent nut </v>
      </c>
      <c r="D19" s="2">
        <f>'Peak Areas'!D15</f>
        <v>0</v>
      </c>
      <c r="E19" s="2">
        <f>'Peak Areas'!E15</f>
        <v>0</v>
      </c>
      <c r="F19" s="30">
        <f>'Peak Areas'!F15</f>
        <v>0.1</v>
      </c>
      <c r="G19" s="30">
        <f>((1/'Peak Areas'!$G15)*(('Peak Areas'!$H15+('Internal Standard'!$E$10/1000))/'Peak Areas'!$F15)*'Peak Areas'!$J15)*H19</f>
        <v>4.515489651323612E-2</v>
      </c>
      <c r="H19" s="30">
        <f>(('Internal Standard'!$F$13*('Peak Areas'!G15/'Internal Standard'!$C$10))/'Peak Areas'!AB15)</f>
        <v>1.0624681532526146</v>
      </c>
      <c r="I19" s="30">
        <f>IF('Peak Areas'!L15=0,0,((('Peak Areas'!L15*Coefficients!$G$21+Coefficients!$H$21)*$G19)))</f>
        <v>0</v>
      </c>
      <c r="J19" s="30">
        <f>IF('Peak Areas'!M15=0,0,((('Peak Areas'!M15*Coefficients!$G$20+Coefficients!$H$20)*$G19)))</f>
        <v>0.25366758238583165</v>
      </c>
      <c r="K19" s="30">
        <f>IF('Peak Areas'!N15=0,0,((('Peak Areas'!N15*Coefficients!$G$41+Coefficients!$H$41)*$G19)))</f>
        <v>9.1497056139082336E-2</v>
      </c>
      <c r="L19" s="30">
        <f>IF('Peak Areas'!O15=0,0,((('Peak Areas'!O15*Coefficients!$G$10+Coefficients!$H$10)*$G19)))</f>
        <v>0</v>
      </c>
      <c r="M19" s="30">
        <f>IF('Peak Areas'!P15=0,0,((('Peak Areas'!P15*Coefficients!$G$32+Coefficients!$H$32)*$G19)))</f>
        <v>1.6472953675706263</v>
      </c>
      <c r="N19" s="30">
        <f>IF('Peak Areas'!Q15=0,0,((('Peak Areas'!Q15*Coefficients!$G$11+Coefficients!$H$11)*$G19)))</f>
        <v>7.211617995599176E-2</v>
      </c>
      <c r="O19" s="30">
        <f>IF('Peak Areas'!R15=0,0,((('Peak Areas'!R15*Coefficients!$G$39+Coefficients!$H$39)*$G19)))</f>
        <v>1.4929869744913336</v>
      </c>
      <c r="P19" s="30">
        <f>IF('Peak Areas'!S15=0,0,((('Peak Areas'!S15*Coefficients!$G$46+Coefficients!$H$46)*$G19)))</f>
        <v>0</v>
      </c>
      <c r="Q19" s="30">
        <f>IF('Peak Areas'!T15=0,0,((('Peak Areas'!T15*Coefficients!$G$51+Coefficients!$H$51)*$G19)))</f>
        <v>1.3345017360439393</v>
      </c>
      <c r="R19" s="30">
        <f>IF('Peak Areas'!U15=0,0,((('Peak Areas'!U15*Coefficients!$G$26+Coefficients!$H$26)*$G19)))</f>
        <v>2.0574367436338501</v>
      </c>
      <c r="S19" s="30">
        <f>IF('Peak Areas'!V15=0,0,((('Peak Areas'!V15*Coefficients!$G$13+Coefficients!$H$13)*$G19)))</f>
        <v>0.33213346374665131</v>
      </c>
      <c r="T19" s="30">
        <f>IF('Peak Areas'!W15=0,0,((('Peak Areas'!W15*Coefficients!$G$12+Coefficients!$H$12)*$G19)))</f>
        <v>0.76999701071395876</v>
      </c>
      <c r="U19" s="30">
        <f>IF('Peak Areas'!X15=0,0,((('Peak Areas'!X15*Coefficients!$G$27+Coefficients!$H$27)*$G19)))</f>
        <v>0.16512996509080052</v>
      </c>
      <c r="V19" s="30">
        <f>IF('Peak Areas'!Y15=0,0,((('Peak Areas'!Y15*Coefficients!$G$34+Coefficients!$H$34)*$G19)))</f>
        <v>3.8243812220978888</v>
      </c>
      <c r="W19" s="30">
        <f>IF('Peak Areas'!Z15=0,0,((('Peak Areas'!Z15*Coefficients!$G$52+Coefficients!$H$52)*$G19)))</f>
        <v>1.8172660372705602</v>
      </c>
      <c r="X19" s="30">
        <f>IF('Peak Areas'!AA15=0,0,((('Peak Areas'!AA15*Coefficients!$G$33+Coefficients!$H$33)*$G19)))</f>
        <v>0.31061416412025428</v>
      </c>
      <c r="Y19" s="30">
        <f>IF('Peak Areas'!AC15=0,0,((('Peak Areas'!AC15*Coefficients!$G$19+Coefficients!$H$19)*$G19)))</f>
        <v>5.1653965815773475</v>
      </c>
      <c r="Z19" s="30">
        <f>IF('Peak Areas'!AD15=0,0,((('Peak Areas'!AD15*Coefficients!$G$18+Coefficients!$H$18)*$G19)))</f>
        <v>0.8072044362620715</v>
      </c>
      <c r="AA19" s="30">
        <f>IF('Peak Areas'!AE15=0,0,((('Peak Areas'!AE15*Coefficients!$G$18+Coefficients!$H$18)*$G19)))</f>
        <v>32.614315870178253</v>
      </c>
      <c r="AB19" s="30">
        <f>IF('Peak Areas'!AF15=0,0,((('Peak Areas'!AF15*Coefficients!$G$18+Coefficients!$H$18)*$G19)))</f>
        <v>0.8048349330675395</v>
      </c>
      <c r="AC19" s="30">
        <f>IF('Peak Areas'!AG15=0,0,((('Peak Areas'!AG15*Coefficients!$G$7+Coefficients!$H$7)*$G19)))</f>
        <v>0.70703276698438777</v>
      </c>
      <c r="AD19" s="30">
        <f>IF('Peak Areas'!AH15=0,0,((('Peak Areas'!AH15*Coefficients!$G$6+Coefficients!$H$6)*$G19)))</f>
        <v>4.7311488478174892</v>
      </c>
      <c r="AF19" s="30">
        <f>IF('Peak Areas'!K15=0,0,((('Peak Areas'!K15*Coefficients!$G$22+Coefficients!$H$22)*$G19)))</f>
        <v>0.40171944646930047</v>
      </c>
      <c r="AG19" s="30">
        <f t="shared" si="0"/>
        <v>33.016035316647553</v>
      </c>
      <c r="AH19" s="30">
        <f t="shared" si="1"/>
        <v>34.628074685977161</v>
      </c>
    </row>
    <row r="20" spans="1:34" x14ac:dyDescent="0.25">
      <c r="A20" s="2">
        <f>'Peak Areas'!A16</f>
        <v>6</v>
      </c>
      <c r="B20" s="62">
        <f>'Peak Areas'!B16</f>
        <v>45809</v>
      </c>
      <c r="C20" s="2" t="str">
        <f>'Peak Areas'!C16</f>
        <v xml:space="preserve">solvent nut </v>
      </c>
      <c r="D20" s="2">
        <f>'Peak Areas'!D16</f>
        <v>0</v>
      </c>
      <c r="E20" s="2">
        <f>'Peak Areas'!E16</f>
        <v>0</v>
      </c>
      <c r="F20" s="30">
        <f>'Peak Areas'!F16</f>
        <v>0.1</v>
      </c>
      <c r="G20" s="30">
        <f>((1/'Peak Areas'!$G16)*(('Peak Areas'!$H16+('Internal Standard'!$E$10/1000))/'Peak Areas'!$F16)*'Peak Areas'!$J16)*H20</f>
        <v>4.6583871986071057E-2</v>
      </c>
      <c r="H20" s="30">
        <f>(('Internal Standard'!$F$13*('Peak Areas'!G16/'Internal Standard'!$C$10))/'Peak Areas'!AB16)</f>
        <v>1.096091105554613</v>
      </c>
      <c r="I20" s="30">
        <f>IF('Peak Areas'!L16=0,0,((('Peak Areas'!L16*Coefficients!$G$21+Coefficients!$H$21)*$G20)))</f>
        <v>0</v>
      </c>
      <c r="J20" s="30">
        <f>IF('Peak Areas'!M16=0,0,((('Peak Areas'!M16*Coefficients!$G$20+Coefficients!$H$20)*$G20)))</f>
        <v>0.28961627799526857</v>
      </c>
      <c r="K20" s="30">
        <f>IF('Peak Areas'!N16=0,0,((('Peak Areas'!N16*Coefficients!$G$41+Coefficients!$H$41)*$G20)))</f>
        <v>7.4439216439134218E-2</v>
      </c>
      <c r="L20" s="30">
        <f>IF('Peak Areas'!O16=0,0,((('Peak Areas'!O16*Coefficients!$G$10+Coefficients!$H$10)*$G20)))</f>
        <v>0</v>
      </c>
      <c r="M20" s="30">
        <f>IF('Peak Areas'!P16=0,0,((('Peak Areas'!P16*Coefficients!$G$32+Coefficients!$H$32)*$G20)))</f>
        <v>1.6744973131381637</v>
      </c>
      <c r="N20" s="30">
        <f>IF('Peak Areas'!Q16=0,0,((('Peak Areas'!Q16*Coefficients!$G$11+Coefficients!$H$11)*$G20)))</f>
        <v>8.9988905690379623E-2</v>
      </c>
      <c r="O20" s="30">
        <f>IF('Peak Areas'!R16=0,0,((('Peak Areas'!R16*Coefficients!$G$39+Coefficients!$H$39)*$G20)))</f>
        <v>1.5749039495947701</v>
      </c>
      <c r="P20" s="30">
        <f>IF('Peak Areas'!S16=0,0,((('Peak Areas'!S16*Coefficients!$G$46+Coefficients!$H$46)*$G20)))</f>
        <v>0</v>
      </c>
      <c r="Q20" s="30">
        <f>IF('Peak Areas'!T16=0,0,((('Peak Areas'!T16*Coefficients!$G$51+Coefficients!$H$51)*$G20)))</f>
        <v>1.4156016060586492</v>
      </c>
      <c r="R20" s="30">
        <f>IF('Peak Areas'!U16=0,0,((('Peak Areas'!U16*Coefficients!$G$26+Coefficients!$H$26)*$G20)))</f>
        <v>2.1827260844717111</v>
      </c>
      <c r="S20" s="30">
        <f>IF('Peak Areas'!V16=0,0,((('Peak Areas'!V16*Coefficients!$G$13+Coefficients!$H$13)*$G20)))</f>
        <v>0.35431155046555041</v>
      </c>
      <c r="T20" s="30">
        <f>IF('Peak Areas'!W16=0,0,((('Peak Areas'!W16*Coefficients!$G$12+Coefficients!$H$12)*$G20)))</f>
        <v>0.83774193988699897</v>
      </c>
      <c r="U20" s="30">
        <f>IF('Peak Areas'!X16=0,0,((('Peak Areas'!X16*Coefficients!$G$27+Coefficients!$H$27)*$G20)))</f>
        <v>0.175554096699086</v>
      </c>
      <c r="V20" s="30">
        <f>IF('Peak Areas'!Y16=0,0,((('Peak Areas'!Y16*Coefficients!$G$34+Coefficients!$H$34)*$G20)))</f>
        <v>4.3998407034301437</v>
      </c>
      <c r="W20" s="30">
        <f>IF('Peak Areas'!Z16=0,0,((('Peak Areas'!Z16*Coefficients!$G$52+Coefficients!$H$52)*$G20)))</f>
        <v>1.9488273206636659</v>
      </c>
      <c r="X20" s="30">
        <f>IF('Peak Areas'!AA16=0,0,((('Peak Areas'!AA16*Coefficients!$G$33+Coefficients!$H$33)*$G20)))</f>
        <v>0.27610353895534157</v>
      </c>
      <c r="Y20" s="30">
        <f>IF('Peak Areas'!AC16=0,0,((('Peak Areas'!AC16*Coefficients!$G$19+Coefficients!$H$19)*$G20)))</f>
        <v>5.7107000919201489</v>
      </c>
      <c r="Z20" s="30">
        <f>IF('Peak Areas'!AD16=0,0,((('Peak Areas'!AD16*Coefficients!$G$18+Coefficients!$H$18)*$G20)))</f>
        <v>0.90262255702434246</v>
      </c>
      <c r="AA20" s="30">
        <f>IF('Peak Areas'!AE16=0,0,((('Peak Areas'!AE16*Coefficients!$G$18+Coefficients!$H$18)*$G20)))</f>
        <v>34.488704143672436</v>
      </c>
      <c r="AB20" s="30">
        <f>IF('Peak Areas'!AF16=0,0,((('Peak Areas'!AF16*Coefficients!$G$18+Coefficients!$H$18)*$G20)))</f>
        <v>0.90690530119602819</v>
      </c>
      <c r="AC20" s="30">
        <f>IF('Peak Areas'!AG16=0,0,((('Peak Areas'!AG16*Coefficients!$G$7+Coefficients!$H$7)*$G20)))</f>
        <v>0.78063290528029416</v>
      </c>
      <c r="AD20" s="30">
        <f>IF('Peak Areas'!AH16=0,0,((('Peak Areas'!AH16*Coefficients!$G$6+Coefficients!$H$6)*$G20)))</f>
        <v>5.0917548655435096</v>
      </c>
      <c r="AF20" s="30">
        <f>IF('Peak Areas'!K16=0,0,((('Peak Areas'!K16*Coefficients!$G$22+Coefficients!$H$22)*$G20)))</f>
        <v>0.50747899350280867</v>
      </c>
      <c r="AG20" s="30">
        <f t="shared" si="0"/>
        <v>34.996183137175244</v>
      </c>
      <c r="AH20" s="30">
        <f t="shared" si="1"/>
        <v>36.805710995395614</v>
      </c>
    </row>
    <row r="21" spans="1:34" x14ac:dyDescent="0.25">
      <c r="A21" s="2">
        <f>'Peak Areas'!A17</f>
        <v>7</v>
      </c>
      <c r="B21" s="62">
        <f>'Peak Areas'!B17</f>
        <v>45809</v>
      </c>
      <c r="C21" s="2" t="str">
        <f>'Peak Areas'!C17</f>
        <v>C low</v>
      </c>
      <c r="D21" s="2">
        <f>'Peak Areas'!D17</f>
        <v>0</v>
      </c>
      <c r="E21" s="2">
        <f>'Peak Areas'!E17</f>
        <v>0</v>
      </c>
      <c r="F21" s="30">
        <f>'Peak Areas'!F17</f>
        <v>0.1</v>
      </c>
      <c r="G21" s="30">
        <f>((1/'Peak Areas'!$G17)*(('Peak Areas'!$H17+('Internal Standard'!$E$10/1000))/'Peak Areas'!$F17)*'Peak Areas'!$J17)*H21</f>
        <v>4.7990048108331143E-2</v>
      </c>
      <c r="H21" s="30">
        <f>(('Internal Standard'!$F$13*('Peak Areas'!G17/'Internal Standard'!$C$10))/'Peak Areas'!AB17)</f>
        <v>1.1291776025489679</v>
      </c>
      <c r="I21" s="30">
        <f>IF('Peak Areas'!L17=0,0,((('Peak Areas'!L17*Coefficients!$G$21+Coefficients!$H$21)*$G21)))</f>
        <v>0</v>
      </c>
      <c r="J21" s="30">
        <f>IF('Peak Areas'!M17=0,0,((('Peak Areas'!M17*Coefficients!$G$20+Coefficients!$H$20)*$G21)))</f>
        <v>0.52761895450643881</v>
      </c>
      <c r="K21" s="30">
        <f>IF('Peak Areas'!N17=0,0,((('Peak Areas'!N17*Coefficients!$G$41+Coefficients!$H$41)*$G21)))</f>
        <v>0.10898086707387668</v>
      </c>
      <c r="L21" s="30">
        <f>IF('Peak Areas'!O17=0,0,((('Peak Areas'!O17*Coefficients!$G$10+Coefficients!$H$10)*$G21)))</f>
        <v>0</v>
      </c>
      <c r="M21" s="30">
        <f>IF('Peak Areas'!P17=0,0,((('Peak Areas'!P17*Coefficients!$G$32+Coefficients!$H$32)*$G21)))</f>
        <v>4.7697088553026923</v>
      </c>
      <c r="N21" s="30">
        <f>IF('Peak Areas'!Q17=0,0,((('Peak Areas'!Q17*Coefficients!$G$11+Coefficients!$H$11)*$G21)))</f>
        <v>0</v>
      </c>
      <c r="O21" s="30">
        <f>IF('Peak Areas'!R17=0,0,((('Peak Areas'!R17*Coefficients!$G$39+Coefficients!$H$39)*$G21)))</f>
        <v>0.71395398179031533</v>
      </c>
      <c r="P21" s="30">
        <f>IF('Peak Areas'!S17=0,0,((('Peak Areas'!S17*Coefficients!$G$46+Coefficients!$H$46)*$G21)))</f>
        <v>0</v>
      </c>
      <c r="Q21" s="30">
        <f>IF('Peak Areas'!T17=0,0,((('Peak Areas'!T17*Coefficients!$G$51+Coefficients!$H$51)*$G21)))</f>
        <v>1.7619138790812201</v>
      </c>
      <c r="R21" s="30">
        <f>IF('Peak Areas'!U17=0,0,((('Peak Areas'!U17*Coefficients!$G$26+Coefficients!$H$26)*$G21)))</f>
        <v>2.9621109960273757</v>
      </c>
      <c r="S21" s="30">
        <f>IF('Peak Areas'!V17=0,0,((('Peak Areas'!V17*Coefficients!$G$13+Coefficients!$H$13)*$G21)))</f>
        <v>0.34177963232895997</v>
      </c>
      <c r="T21" s="30">
        <f>IF('Peak Areas'!W17=0,0,((('Peak Areas'!W17*Coefficients!$G$12+Coefficients!$H$12)*$G21)))</f>
        <v>0.77273989459264536</v>
      </c>
      <c r="U21" s="30">
        <f>IF('Peak Areas'!X17=0,0,((('Peak Areas'!X17*Coefficients!$G$27+Coefficients!$H$27)*$G21)))</f>
        <v>0.22107227561570447</v>
      </c>
      <c r="V21" s="30">
        <f>IF('Peak Areas'!Y17=0,0,((('Peak Areas'!Y17*Coefficients!$G$34+Coefficients!$H$34)*$G21)))</f>
        <v>3.2393113933552655</v>
      </c>
      <c r="W21" s="30">
        <f>IF('Peak Areas'!Z17=0,0,((('Peak Areas'!Z17*Coefficients!$G$52+Coefficients!$H$52)*$G21)))</f>
        <v>1.5854061425228059</v>
      </c>
      <c r="X21" s="30">
        <f>IF('Peak Areas'!AA17=0,0,((('Peak Areas'!AA17*Coefficients!$G$33+Coefficients!$H$33)*$G21)))</f>
        <v>0.34715201490459141</v>
      </c>
      <c r="Y21" s="30">
        <f>IF('Peak Areas'!AC17=0,0,((('Peak Areas'!AC17*Coefficients!$G$19+Coefficients!$H$19)*$G21)))</f>
        <v>4.9151275583061746</v>
      </c>
      <c r="Z21" s="30">
        <f>IF('Peak Areas'!AD17=0,0,((('Peak Areas'!AD17*Coefficients!$G$18+Coefficients!$H$18)*$G21)))</f>
        <v>0.87567569396600764</v>
      </c>
      <c r="AA21" s="30">
        <f>IF('Peak Areas'!AE17=0,0,((('Peak Areas'!AE17*Coefficients!$G$18+Coefficients!$H$18)*$G21)))</f>
        <v>42.094886599175588</v>
      </c>
      <c r="AB21" s="30">
        <f>IF('Peak Areas'!AF17=0,0,((('Peak Areas'!AF17*Coefficients!$G$18+Coefficients!$H$18)*$G21)))</f>
        <v>1.073995105262225</v>
      </c>
      <c r="AC21" s="30">
        <f>IF('Peak Areas'!AG17=0,0,((('Peak Areas'!AG17*Coefficients!$G$7+Coefficients!$H$7)*$G21)))</f>
        <v>0.11772690441890273</v>
      </c>
      <c r="AD21" s="30">
        <f>IF('Peak Areas'!AH17=0,0,((('Peak Areas'!AH17*Coefficients!$G$6+Coefficients!$H$6)*$G21)))</f>
        <v>5.5038062550480102</v>
      </c>
      <c r="AF21" s="30">
        <f>IF('Peak Areas'!K17=0,0,((('Peak Areas'!K17*Coefficients!$G$22+Coefficients!$H$22)*$G21)))</f>
        <v>0.51051391505022636</v>
      </c>
      <c r="AG21" s="30">
        <f t="shared" si="0"/>
        <v>42.605400514225813</v>
      </c>
      <c r="AH21" s="30">
        <f t="shared" si="1"/>
        <v>44.55507131345405</v>
      </c>
    </row>
    <row r="22" spans="1:34" x14ac:dyDescent="0.25">
      <c r="A22" s="2">
        <f>'Peak Areas'!A18</f>
        <v>8</v>
      </c>
      <c r="B22" s="62">
        <f>'Peak Areas'!B18</f>
        <v>45809</v>
      </c>
      <c r="C22" s="2" t="str">
        <f>'Peak Areas'!C18</f>
        <v>C low</v>
      </c>
      <c r="D22" s="2">
        <f>'Peak Areas'!D18</f>
        <v>0</v>
      </c>
      <c r="E22" s="2">
        <f>'Peak Areas'!E18</f>
        <v>0</v>
      </c>
      <c r="F22" s="30">
        <f>'Peak Areas'!F18</f>
        <v>0.1</v>
      </c>
      <c r="G22" s="30">
        <f>((1/'Peak Areas'!$G18)*(('Peak Areas'!$H18+('Internal Standard'!$E$10/1000))/'Peak Areas'!$F18)*'Peak Areas'!$J18)*H22</f>
        <v>4.5239541438538401E-2</v>
      </c>
      <c r="H22" s="30">
        <f>(('Internal Standard'!$F$13*('Peak Areas'!G18/'Internal Standard'!$C$10))/'Peak Areas'!AB18)</f>
        <v>1.0644597985538446</v>
      </c>
      <c r="I22" s="30">
        <f>IF('Peak Areas'!L18=0,0,((('Peak Areas'!L18*Coefficients!$G$21+Coefficients!$H$21)*$G22)))</f>
        <v>0</v>
      </c>
      <c r="J22" s="30">
        <f>IF('Peak Areas'!M18=0,0,((('Peak Areas'!M18*Coefficients!$G$20+Coefficients!$H$20)*$G22)))</f>
        <v>0.51927735711463663</v>
      </c>
      <c r="K22" s="30">
        <f>IF('Peak Areas'!N18=0,0,((('Peak Areas'!N18*Coefficients!$G$41+Coefficients!$H$41)*$G22)))</f>
        <v>0.10663534947826819</v>
      </c>
      <c r="L22" s="30">
        <f>IF('Peak Areas'!O18=0,0,((('Peak Areas'!O18*Coefficients!$G$10+Coefficients!$H$10)*$G22)))</f>
        <v>0</v>
      </c>
      <c r="M22" s="30">
        <f>IF('Peak Areas'!P18=0,0,((('Peak Areas'!P18*Coefficients!$G$32+Coefficients!$H$32)*$G22)))</f>
        <v>5.0278102273428802</v>
      </c>
      <c r="N22" s="30">
        <f>IF('Peak Areas'!Q18=0,0,((('Peak Areas'!Q18*Coefficients!$G$11+Coefficients!$H$11)*$G22)))</f>
        <v>0</v>
      </c>
      <c r="O22" s="30">
        <f>IF('Peak Areas'!R18=0,0,((('Peak Areas'!R18*Coefficients!$G$39+Coefficients!$H$39)*$G22)))</f>
        <v>0.64167618789854264</v>
      </c>
      <c r="P22" s="30">
        <f>IF('Peak Areas'!S18=0,0,((('Peak Areas'!S18*Coefficients!$G$46+Coefficients!$H$46)*$G22)))</f>
        <v>0</v>
      </c>
      <c r="Q22" s="30">
        <f>IF('Peak Areas'!T18=0,0,((('Peak Areas'!T18*Coefficients!$G$51+Coefficients!$H$51)*$G22)))</f>
        <v>1.6639954275932023</v>
      </c>
      <c r="R22" s="30">
        <f>IF('Peak Areas'!U18=0,0,((('Peak Areas'!U18*Coefficients!$G$26+Coefficients!$H$26)*$G22)))</f>
        <v>3.0212029686654596</v>
      </c>
      <c r="S22" s="30">
        <f>IF('Peak Areas'!V18=0,0,((('Peak Areas'!V18*Coefficients!$G$13+Coefficients!$H$13)*$G22)))</f>
        <v>0.25448715390976762</v>
      </c>
      <c r="T22" s="30">
        <f>IF('Peak Areas'!W18=0,0,((('Peak Areas'!W18*Coefficients!$G$12+Coefficients!$H$12)*$G22)))</f>
        <v>0.73044271803930916</v>
      </c>
      <c r="U22" s="30">
        <f>IF('Peak Areas'!X18=0,0,((('Peak Areas'!X18*Coefficients!$G$27+Coefficients!$H$27)*$G22)))</f>
        <v>0.21643171837637354</v>
      </c>
      <c r="V22" s="30">
        <f>IF('Peak Areas'!Y18=0,0,((('Peak Areas'!Y18*Coefficients!$G$34+Coefficients!$H$34)*$G22)))</f>
        <v>2.8926605478992027</v>
      </c>
      <c r="W22" s="30">
        <f>IF('Peak Areas'!Z18=0,0,((('Peak Areas'!Z18*Coefficients!$G$52+Coefficients!$H$52)*$G22)))</f>
        <v>1.579456085649122</v>
      </c>
      <c r="X22" s="30">
        <f>IF('Peak Areas'!AA18=0,0,((('Peak Areas'!AA18*Coefficients!$G$33+Coefficients!$H$33)*$G22)))</f>
        <v>0.30116669438074223</v>
      </c>
      <c r="Y22" s="30">
        <f>IF('Peak Areas'!AC18=0,0,((('Peak Areas'!AC18*Coefficients!$G$19+Coefficients!$H$19)*$G22)))</f>
        <v>4.4601082060416752</v>
      </c>
      <c r="Z22" s="30">
        <f>IF('Peak Areas'!AD18=0,0,((('Peak Areas'!AD18*Coefficients!$G$18+Coefficients!$H$18)*$G22)))</f>
        <v>0.75107819494379069</v>
      </c>
      <c r="AA22" s="30">
        <f>IF('Peak Areas'!AE18=0,0,((('Peak Areas'!AE18*Coefficients!$G$18+Coefficients!$H$18)*$G22)))</f>
        <v>41.929071274497645</v>
      </c>
      <c r="AB22" s="30">
        <f>IF('Peak Areas'!AF18=0,0,((('Peak Areas'!AF18*Coefficients!$G$18+Coefficients!$H$18)*$G22)))</f>
        <v>1.1041312859725423</v>
      </c>
      <c r="AC22" s="30">
        <f>IF('Peak Areas'!AG18=0,0,((('Peak Areas'!AG18*Coefficients!$G$7+Coefficients!$H$7)*$G22)))</f>
        <v>0.11930024299619264</v>
      </c>
      <c r="AD22" s="30">
        <f>IF('Peak Areas'!AH18=0,0,((('Peak Areas'!AH18*Coefficients!$G$6+Coefficients!$H$6)*$G22)))</f>
        <v>5.3273556668374864</v>
      </c>
      <c r="AF22" s="30">
        <f>IF('Peak Areas'!K18=0,0,((('Peak Areas'!K18*Coefficients!$G$22+Coefficients!$H$22)*$G22)))</f>
        <v>0.46549955470464965</v>
      </c>
      <c r="AG22" s="30">
        <f t="shared" si="0"/>
        <v>42.394570829202294</v>
      </c>
      <c r="AH22" s="30">
        <f t="shared" si="1"/>
        <v>44.249780310118631</v>
      </c>
    </row>
    <row r="23" spans="1:34" x14ac:dyDescent="0.25">
      <c r="A23" s="2">
        <f>'Peak Areas'!A19</f>
        <v>9</v>
      </c>
      <c r="B23" s="62">
        <f>'Peak Areas'!B19</f>
        <v>45809</v>
      </c>
      <c r="C23" s="2" t="str">
        <f>'Peak Areas'!C19</f>
        <v xml:space="preserve">C high </v>
      </c>
      <c r="D23" s="2">
        <f>'Peak Areas'!D19</f>
        <v>0</v>
      </c>
      <c r="E23" s="2">
        <f>'Peak Areas'!E19</f>
        <v>0</v>
      </c>
      <c r="F23" s="30">
        <f>'Peak Areas'!F19</f>
        <v>0.1</v>
      </c>
      <c r="G23" s="30">
        <f>((1/'Peak Areas'!$G19)*(('Peak Areas'!$H19+('Internal Standard'!$E$10/1000))/'Peak Areas'!$F19)*'Peak Areas'!$J19)*H23</f>
        <v>4.5691491320680601E-2</v>
      </c>
      <c r="H23" s="30">
        <f>(('Internal Standard'!$F$13*('Peak Areas'!G19/'Internal Standard'!$C$10))/'Peak Areas'!AB19)</f>
        <v>1.0750939134277788</v>
      </c>
      <c r="I23" s="30">
        <f>IF('Peak Areas'!L19=0,0,((('Peak Areas'!L19*Coefficients!$G$21+Coefficients!$H$21)*$G23)))</f>
        <v>0</v>
      </c>
      <c r="J23" s="30">
        <f>IF('Peak Areas'!M19=0,0,((('Peak Areas'!M19*Coefficients!$G$20+Coefficients!$H$20)*$G23)))</f>
        <v>0.34696473466465805</v>
      </c>
      <c r="K23" s="30">
        <f>IF('Peak Areas'!N19=0,0,((('Peak Areas'!N19*Coefficients!$G$41+Coefficients!$H$41)*$G23)))</f>
        <v>0.11703042893160895</v>
      </c>
      <c r="L23" s="30">
        <f>IF('Peak Areas'!O19=0,0,((('Peak Areas'!O19*Coefficients!$G$10+Coefficients!$H$10)*$G23)))</f>
        <v>0</v>
      </c>
      <c r="M23" s="30">
        <f>IF('Peak Areas'!P19=0,0,((('Peak Areas'!P19*Coefficients!$G$32+Coefficients!$H$32)*$G23)))</f>
        <v>2.9047999406268694</v>
      </c>
      <c r="N23" s="30">
        <f>IF('Peak Areas'!Q19=0,0,((('Peak Areas'!Q19*Coefficients!$G$11+Coefficients!$H$11)*$G23)))</f>
        <v>0</v>
      </c>
      <c r="O23" s="30">
        <f>IF('Peak Areas'!R19=0,0,((('Peak Areas'!R19*Coefficients!$G$39+Coefficients!$H$39)*$G23)))</f>
        <v>0.56654546115153837</v>
      </c>
      <c r="P23" s="30">
        <f>IF('Peak Areas'!S19=0,0,((('Peak Areas'!S19*Coefficients!$G$46+Coefficients!$H$46)*$G23)))</f>
        <v>0</v>
      </c>
      <c r="Q23" s="30">
        <f>IF('Peak Areas'!T19=0,0,((('Peak Areas'!T19*Coefficients!$G$51+Coefficients!$H$51)*$G23)))</f>
        <v>1.2644870494781797</v>
      </c>
      <c r="R23" s="30">
        <f>IF('Peak Areas'!U19=0,0,((('Peak Areas'!U19*Coefficients!$G$26+Coefficients!$H$26)*$G23)))</f>
        <v>2.4736644638450258</v>
      </c>
      <c r="S23" s="30">
        <f>IF('Peak Areas'!V19=0,0,((('Peak Areas'!V19*Coefficients!$G$13+Coefficients!$H$13)*$G23)))</f>
        <v>0.43303738442242057</v>
      </c>
      <c r="T23" s="30">
        <f>IF('Peak Areas'!W19=0,0,((('Peak Areas'!W19*Coefficients!$G$12+Coefficients!$H$12)*$G23)))</f>
        <v>0.69029784099666402</v>
      </c>
      <c r="U23" s="30">
        <f>IF('Peak Areas'!X19=0,0,((('Peak Areas'!X19*Coefficients!$G$27+Coefficients!$H$27)*$G23)))</f>
        <v>0.1686435971941406</v>
      </c>
      <c r="V23" s="30">
        <f>IF('Peak Areas'!Y19=0,0,((('Peak Areas'!Y19*Coefficients!$G$34+Coefficients!$H$34)*$G23)))</f>
        <v>2.667567077571559</v>
      </c>
      <c r="W23" s="30">
        <f>IF('Peak Areas'!Z19=0,0,((('Peak Areas'!Z19*Coefficients!$G$52+Coefficients!$H$52)*$G23)))</f>
        <v>1.9516427826395828</v>
      </c>
      <c r="X23" s="30">
        <f>IF('Peak Areas'!AA19=0,0,((('Peak Areas'!AA19*Coefficients!$G$33+Coefficients!$H$33)*$G23)))</f>
        <v>0.25191769673661468</v>
      </c>
      <c r="Y23" s="30">
        <f>IF('Peak Areas'!AC19=0,0,((('Peak Areas'!AC19*Coefficients!$G$19+Coefficients!$H$19)*$G23)))</f>
        <v>3.9213915450269314</v>
      </c>
      <c r="Z23" s="30">
        <f>IF('Peak Areas'!AD19=0,0,((('Peak Areas'!AD19*Coefficients!$G$18+Coefficients!$H$18)*$G23)))</f>
        <v>0.89797200036138269</v>
      </c>
      <c r="AA23" s="30">
        <f>IF('Peak Areas'!AE19=0,0,((('Peak Areas'!AE19*Coefficients!$G$18+Coefficients!$H$18)*$G23)))</f>
        <v>32.172294924834738</v>
      </c>
      <c r="AB23" s="30">
        <f>IF('Peak Areas'!AF19=0,0,((('Peak Areas'!AF19*Coefficients!$G$18+Coefficients!$H$18)*$G23)))</f>
        <v>0.95641738506929963</v>
      </c>
      <c r="AC23" s="30">
        <f>IF('Peak Areas'!AG19=0,0,((('Peak Areas'!AG19*Coefficients!$G$7+Coefficients!$H$7)*$G23)))</f>
        <v>9.1865122108926084E-2</v>
      </c>
      <c r="AD23" s="30">
        <f>IF('Peak Areas'!AH19=0,0,((('Peak Areas'!AH19*Coefficients!$G$6+Coefficients!$H$6)*$G23)))</f>
        <v>4.7704656887918224</v>
      </c>
      <c r="AF23" s="30">
        <f>IF('Peak Areas'!K19=0,0,((('Peak Areas'!K19*Coefficients!$G$22+Coefficients!$H$22)*$G23)))</f>
        <v>0.34111002361660786</v>
      </c>
      <c r="AG23" s="30">
        <f t="shared" si="0"/>
        <v>32.513404948451345</v>
      </c>
      <c r="AH23" s="30">
        <f t="shared" si="1"/>
        <v>34.367794333882031</v>
      </c>
    </row>
    <row r="24" spans="1:34" x14ac:dyDescent="0.25">
      <c r="A24" s="2">
        <f>'Peak Areas'!A20</f>
        <v>10</v>
      </c>
      <c r="B24" s="62">
        <f>'Peak Areas'!B20</f>
        <v>45809</v>
      </c>
      <c r="C24" s="2" t="str">
        <f>'Peak Areas'!C20</f>
        <v xml:space="preserve">C high </v>
      </c>
      <c r="D24" s="2">
        <f>'Peak Areas'!D20</f>
        <v>0</v>
      </c>
      <c r="E24" s="2">
        <f>'Peak Areas'!E20</f>
        <v>0</v>
      </c>
      <c r="F24" s="30">
        <f>'Peak Areas'!F20</f>
        <v>0.1</v>
      </c>
      <c r="G24" s="30">
        <f>((1/'Peak Areas'!$G20)*(('Peak Areas'!$H20+('Internal Standard'!$E$10/1000))/'Peak Areas'!$F20)*'Peak Areas'!$J20)*H24</f>
        <v>4.5384561971602004E-2</v>
      </c>
      <c r="H24" s="30">
        <f>(('Internal Standard'!$F$13*('Peak Areas'!G20/'Internal Standard'!$C$10))/'Peak Areas'!AB20)</f>
        <v>1.0678720463906353</v>
      </c>
      <c r="I24" s="30">
        <f>IF('Peak Areas'!L20=0,0,((('Peak Areas'!L20*Coefficients!$G$21+Coefficients!$H$21)*$G24)))</f>
        <v>0</v>
      </c>
      <c r="J24" s="30">
        <f>IF('Peak Areas'!M20=0,0,((('Peak Areas'!M20*Coefficients!$G$20+Coefficients!$H$20)*$G24)))</f>
        <v>0.31974210471342368</v>
      </c>
      <c r="K24" s="30">
        <f>IF('Peak Areas'!N20=0,0,((('Peak Areas'!N20*Coefficients!$G$41+Coefficients!$H$41)*$G24)))</f>
        <v>0.10129251766593224</v>
      </c>
      <c r="L24" s="30">
        <f>IF('Peak Areas'!O20=0,0,((('Peak Areas'!O20*Coefficients!$G$10+Coefficients!$H$10)*$G24)))</f>
        <v>0</v>
      </c>
      <c r="M24" s="30">
        <f>IF('Peak Areas'!P20=0,0,((('Peak Areas'!P20*Coefficients!$G$32+Coefficients!$H$32)*$G24)))</f>
        <v>2.6038819530988588</v>
      </c>
      <c r="N24" s="30">
        <f>IF('Peak Areas'!Q20=0,0,((('Peak Areas'!Q20*Coefficients!$G$11+Coefficients!$H$11)*$G24)))</f>
        <v>0</v>
      </c>
      <c r="O24" s="30">
        <f>IF('Peak Areas'!R20=0,0,((('Peak Areas'!R20*Coefficients!$G$39+Coefficients!$H$39)*$G24)))</f>
        <v>0.64729903554705648</v>
      </c>
      <c r="P24" s="30">
        <f>IF('Peak Areas'!S20=0,0,((('Peak Areas'!S20*Coefficients!$G$46+Coefficients!$H$46)*$G24)))</f>
        <v>0</v>
      </c>
      <c r="Q24" s="30">
        <f>IF('Peak Areas'!T20=0,0,((('Peak Areas'!T20*Coefficients!$G$51+Coefficients!$H$51)*$G24)))</f>
        <v>1.2334675379322559</v>
      </c>
      <c r="R24" s="30">
        <f>IF('Peak Areas'!U20=0,0,((('Peak Areas'!U20*Coefficients!$G$26+Coefficients!$H$26)*$G24)))</f>
        <v>2.3820524127084299</v>
      </c>
      <c r="S24" s="30">
        <f>IF('Peak Areas'!V20=0,0,((('Peak Areas'!V20*Coefficients!$G$13+Coefficients!$H$13)*$G24)))</f>
        <v>0.40386328589354326</v>
      </c>
      <c r="T24" s="30">
        <f>IF('Peak Areas'!W20=0,0,((('Peak Areas'!W20*Coefficients!$G$12+Coefficients!$H$12)*$G24)))</f>
        <v>0.68150546563612746</v>
      </c>
      <c r="U24" s="30">
        <f>IF('Peak Areas'!X20=0,0,((('Peak Areas'!X20*Coefficients!$G$27+Coefficients!$H$27)*$G24)))</f>
        <v>0.16550530753931733</v>
      </c>
      <c r="V24" s="30">
        <f>IF('Peak Areas'!Y20=0,0,((('Peak Areas'!Y20*Coefficients!$G$34+Coefficients!$H$34)*$G24)))</f>
        <v>2.7142331942447946</v>
      </c>
      <c r="W24" s="30">
        <f>IF('Peak Areas'!Z20=0,0,((('Peak Areas'!Z20*Coefficients!$G$52+Coefficients!$H$52)*$G24)))</f>
        <v>2.1053232344806854</v>
      </c>
      <c r="X24" s="30">
        <f>IF('Peak Areas'!AA20=0,0,((('Peak Areas'!AA20*Coefficients!$G$33+Coefficients!$H$33)*$G24)))</f>
        <v>0.30136997780572683</v>
      </c>
      <c r="Y24" s="30">
        <f>IF('Peak Areas'!AC20=0,0,((('Peak Areas'!AC20*Coefficients!$G$19+Coefficients!$H$19)*$G24)))</f>
        <v>3.9291077154398484</v>
      </c>
      <c r="Z24" s="30">
        <f>IF('Peak Areas'!AD20=0,0,((('Peak Areas'!AD20*Coefficients!$G$18+Coefficients!$H$18)*$G24)))</f>
        <v>0.82885731128847839</v>
      </c>
      <c r="AA24" s="30">
        <f>IF('Peak Areas'!AE20=0,0,((('Peak Areas'!AE20*Coefficients!$G$18+Coefficients!$H$18)*$G24)))</f>
        <v>32.047688682822297</v>
      </c>
      <c r="AB24" s="30">
        <f>IF('Peak Areas'!AF20=0,0,((('Peak Areas'!AF20*Coefficients!$G$18+Coefficients!$H$18)*$G24)))</f>
        <v>0.99474689866869137</v>
      </c>
      <c r="AC24" s="30">
        <f>IF('Peak Areas'!AG20=0,0,((('Peak Areas'!AG20*Coefficients!$G$7+Coefficients!$H$7)*$G24)))</f>
        <v>0.43753754211081486</v>
      </c>
      <c r="AD24" s="30">
        <f>IF('Peak Areas'!AH20=0,0,((('Peak Areas'!AH20*Coefficients!$G$6+Coefficients!$H$6)*$G24)))</f>
        <v>4.8518188119815049</v>
      </c>
      <c r="AF24" s="30">
        <f>IF('Peak Areas'!K20=0,0,((('Peak Areas'!K20*Coefficients!$G$22+Coefficients!$H$22)*$G24)))</f>
        <v>0.31431519796511942</v>
      </c>
      <c r="AG24" s="30">
        <f t="shared" si="0"/>
        <v>32.36200388078742</v>
      </c>
      <c r="AH24" s="30">
        <f t="shared" si="1"/>
        <v>34.185608090744594</v>
      </c>
    </row>
    <row r="25" spans="1:34" x14ac:dyDescent="0.25">
      <c r="A25" s="2">
        <f>'Peak Areas'!A21</f>
        <v>11</v>
      </c>
      <c r="B25" s="62">
        <f>'Peak Areas'!B21</f>
        <v>45809</v>
      </c>
      <c r="C25" s="2" t="str">
        <f>'Peak Areas'!C21</f>
        <v>C low nut</v>
      </c>
      <c r="D25" s="2">
        <f>'Peak Areas'!D21</f>
        <v>0</v>
      </c>
      <c r="E25" s="2">
        <f>'Peak Areas'!E21</f>
        <v>0</v>
      </c>
      <c r="F25" s="30">
        <f>'Peak Areas'!F21</f>
        <v>0.1</v>
      </c>
      <c r="G25" s="30">
        <f>((1/'Peak Areas'!$G21)*(('Peak Areas'!$H21+('Internal Standard'!$E$10/1000))/'Peak Areas'!$F21)*'Peak Areas'!$J21)*H25</f>
        <v>4.3560756298586967E-2</v>
      </c>
      <c r="H25" s="30">
        <f>(('Internal Standard'!$F$13*('Peak Areas'!G21/'Internal Standard'!$C$10))/'Peak Areas'!AB21)</f>
        <v>1.024958971731458</v>
      </c>
      <c r="I25" s="30">
        <f>IF('Peak Areas'!L21=0,0,((('Peak Areas'!L21*Coefficients!$G$21+Coefficients!$H$21)*$G25)))</f>
        <v>0</v>
      </c>
      <c r="J25" s="30">
        <f>IF('Peak Areas'!M21=0,0,((('Peak Areas'!M21*Coefficients!$G$20+Coefficients!$H$20)*$G25)))</f>
        <v>0.42692011467210855</v>
      </c>
      <c r="K25" s="30">
        <f>IF('Peak Areas'!N21=0,0,((('Peak Areas'!N21*Coefficients!$G$41+Coefficients!$H$41)*$G25)))</f>
        <v>7.4172880021585369E-2</v>
      </c>
      <c r="L25" s="30">
        <f>IF('Peak Areas'!O21=0,0,((('Peak Areas'!O21*Coefficients!$G$10+Coefficients!$H$10)*$G25)))</f>
        <v>0</v>
      </c>
      <c r="M25" s="30">
        <f>IF('Peak Areas'!P21=0,0,((('Peak Areas'!P21*Coefficients!$G$32+Coefficients!$H$32)*$G25)))</f>
        <v>4.5687136435428375</v>
      </c>
      <c r="N25" s="30">
        <f>IF('Peak Areas'!Q21=0,0,((('Peak Areas'!Q21*Coefficients!$G$11+Coefficients!$H$11)*$G25)))</f>
        <v>0</v>
      </c>
      <c r="O25" s="30">
        <f>IF('Peak Areas'!R21=0,0,((('Peak Areas'!R21*Coefficients!$G$39+Coefficients!$H$39)*$G25)))</f>
        <v>1.3000272929232666</v>
      </c>
      <c r="P25" s="30">
        <f>IF('Peak Areas'!S21=0,0,((('Peak Areas'!S21*Coefficients!$G$46+Coefficients!$H$46)*$G25)))</f>
        <v>0</v>
      </c>
      <c r="Q25" s="30">
        <f>IF('Peak Areas'!T21=0,0,((('Peak Areas'!T21*Coefficients!$G$51+Coefficients!$H$51)*$G25)))</f>
        <v>1.5487718938898176</v>
      </c>
      <c r="R25" s="30">
        <f>IF('Peak Areas'!U21=0,0,((('Peak Areas'!U21*Coefficients!$G$26+Coefficients!$H$26)*$G25)))</f>
        <v>2.728107764593569</v>
      </c>
      <c r="S25" s="30">
        <f>IF('Peak Areas'!V21=0,0,((('Peak Areas'!V21*Coefficients!$G$13+Coefficients!$H$13)*$G25)))</f>
        <v>0.33059142726143864</v>
      </c>
      <c r="T25" s="30">
        <f>IF('Peak Areas'!W21=0,0,((('Peak Areas'!W21*Coefficients!$G$12+Coefficients!$H$12)*$G25)))</f>
        <v>0.67642983722207872</v>
      </c>
      <c r="U25" s="30">
        <f>IF('Peak Areas'!X21=0,0,((('Peak Areas'!X21*Coefficients!$G$27+Coefficients!$H$27)*$G25)))</f>
        <v>0.15559736039797514</v>
      </c>
      <c r="V25" s="30">
        <f>IF('Peak Areas'!Y21=0,0,((('Peak Areas'!Y21*Coefficients!$G$34+Coefficients!$H$34)*$G25)))</f>
        <v>2.9376038944894951</v>
      </c>
      <c r="W25" s="30">
        <f>IF('Peak Areas'!Z21=0,0,((('Peak Areas'!Z21*Coefficients!$G$52+Coefficients!$H$52)*$G25)))</f>
        <v>1.5388001337216315</v>
      </c>
      <c r="X25" s="30">
        <f>IF('Peak Areas'!AA21=0,0,((('Peak Areas'!AA21*Coefficients!$G$33+Coefficients!$H$33)*$G25)))</f>
        <v>0.18751656665506974</v>
      </c>
      <c r="Y25" s="30">
        <f>IF('Peak Areas'!AC21=0,0,((('Peak Areas'!AC21*Coefficients!$G$19+Coefficients!$H$19)*$G25)))</f>
        <v>4.212697187364121</v>
      </c>
      <c r="Z25" s="30">
        <f>IF('Peak Areas'!AD21=0,0,((('Peak Areas'!AD21*Coefficients!$G$18+Coefficients!$H$18)*$G25)))</f>
        <v>0.63784377563584072</v>
      </c>
      <c r="AA25" s="30">
        <f>IF('Peak Areas'!AE21=0,0,((('Peak Areas'!AE21*Coefficients!$G$18+Coefficients!$H$18)*$G25)))</f>
        <v>39.441676988384614</v>
      </c>
      <c r="AB25" s="30">
        <f>IF('Peak Areas'!AF21=0,0,((('Peak Areas'!AF21*Coefficients!$G$18+Coefficients!$H$18)*$G25)))</f>
        <v>1.1969262800083911</v>
      </c>
      <c r="AC25" s="30">
        <f>IF('Peak Areas'!AG21=0,0,((('Peak Areas'!AG21*Coefficients!$G$7+Coefficients!$H$7)*$G25)))</f>
        <v>8.806530450830638E-2</v>
      </c>
      <c r="AD25" s="30">
        <f>IF('Peak Areas'!AH21=0,0,((('Peak Areas'!AH21*Coefficients!$G$6+Coefficients!$H$6)*$G25)))</f>
        <v>5.620752290357621</v>
      </c>
      <c r="AF25" s="30">
        <f>IF('Peak Areas'!K21=0,0,((('Peak Areas'!K21*Coefficients!$G$22+Coefficients!$H$22)*$G25)))</f>
        <v>0.27713674876607736</v>
      </c>
      <c r="AG25" s="30">
        <f t="shared" si="0"/>
        <v>39.71881373715069</v>
      </c>
      <c r="AH25" s="30">
        <f t="shared" si="1"/>
        <v>41.553583792794925</v>
      </c>
    </row>
    <row r="26" spans="1:34" x14ac:dyDescent="0.25">
      <c r="A26" s="2">
        <f>'Peak Areas'!A22</f>
        <v>12</v>
      </c>
      <c r="B26" s="62">
        <f>'Peak Areas'!B22</f>
        <v>45809</v>
      </c>
      <c r="C26" s="2" t="str">
        <f>'Peak Areas'!C22</f>
        <v>C low nut</v>
      </c>
      <c r="D26" s="2">
        <f>'Peak Areas'!D22</f>
        <v>0</v>
      </c>
      <c r="E26" s="2">
        <f>'Peak Areas'!E22</f>
        <v>0</v>
      </c>
      <c r="F26" s="30">
        <f>'Peak Areas'!F22</f>
        <v>0.1</v>
      </c>
      <c r="G26" s="30">
        <f>((1/'Peak Areas'!$G22)*(('Peak Areas'!$H22+('Internal Standard'!$E$10/1000))/'Peak Areas'!$F22)*'Peak Areas'!$J22)*H26</f>
        <v>0.20714768286046456</v>
      </c>
      <c r="H26" s="30">
        <f>(('Internal Standard'!$F$13*('Peak Areas'!G22/'Internal Standard'!$C$10))/'Peak Areas'!AB22)</f>
        <v>4.8740631261285774</v>
      </c>
      <c r="I26" s="30">
        <f>IF('Peak Areas'!L22=0,0,((('Peak Areas'!L22*Coefficients!$G$21+Coefficients!$H$21)*$G26)))</f>
        <v>0</v>
      </c>
      <c r="J26" s="30">
        <f>IF('Peak Areas'!M22=0,0,((('Peak Areas'!M22*Coefficients!$G$20+Coefficients!$H$20)*$G26)))</f>
        <v>2.7787140432258797</v>
      </c>
      <c r="K26" s="30">
        <f>IF('Peak Areas'!N22=0,0,((('Peak Areas'!N22*Coefficients!$G$41+Coefficients!$H$41)*$G26)))</f>
        <v>0.47361120071553514</v>
      </c>
      <c r="L26" s="30">
        <f>IF('Peak Areas'!O22=0,0,((('Peak Areas'!O22*Coefficients!$G$10+Coefficients!$H$10)*$G26)))</f>
        <v>0</v>
      </c>
      <c r="M26" s="30">
        <f>IF('Peak Areas'!P22=0,0,((('Peak Areas'!P22*Coefficients!$G$32+Coefficients!$H$32)*$G26)))</f>
        <v>25.065911538360055</v>
      </c>
      <c r="N26" s="30">
        <f>IF('Peak Areas'!Q22=0,0,((('Peak Areas'!Q22*Coefficients!$G$11+Coefficients!$H$11)*$G26)))</f>
        <v>0</v>
      </c>
      <c r="O26" s="30">
        <f>IF('Peak Areas'!R22=0,0,((('Peak Areas'!R22*Coefficients!$G$39+Coefficients!$H$39)*$G26)))</f>
        <v>7.0480070446511824</v>
      </c>
      <c r="P26" s="30">
        <f>IF('Peak Areas'!S22=0,0,((('Peak Areas'!S22*Coefficients!$G$46+Coefficients!$H$46)*$G26)))</f>
        <v>0</v>
      </c>
      <c r="Q26" s="30">
        <f>IF('Peak Areas'!T22=0,0,((('Peak Areas'!T22*Coefficients!$G$51+Coefficients!$H$51)*$G26)))</f>
        <v>8.0470861768093798</v>
      </c>
      <c r="R26" s="30">
        <f>IF('Peak Areas'!U22=0,0,((('Peak Areas'!U22*Coefficients!$G$26+Coefficients!$H$26)*$G26)))</f>
        <v>14.271657832017281</v>
      </c>
      <c r="S26" s="30">
        <f>IF('Peak Areas'!V22=0,0,((('Peak Areas'!V22*Coefficients!$G$13+Coefficients!$H$13)*$G26)))</f>
        <v>1.8170323778030621</v>
      </c>
      <c r="T26" s="30">
        <f>IF('Peak Areas'!W22=0,0,((('Peak Areas'!W22*Coefficients!$G$12+Coefficients!$H$12)*$G26)))</f>
        <v>3.6104303934932895</v>
      </c>
      <c r="U26" s="30">
        <f>IF('Peak Areas'!X22=0,0,((('Peak Areas'!X22*Coefficients!$G$27+Coefficients!$H$27)*$G26)))</f>
        <v>0.75517924808581782</v>
      </c>
      <c r="V26" s="30">
        <f>IF('Peak Areas'!Y22=0,0,((('Peak Areas'!Y22*Coefficients!$G$34+Coefficients!$H$34)*$G26)))</f>
        <v>15.089878821619488</v>
      </c>
      <c r="W26" s="30">
        <f>IF('Peak Areas'!Z22=0,0,((('Peak Areas'!Z22*Coefficients!$G$52+Coefficients!$H$52)*$G26)))</f>
        <v>7.5986978117287975</v>
      </c>
      <c r="X26" s="30">
        <f>IF('Peak Areas'!AA22=0,0,((('Peak Areas'!AA22*Coefficients!$G$33+Coefficients!$H$33)*$G26)))</f>
        <v>1.8661325511862161</v>
      </c>
      <c r="Y26" s="30">
        <f>IF('Peak Areas'!AC22=0,0,((('Peak Areas'!AC22*Coefficients!$G$19+Coefficients!$H$19)*$G26)))</f>
        <v>22.488313946824871</v>
      </c>
      <c r="Z26" s="30">
        <f>IF('Peak Areas'!AD22=0,0,((('Peak Areas'!AD22*Coefficients!$G$18+Coefficients!$H$18)*$G26)))</f>
        <v>3.0157935131440623</v>
      </c>
      <c r="AA26" s="30">
        <f>IF('Peak Areas'!AE22=0,0,((('Peak Areas'!AE22*Coefficients!$G$18+Coefficients!$H$18)*$G26)))</f>
        <v>208.71560782545524</v>
      </c>
      <c r="AB26" s="30">
        <f>IF('Peak Areas'!AF22=0,0,((('Peak Areas'!AF22*Coefficients!$G$18+Coefficients!$H$18)*$G26)))</f>
        <v>6.3986477073429429</v>
      </c>
      <c r="AC26" s="30">
        <f>IF('Peak Areas'!AG22=0,0,((('Peak Areas'!AG22*Coefficients!$G$7+Coefficients!$H$7)*$G26)))</f>
        <v>0.40171972768997916</v>
      </c>
      <c r="AD26" s="30">
        <f>IF('Peak Areas'!AH22=0,0,((('Peak Areas'!AH22*Coefficients!$G$6+Coefficients!$H$6)*$G26)))</f>
        <v>29.029812957741068</v>
      </c>
      <c r="AF26" s="30">
        <f>IF('Peak Areas'!K22=0,0,((('Peak Areas'!K22*Coefficients!$G$22+Coefficients!$H$22)*$G26)))</f>
        <v>3.3972864927103532</v>
      </c>
      <c r="AG26" s="30">
        <f t="shared" si="0"/>
        <v>212.11289431816559</v>
      </c>
      <c r="AH26" s="30">
        <f t="shared" si="1"/>
        <v>221.52733553865261</v>
      </c>
    </row>
    <row r="27" spans="1:34" x14ac:dyDescent="0.25">
      <c r="A27" s="2">
        <f>'Peak Areas'!A23</f>
        <v>13</v>
      </c>
      <c r="B27" s="62">
        <f>'Peak Areas'!B23</f>
        <v>45809</v>
      </c>
      <c r="C27" s="2" t="str">
        <f>'Peak Areas'!C23</f>
        <v xml:space="preserve">C high nut </v>
      </c>
      <c r="D27" s="2">
        <f>'Peak Areas'!D23</f>
        <v>0</v>
      </c>
      <c r="E27" s="2">
        <f>'Peak Areas'!E23</f>
        <v>0</v>
      </c>
      <c r="F27" s="30">
        <f>'Peak Areas'!F23</f>
        <v>0.1</v>
      </c>
      <c r="G27" s="30">
        <f>((1/'Peak Areas'!$G23)*(('Peak Areas'!$H23+('Internal Standard'!$E$10/1000))/'Peak Areas'!$F23)*'Peak Areas'!$J23)*H27</f>
        <v>4.6904010949773867E-2</v>
      </c>
      <c r="H27" s="30">
        <f>(('Internal Standard'!$F$13*('Peak Areas'!G23/'Internal Standard'!$C$10))/'Peak Areas'!AB23)</f>
        <v>1.1036237870535026</v>
      </c>
      <c r="I27" s="30">
        <f>IF('Peak Areas'!L23=0,0,((('Peak Areas'!L23*Coefficients!$G$21+Coefficients!$H$21)*$G27)))</f>
        <v>0</v>
      </c>
      <c r="J27" s="30">
        <f>IF('Peak Areas'!M23=0,0,((('Peak Areas'!M23*Coefficients!$G$20+Coefficients!$H$20)*$G27)))</f>
        <v>0.34542400773606063</v>
      </c>
      <c r="K27" s="30">
        <f>IF('Peak Areas'!N23=0,0,((('Peak Areas'!N23*Coefficients!$G$41+Coefficients!$H$41)*$G27)))</f>
        <v>8.7367993692150689E-2</v>
      </c>
      <c r="L27" s="30">
        <f>IF('Peak Areas'!O23=0,0,((('Peak Areas'!O23*Coefficients!$G$10+Coefficients!$H$10)*$G27)))</f>
        <v>0</v>
      </c>
      <c r="M27" s="30">
        <f>IF('Peak Areas'!P23=0,0,((('Peak Areas'!P23*Coefficients!$G$32+Coefficients!$H$32)*$G27)))</f>
        <v>2.4919222757364303</v>
      </c>
      <c r="N27" s="30">
        <f>IF('Peak Areas'!Q23=0,0,((('Peak Areas'!Q23*Coefficients!$G$11+Coefficients!$H$11)*$G27)))</f>
        <v>8.7994533062378824E-2</v>
      </c>
      <c r="O27" s="30">
        <f>IF('Peak Areas'!R23=0,0,((('Peak Areas'!R23*Coefficients!$G$39+Coefficients!$H$39)*$G27)))</f>
        <v>1.6401321785073719</v>
      </c>
      <c r="P27" s="30">
        <f>IF('Peak Areas'!S23=0,0,((('Peak Areas'!S23*Coefficients!$G$46+Coefficients!$H$46)*$G27)))</f>
        <v>0</v>
      </c>
      <c r="Q27" s="30">
        <f>IF('Peak Areas'!T23=0,0,((('Peak Areas'!T23*Coefficients!$G$51+Coefficients!$H$51)*$G27)))</f>
        <v>1.4894889718355053</v>
      </c>
      <c r="R27" s="30">
        <f>IF('Peak Areas'!U23=0,0,((('Peak Areas'!U23*Coefficients!$G$26+Coefficients!$H$26)*$G27)))</f>
        <v>2.3047728571881065</v>
      </c>
      <c r="S27" s="30">
        <f>IF('Peak Areas'!V23=0,0,((('Peak Areas'!V23*Coefficients!$G$13+Coefficients!$H$13)*$G27)))</f>
        <v>0.28233232347881454</v>
      </c>
      <c r="T27" s="30">
        <f>IF('Peak Areas'!W23=0,0,((('Peak Areas'!W23*Coefficients!$G$12+Coefficients!$H$12)*$G27)))</f>
        <v>0.77545287377466088</v>
      </c>
      <c r="U27" s="30">
        <f>IF('Peak Areas'!X23=0,0,((('Peak Areas'!X23*Coefficients!$G$27+Coefficients!$H$27)*$G27)))</f>
        <v>0.16612249060926881</v>
      </c>
      <c r="V27" s="30">
        <f>IF('Peak Areas'!Y23=0,0,((('Peak Areas'!Y23*Coefficients!$G$34+Coefficients!$H$34)*$G27)))</f>
        <v>3.9672178426509705</v>
      </c>
      <c r="W27" s="30">
        <f>IF('Peak Areas'!Z23=0,0,((('Peak Areas'!Z23*Coefficients!$G$52+Coefficients!$H$52)*$G27)))</f>
        <v>1.7485680567752535</v>
      </c>
      <c r="X27" s="30">
        <f>IF('Peak Areas'!AA23=0,0,((('Peak Areas'!AA23*Coefficients!$G$33+Coefficients!$H$33)*$G27)))</f>
        <v>0.29489373689954035</v>
      </c>
      <c r="Y27" s="30">
        <f>IF('Peak Areas'!AC23=0,0,((('Peak Areas'!AC23*Coefficients!$G$19+Coefficients!$H$19)*$G27)))</f>
        <v>5.3843648177198586</v>
      </c>
      <c r="Z27" s="30">
        <f>IF('Peak Areas'!AD23=0,0,((('Peak Areas'!AD23*Coefficients!$G$18+Coefficients!$H$18)*$G27)))</f>
        <v>0.75409925480659379</v>
      </c>
      <c r="AA27" s="30">
        <f>IF('Peak Areas'!AE23=0,0,((('Peak Areas'!AE23*Coefficients!$G$18+Coefficients!$H$18)*$G27)))</f>
        <v>36.504897794831294</v>
      </c>
      <c r="AB27" s="30">
        <f>IF('Peak Areas'!AF23=0,0,((('Peak Areas'!AF23*Coefficients!$G$18+Coefficients!$H$18)*$G27)))</f>
        <v>1.1925629397518449</v>
      </c>
      <c r="AC27" s="30">
        <f>IF('Peak Areas'!AG23=0,0,((('Peak Areas'!AG23*Coefficients!$G$7+Coefficients!$H$7)*$G27)))</f>
        <v>0.78619186644726957</v>
      </c>
      <c r="AD27" s="30">
        <f>IF('Peak Areas'!AH23=0,0,((('Peak Areas'!AH23*Coefficients!$G$6+Coefficients!$H$6)*$G27)))</f>
        <v>5.2560411481895661</v>
      </c>
      <c r="AF27" s="30">
        <f>IF('Peak Areas'!K23=0,0,((('Peak Areas'!K23*Coefficients!$G$22+Coefficients!$H$22)*$G27)))</f>
        <v>0.53115231286007336</v>
      </c>
      <c r="AG27" s="30">
        <f t="shared" si="0"/>
        <v>37.036050107691366</v>
      </c>
      <c r="AH27" s="30">
        <f t="shared" si="1"/>
        <v>38.982712302249809</v>
      </c>
    </row>
    <row r="28" spans="1:34" x14ac:dyDescent="0.25">
      <c r="A28" s="2">
        <f>'Peak Areas'!A24</f>
        <v>14</v>
      </c>
      <c r="B28" s="62">
        <f>'Peak Areas'!B24</f>
        <v>45809</v>
      </c>
      <c r="C28" s="2" t="str">
        <f>'Peak Areas'!C24</f>
        <v xml:space="preserve">C high nut </v>
      </c>
      <c r="D28" s="2">
        <f>'Peak Areas'!D24</f>
        <v>0</v>
      </c>
      <c r="E28" s="2">
        <f>'Peak Areas'!E24</f>
        <v>0</v>
      </c>
      <c r="F28" s="30">
        <f>'Peak Areas'!F24</f>
        <v>0.1</v>
      </c>
      <c r="G28" s="30">
        <f>((1/'Peak Areas'!$G24)*(('Peak Areas'!$H24+('Internal Standard'!$E$10/1000))/'Peak Areas'!$F24)*'Peak Areas'!$J24)*H28</f>
        <v>4.357594306855346E-2</v>
      </c>
      <c r="H28" s="30">
        <f>(('Internal Standard'!$F$13*('Peak Areas'!G24/'Internal Standard'!$C$10))/'Peak Areas'!AB24)</f>
        <v>1.0253163074953755</v>
      </c>
      <c r="I28" s="30">
        <f>IF('Peak Areas'!L24=0,0,((('Peak Areas'!L24*Coefficients!$G$21+Coefficients!$H$21)*$G28)))</f>
        <v>0</v>
      </c>
      <c r="J28" s="30">
        <f>IF('Peak Areas'!M24=0,0,((('Peak Areas'!M24*Coefficients!$G$20+Coefficients!$H$20)*$G28)))</f>
        <v>0.32499536696931008</v>
      </c>
      <c r="K28" s="30">
        <f>IF('Peak Areas'!N24=0,0,((('Peak Areas'!N24*Coefficients!$G$41+Coefficients!$H$41)*$G28)))</f>
        <v>9.1419801676038512E-2</v>
      </c>
      <c r="L28" s="30">
        <f>IF('Peak Areas'!O24=0,0,((('Peak Areas'!O24*Coefficients!$G$10+Coefficients!$H$10)*$G28)))</f>
        <v>0</v>
      </c>
      <c r="M28" s="30">
        <f>IF('Peak Areas'!P24=0,0,((('Peak Areas'!P24*Coefficients!$G$32+Coefficients!$H$32)*$G28)))</f>
        <v>2.1581381891285938</v>
      </c>
      <c r="N28" s="30">
        <f>IF('Peak Areas'!Q24=0,0,((('Peak Areas'!Q24*Coefficients!$G$11+Coefficients!$H$11)*$G28)))</f>
        <v>8.2441672501365304E-2</v>
      </c>
      <c r="O28" s="30">
        <f>IF('Peak Areas'!R24=0,0,((('Peak Areas'!R24*Coefficients!$G$39+Coefficients!$H$39)*$G28)))</f>
        <v>0.8507003935855354</v>
      </c>
      <c r="P28" s="30">
        <f>IF('Peak Areas'!S24=0,0,((('Peak Areas'!S24*Coefficients!$G$46+Coefficients!$H$46)*$G28)))</f>
        <v>0</v>
      </c>
      <c r="Q28" s="30">
        <f>IF('Peak Areas'!T24=0,0,((('Peak Areas'!T24*Coefficients!$G$51+Coefficients!$H$51)*$G28)))</f>
        <v>1.5115277326757919</v>
      </c>
      <c r="R28" s="30">
        <f>IF('Peak Areas'!U24=0,0,((('Peak Areas'!U24*Coefficients!$G$26+Coefficients!$H$26)*$G28)))</f>
        <v>2.2293110928457387</v>
      </c>
      <c r="S28" s="30">
        <f>IF('Peak Areas'!V24=0,0,((('Peak Areas'!V24*Coefficients!$G$13+Coefficients!$H$13)*$G28)))</f>
        <v>0.39965388322295287</v>
      </c>
      <c r="T28" s="30">
        <f>IF('Peak Areas'!W24=0,0,((('Peak Areas'!W24*Coefficients!$G$12+Coefficients!$H$12)*$G28)))</f>
        <v>0.81768903456944608</v>
      </c>
      <c r="U28" s="30">
        <f>IF('Peak Areas'!X24=0,0,((('Peak Areas'!X24*Coefficients!$G$27+Coefficients!$H$27)*$G28)))</f>
        <v>0.15325830576384464</v>
      </c>
      <c r="V28" s="30">
        <f>IF('Peak Areas'!Y24=0,0,((('Peak Areas'!Y24*Coefficients!$G$34+Coefficients!$H$34)*$G28)))</f>
        <v>4.1967598366309327</v>
      </c>
      <c r="W28" s="30">
        <f>IF('Peak Areas'!Z24=0,0,((('Peak Areas'!Z24*Coefficients!$G$52+Coefficients!$H$52)*$G28)))</f>
        <v>1.806155754016225</v>
      </c>
      <c r="X28" s="30">
        <f>IF('Peak Areas'!AA24=0,0,((('Peak Areas'!AA24*Coefficients!$G$33+Coefficients!$H$33)*$G28)))</f>
        <v>0.29151647400269909</v>
      </c>
      <c r="Y28" s="30">
        <f>IF('Peak Areas'!AC24=0,0,((('Peak Areas'!AC24*Coefficients!$G$19+Coefficients!$H$19)*$G28)))</f>
        <v>5.6339799129731132</v>
      </c>
      <c r="Z28" s="30">
        <f>IF('Peak Areas'!AD24=0,0,((('Peak Areas'!AD24*Coefficients!$G$18+Coefficients!$H$18)*$G28)))</f>
        <v>0.87660922873656533</v>
      </c>
      <c r="AA28" s="30">
        <f>IF('Peak Areas'!AE24=0,0,((('Peak Areas'!AE24*Coefficients!$G$18+Coefficients!$H$18)*$G28)))</f>
        <v>36.549830318099829</v>
      </c>
      <c r="AB28" s="30">
        <f>IF('Peak Areas'!AF24=0,0,((('Peak Areas'!AF24*Coefficients!$G$18+Coefficients!$H$18)*$G28)))</f>
        <v>1.2077706825725012</v>
      </c>
      <c r="AC28" s="30">
        <f>IF('Peak Areas'!AG24=0,0,((('Peak Areas'!AG24*Coefficients!$G$7+Coefficients!$H$7)*$G28)))</f>
        <v>0.83757205142035118</v>
      </c>
      <c r="AD28" s="30">
        <f>IF('Peak Areas'!AH24=0,0,((('Peak Areas'!AH24*Coefficients!$G$6+Coefficients!$H$6)*$G28)))</f>
        <v>5.3726155134979932</v>
      </c>
      <c r="AF28" s="30">
        <f>IF('Peak Areas'!K24=0,0,((('Peak Areas'!K24*Coefficients!$G$22+Coefficients!$H$22)*$G28)))</f>
        <v>0.52517678272178114</v>
      </c>
      <c r="AG28" s="30">
        <f t="shared" si="0"/>
        <v>37.075007100821608</v>
      </c>
      <c r="AH28" s="30">
        <f t="shared" si="1"/>
        <v>39.159387012130672</v>
      </c>
    </row>
    <row r="29" spans="1:34" x14ac:dyDescent="0.25">
      <c r="A29" s="2">
        <f>'Peak Areas'!A25</f>
        <v>15</v>
      </c>
      <c r="B29" s="62">
        <f>'Peak Areas'!B25</f>
        <v>45809</v>
      </c>
      <c r="C29" s="2" t="str">
        <f>'Peak Areas'!C25</f>
        <v>C+P low</v>
      </c>
      <c r="D29" s="2">
        <f>'Peak Areas'!D25</f>
        <v>0</v>
      </c>
      <c r="E29" s="2">
        <f>'Peak Areas'!E25</f>
        <v>0</v>
      </c>
      <c r="F29" s="30">
        <f>'Peak Areas'!F25</f>
        <v>0.1</v>
      </c>
      <c r="G29" s="30">
        <f>((1/'Peak Areas'!$G25)*(('Peak Areas'!$H25+('Internal Standard'!$E$10/1000))/'Peak Areas'!$F25)*'Peak Areas'!$J25)*H29</f>
        <v>4.4550744519839237E-2</v>
      </c>
      <c r="H29" s="30">
        <f>(('Internal Standard'!$F$13*('Peak Areas'!G25/'Internal Standard'!$C$10))/'Peak Areas'!AB25)</f>
        <v>1.0482528122315113</v>
      </c>
      <c r="I29" s="30">
        <f>IF('Peak Areas'!L25=0,0,((('Peak Areas'!L25*Coefficients!$G$21+Coefficients!$H$21)*$G29)))</f>
        <v>0</v>
      </c>
      <c r="J29" s="30">
        <f>IF('Peak Areas'!M25=0,0,((('Peak Areas'!M25*Coefficients!$G$20+Coefficients!$H$20)*$G29)))</f>
        <v>0.47569940374484954</v>
      </c>
      <c r="K29" s="30">
        <f>IF('Peak Areas'!N25=0,0,((('Peak Areas'!N25*Coefficients!$G$41+Coefficients!$H$41)*$G29)))</f>
        <v>0.11386129094910587</v>
      </c>
      <c r="L29" s="30">
        <f>IF('Peak Areas'!O25=0,0,((('Peak Areas'!O25*Coefficients!$G$10+Coefficients!$H$10)*$G29)))</f>
        <v>0</v>
      </c>
      <c r="M29" s="30">
        <f>IF('Peak Areas'!P25=0,0,((('Peak Areas'!P25*Coefficients!$G$32+Coefficients!$H$32)*$G29)))</f>
        <v>4.4640753090104308</v>
      </c>
      <c r="N29" s="30">
        <f>IF('Peak Areas'!Q25=0,0,((('Peak Areas'!Q25*Coefficients!$G$11+Coefficients!$H$11)*$G29)))</f>
        <v>0</v>
      </c>
      <c r="O29" s="30">
        <f>IF('Peak Areas'!R25=0,0,((('Peak Areas'!R25*Coefficients!$G$39+Coefficients!$H$39)*$G29)))</f>
        <v>1.4105790382568386</v>
      </c>
      <c r="P29" s="30">
        <f>IF('Peak Areas'!S25=0,0,((('Peak Areas'!S25*Coefficients!$G$46+Coefficients!$H$46)*$G29)))</f>
        <v>0</v>
      </c>
      <c r="Q29" s="30">
        <f>IF('Peak Areas'!T25=0,0,((('Peak Areas'!T25*Coefficients!$G$51+Coefficients!$H$51)*$G29)))</f>
        <v>1.568856262108995</v>
      </c>
      <c r="R29" s="30">
        <f>IF('Peak Areas'!U25=0,0,((('Peak Areas'!U25*Coefficients!$G$26+Coefficients!$H$26)*$G29)))</f>
        <v>2.8868445718392901</v>
      </c>
      <c r="S29" s="30">
        <f>IF('Peak Areas'!V25=0,0,((('Peak Areas'!V25*Coefficients!$G$13+Coefficients!$H$13)*$G29)))</f>
        <v>0.33924063555666889</v>
      </c>
      <c r="T29" s="30">
        <f>IF('Peak Areas'!W25=0,0,((('Peak Areas'!W25*Coefficients!$G$12+Coefficients!$H$12)*$G29)))</f>
        <v>0.73402657413401395</v>
      </c>
      <c r="U29" s="30">
        <f>IF('Peak Areas'!X25=0,0,((('Peak Areas'!X25*Coefficients!$G$27+Coefficients!$H$27)*$G29)))</f>
        <v>0.22597677409312189</v>
      </c>
      <c r="V29" s="30">
        <f>IF('Peak Areas'!Y25=0,0,((('Peak Areas'!Y25*Coefficients!$G$34+Coefficients!$H$34)*$G29)))</f>
        <v>3.1263851866672305</v>
      </c>
      <c r="W29" s="30">
        <f>IF('Peak Areas'!Z25=0,0,((('Peak Areas'!Z25*Coefficients!$G$52+Coefficients!$H$52)*$G29)))</f>
        <v>1.717711573260023</v>
      </c>
      <c r="X29" s="30">
        <f>IF('Peak Areas'!AA25=0,0,((('Peak Areas'!AA25*Coefficients!$G$33+Coefficients!$H$33)*$G29)))</f>
        <v>0.20130501162486253</v>
      </c>
      <c r="Y29" s="30">
        <f>IF('Peak Areas'!AC25=0,0,((('Peak Areas'!AC25*Coefficients!$G$19+Coefficients!$H$19)*$G29)))</f>
        <v>4.5590768472544658</v>
      </c>
      <c r="Z29" s="30">
        <f>IF('Peak Areas'!AD25=0,0,((('Peak Areas'!AD25*Coefficients!$G$18+Coefficients!$H$18)*$G29)))</f>
        <v>0.80985143519535341</v>
      </c>
      <c r="AA29" s="30">
        <f>IF('Peak Areas'!AE25=0,0,((('Peak Areas'!AE25*Coefficients!$G$18+Coefficients!$H$18)*$G29)))</f>
        <v>40.407606744985621</v>
      </c>
      <c r="AB29" s="30">
        <f>IF('Peak Areas'!AF25=0,0,((('Peak Areas'!AF25*Coefficients!$G$18+Coefficients!$H$18)*$G29)))</f>
        <v>1.3684173897365854</v>
      </c>
      <c r="AC29" s="30">
        <f>IF('Peak Areas'!AG25=0,0,((('Peak Areas'!AG25*Coefficients!$G$7+Coefficients!$H$7)*$G29)))</f>
        <v>2.5485088564819309E-2</v>
      </c>
      <c r="AD29" s="30">
        <f>IF('Peak Areas'!AH25=0,0,((('Peak Areas'!AH25*Coefficients!$G$6+Coefficients!$H$6)*$G29)))</f>
        <v>4.8562742423030443</v>
      </c>
      <c r="AF29" s="30">
        <f>IF('Peak Areas'!K25=0,0,((('Peak Areas'!K25*Coefficients!$G$22+Coefficients!$H$22)*$G29)))</f>
        <v>0.38656792791267192</v>
      </c>
      <c r="AG29" s="30">
        <f t="shared" si="0"/>
        <v>40.794174672898293</v>
      </c>
      <c r="AH29" s="30">
        <f t="shared" si="1"/>
        <v>42.972443497830234</v>
      </c>
    </row>
    <row r="30" spans="1:34" x14ac:dyDescent="0.25">
      <c r="A30" s="2">
        <f>'Peak Areas'!A26</f>
        <v>16</v>
      </c>
      <c r="B30" s="62">
        <f>'Peak Areas'!B26</f>
        <v>45809</v>
      </c>
      <c r="C30" s="2" t="str">
        <f>'Peak Areas'!C26</f>
        <v>C+P low</v>
      </c>
      <c r="D30" s="2">
        <f>'Peak Areas'!D26</f>
        <v>0</v>
      </c>
      <c r="E30" s="2">
        <f>'Peak Areas'!E26</f>
        <v>0</v>
      </c>
      <c r="F30" s="30">
        <f>'Peak Areas'!F26</f>
        <v>0.1</v>
      </c>
      <c r="G30" s="30">
        <f>((1/'Peak Areas'!$G26)*(('Peak Areas'!$H26+('Internal Standard'!$E$10/1000))/'Peak Areas'!$F26)*'Peak Areas'!$J26)*H30</f>
        <v>4.3502261641316549E-2</v>
      </c>
      <c r="H30" s="30">
        <f>(('Internal Standard'!$F$13*('Peak Areas'!G26/'Internal Standard'!$C$10))/'Peak Areas'!AB26)</f>
        <v>1.023582626854507</v>
      </c>
      <c r="I30" s="30">
        <f>IF('Peak Areas'!L26=0,0,((('Peak Areas'!L26*Coefficients!$G$21+Coefficients!$H$21)*$G30)))</f>
        <v>0</v>
      </c>
      <c r="J30" s="30">
        <f>IF('Peak Areas'!M26=0,0,((('Peak Areas'!M26*Coefficients!$G$20+Coefficients!$H$20)*$G30)))</f>
        <v>0.48585848587833613</v>
      </c>
      <c r="K30" s="30">
        <f>IF('Peak Areas'!N26=0,0,((('Peak Areas'!N26*Coefficients!$G$41+Coefficients!$H$41)*$G30)))</f>
        <v>0.1078307695714219</v>
      </c>
      <c r="L30" s="30">
        <f>IF('Peak Areas'!O26=0,0,((('Peak Areas'!O26*Coefficients!$G$10+Coefficients!$H$10)*$G30)))</f>
        <v>0</v>
      </c>
      <c r="M30" s="30">
        <f>IF('Peak Areas'!P26=0,0,((('Peak Areas'!P26*Coefficients!$G$32+Coefficients!$H$32)*$G30)))</f>
        <v>4.5967137352291578</v>
      </c>
      <c r="N30" s="30">
        <f>IF('Peak Areas'!Q26=0,0,((('Peak Areas'!Q26*Coefficients!$G$11+Coefficients!$H$11)*$G30)))</f>
        <v>0</v>
      </c>
      <c r="O30" s="30">
        <f>IF('Peak Areas'!R26=0,0,((('Peak Areas'!R26*Coefficients!$G$39+Coefficients!$H$39)*$G30)))</f>
        <v>1.3459442741076699</v>
      </c>
      <c r="P30" s="30">
        <f>IF('Peak Areas'!S26=0,0,((('Peak Areas'!S26*Coefficients!$G$46+Coefficients!$H$46)*$G30)))</f>
        <v>0</v>
      </c>
      <c r="Q30" s="30">
        <f>IF('Peak Areas'!T26=0,0,((('Peak Areas'!T26*Coefficients!$G$51+Coefficients!$H$51)*$G30)))</f>
        <v>1.5458413254963494</v>
      </c>
      <c r="R30" s="30">
        <f>IF('Peak Areas'!U26=0,0,((('Peak Areas'!U26*Coefficients!$G$26+Coefficients!$H$26)*$G30)))</f>
        <v>2.8804409185464848</v>
      </c>
      <c r="S30" s="30">
        <f>IF('Peak Areas'!V26=0,0,((('Peak Areas'!V26*Coefficients!$G$13+Coefficients!$H$13)*$G30)))</f>
        <v>0.3575418682655474</v>
      </c>
      <c r="T30" s="30">
        <f>IF('Peak Areas'!W26=0,0,((('Peak Areas'!W26*Coefficients!$G$12+Coefficients!$H$12)*$G30)))</f>
        <v>0.71763291640883464</v>
      </c>
      <c r="U30" s="30">
        <f>IF('Peak Areas'!X26=0,0,((('Peak Areas'!X26*Coefficients!$G$27+Coefficients!$H$27)*$G30)))</f>
        <v>0.23188257223213685</v>
      </c>
      <c r="V30" s="30">
        <f>IF('Peak Areas'!Y26=0,0,((('Peak Areas'!Y26*Coefficients!$G$34+Coefficients!$H$34)*$G30)))</f>
        <v>2.8209617762044044</v>
      </c>
      <c r="W30" s="30">
        <f>IF('Peak Areas'!Z26=0,0,((('Peak Areas'!Z26*Coefficients!$G$52+Coefficients!$H$52)*$G30)))</f>
        <v>1.7159311968217927</v>
      </c>
      <c r="X30" s="30">
        <f>IF('Peak Areas'!AA26=0,0,((('Peak Areas'!AA26*Coefficients!$G$33+Coefficients!$H$33)*$G30)))</f>
        <v>0.17984287441985239</v>
      </c>
      <c r="Y30" s="30">
        <f>IF('Peak Areas'!AC26=0,0,((('Peak Areas'!AC26*Coefficients!$G$19+Coefficients!$H$19)*$G30)))</f>
        <v>4.3663795091887412</v>
      </c>
      <c r="Z30" s="30">
        <f>IF('Peak Areas'!AD26=0,0,((('Peak Areas'!AD26*Coefficients!$G$18+Coefficients!$H$18)*$G30)))</f>
        <v>0.82161860217174065</v>
      </c>
      <c r="AA30" s="30">
        <f>IF('Peak Areas'!AE26=0,0,((('Peak Areas'!AE26*Coefficients!$G$18+Coefficients!$H$18)*$G30)))</f>
        <v>39.714256409717855</v>
      </c>
      <c r="AB30" s="30">
        <f>IF('Peak Areas'!AF26=0,0,((('Peak Areas'!AF26*Coefficients!$G$18+Coefficients!$H$18)*$G30)))</f>
        <v>1.3544379917463729</v>
      </c>
      <c r="AC30" s="30">
        <f>IF('Peak Areas'!AG26=0,0,((('Peak Areas'!AG26*Coefficients!$G$7+Coefficients!$H$7)*$G30)))</f>
        <v>0.12832286726254208</v>
      </c>
      <c r="AD30" s="30">
        <f>IF('Peak Areas'!AH26=0,0,((('Peak Areas'!AH26*Coefficients!$G$6+Coefficients!$H$6)*$G30)))</f>
        <v>5.3026408703615715</v>
      </c>
      <c r="AF30" s="30">
        <f>IF('Peak Areas'!K26=0,0,((('Peak Areas'!K26*Coefficients!$G$22+Coefficients!$H$22)*$G30)))</f>
        <v>0.37290238666448794</v>
      </c>
      <c r="AG30" s="30">
        <f t="shared" si="0"/>
        <v>40.08715879638234</v>
      </c>
      <c r="AH30" s="30">
        <f t="shared" si="1"/>
        <v>42.263215390300452</v>
      </c>
    </row>
    <row r="31" spans="1:34" x14ac:dyDescent="0.25">
      <c r="A31" s="2">
        <f>'Peak Areas'!A27</f>
        <v>17</v>
      </c>
      <c r="B31" s="62">
        <f>'Peak Areas'!B27</f>
        <v>45809</v>
      </c>
      <c r="C31" s="2" t="str">
        <f>'Peak Areas'!C27</f>
        <v>C+P high</v>
      </c>
      <c r="D31" s="2">
        <f>'Peak Areas'!D27</f>
        <v>0</v>
      </c>
      <c r="E31" s="2">
        <f>'Peak Areas'!E27</f>
        <v>0</v>
      </c>
      <c r="F31" s="30">
        <f>'Peak Areas'!F27</f>
        <v>0.1</v>
      </c>
      <c r="G31" s="30">
        <f>((1/'Peak Areas'!$G27)*(('Peak Areas'!$H27+('Internal Standard'!$E$10/1000))/'Peak Areas'!$F27)*'Peak Areas'!$J27)*H31</f>
        <v>4.1987682879748106E-2</v>
      </c>
      <c r="H31" s="30">
        <f>(('Internal Standard'!$F$13*('Peak Areas'!G27/'Internal Standard'!$C$10))/'Peak Areas'!AB27)</f>
        <v>0.98794547952348477</v>
      </c>
      <c r="I31" s="30">
        <f>IF('Peak Areas'!L27=0,0,((('Peak Areas'!L27*Coefficients!$G$21+Coefficients!$H$21)*$G31)))</f>
        <v>0</v>
      </c>
      <c r="J31" s="30">
        <f>IF('Peak Areas'!M27=0,0,((('Peak Areas'!M27*Coefficients!$G$20+Coefficients!$H$20)*$G31)))</f>
        <v>0.13980574116507433</v>
      </c>
      <c r="K31" s="30">
        <f>IF('Peak Areas'!N27=0,0,((('Peak Areas'!N27*Coefficients!$G$41+Coefficients!$H$41)*$G31)))</f>
        <v>5.6671007354805521E-2</v>
      </c>
      <c r="L31" s="30">
        <f>IF('Peak Areas'!O27=0,0,((('Peak Areas'!O27*Coefficients!$G$10+Coefficients!$H$10)*$G31)))</f>
        <v>0</v>
      </c>
      <c r="M31" s="30">
        <f>IF('Peak Areas'!P27=0,0,((('Peak Areas'!P27*Coefficients!$G$32+Coefficients!$H$32)*$G31)))</f>
        <v>1.154254948682452</v>
      </c>
      <c r="N31" s="30">
        <f>IF('Peak Areas'!Q27=0,0,((('Peak Areas'!Q27*Coefficients!$G$11+Coefficients!$H$11)*$G31)))</f>
        <v>0</v>
      </c>
      <c r="O31" s="30">
        <f>IF('Peak Areas'!R27=0,0,((('Peak Areas'!R27*Coefficients!$G$39+Coefficients!$H$39)*$G31)))</f>
        <v>0.40941342913227591</v>
      </c>
      <c r="P31" s="30">
        <f>IF('Peak Areas'!S27=0,0,((('Peak Areas'!S27*Coefficients!$G$46+Coefficients!$H$46)*$G31)))</f>
        <v>0</v>
      </c>
      <c r="Q31" s="30">
        <f>IF('Peak Areas'!T27=0,0,((('Peak Areas'!T27*Coefficients!$G$51+Coefficients!$H$51)*$G31)))</f>
        <v>0.44726012531065462</v>
      </c>
      <c r="R31" s="30">
        <f>IF('Peak Areas'!U27=0,0,((('Peak Areas'!U27*Coefficients!$G$26+Coefficients!$H$26)*$G31)))</f>
        <v>1.0241702701171129</v>
      </c>
      <c r="S31" s="30">
        <f>IF('Peak Areas'!V27=0,0,((('Peak Areas'!V27*Coefficients!$G$13+Coefficients!$H$13)*$G31)))</f>
        <v>0.24044189714495481</v>
      </c>
      <c r="T31" s="30">
        <f>IF('Peak Areas'!W27=0,0,((('Peak Areas'!W27*Coefficients!$G$12+Coefficients!$H$12)*$G31)))</f>
        <v>0.22287327692026615</v>
      </c>
      <c r="U31" s="30">
        <f>IF('Peak Areas'!X27=0,0,((('Peak Areas'!X27*Coefficients!$G$27+Coefficients!$H$27)*$G31)))</f>
        <v>0.15172891884667439</v>
      </c>
      <c r="V31" s="30">
        <f>IF('Peak Areas'!Y27=0,0,((('Peak Areas'!Y27*Coefficients!$G$34+Coefficients!$H$34)*$G31)))</f>
        <v>1.278812706242715</v>
      </c>
      <c r="W31" s="30">
        <f>IF('Peak Areas'!Z27=0,0,((('Peak Areas'!Z27*Coefficients!$G$52+Coefficients!$H$52)*$G31)))</f>
        <v>0.72236161067352977</v>
      </c>
      <c r="X31" s="30">
        <f>IF('Peak Areas'!AA27=0,0,((('Peak Areas'!AA27*Coefficients!$G$33+Coefficients!$H$33)*$G31)))</f>
        <v>0.14008182648550541</v>
      </c>
      <c r="Y31" s="30">
        <f>IF('Peak Areas'!AC27=0,0,((('Peak Areas'!AC27*Coefficients!$G$19+Coefficients!$H$19)*$G31)))</f>
        <v>1.9638397958300144</v>
      </c>
      <c r="Z31" s="30">
        <f>IF('Peak Areas'!AD27=0,0,((('Peak Areas'!AD27*Coefficients!$G$18+Coefficients!$H$18)*$G31)))</f>
        <v>0.82935875014934968</v>
      </c>
      <c r="AA31" s="30">
        <f>IF('Peak Areas'!AE27=0,0,((('Peak Areas'!AE27*Coefficients!$G$18+Coefficients!$H$18)*$G31)))</f>
        <v>13.084380472155587</v>
      </c>
      <c r="AB31" s="30">
        <f>IF('Peak Areas'!AF27=0,0,((('Peak Areas'!AF27*Coefficients!$G$18+Coefficients!$H$18)*$G31)))</f>
        <v>0.42527285906769879</v>
      </c>
      <c r="AC31" s="30">
        <f>IF('Peak Areas'!AG27=0,0,((('Peak Areas'!AG27*Coefficients!$G$7+Coefficients!$H$7)*$G31)))</f>
        <v>2.7715521512865066E-2</v>
      </c>
      <c r="AD31" s="30">
        <f>IF('Peak Areas'!AH27=0,0,((('Peak Areas'!AH27*Coefficients!$G$6+Coefficients!$H$6)*$G31)))</f>
        <v>1.6990902415660569</v>
      </c>
      <c r="AF31" s="30">
        <f>IF('Peak Areas'!K27=0,0,((('Peak Areas'!K27*Coefficients!$G$22+Coefficients!$H$22)*$G31)))</f>
        <v>0.17590939694030519</v>
      </c>
      <c r="AG31" s="30">
        <f t="shared" si="0"/>
        <v>13.260289869095892</v>
      </c>
      <c r="AH31" s="30">
        <f t="shared" si="1"/>
        <v>14.514921478312941</v>
      </c>
    </row>
    <row r="32" spans="1:34" x14ac:dyDescent="0.25">
      <c r="A32" s="2">
        <f>'Peak Areas'!A28</f>
        <v>18</v>
      </c>
      <c r="B32" s="62">
        <f>'Peak Areas'!B28</f>
        <v>45809</v>
      </c>
      <c r="C32" s="2" t="str">
        <f>'Peak Areas'!C28</f>
        <v>C+P high</v>
      </c>
      <c r="D32" s="2">
        <f>'Peak Areas'!D28</f>
        <v>0</v>
      </c>
      <c r="E32" s="2">
        <f>'Peak Areas'!E28</f>
        <v>0</v>
      </c>
      <c r="F32" s="30">
        <f>'Peak Areas'!F28</f>
        <v>0.1</v>
      </c>
      <c r="G32" s="30">
        <f>((1/'Peak Areas'!$G28)*(('Peak Areas'!$H28+('Internal Standard'!$E$10/1000))/'Peak Areas'!$F28)*'Peak Areas'!$J28)*H32</f>
        <v>4.2137579658697237E-2</v>
      </c>
      <c r="H32" s="30">
        <f>(('Internal Standard'!$F$13*('Peak Areas'!G28/'Internal Standard'!$C$10))/'Peak Areas'!AB28)</f>
        <v>0.99147246255758192</v>
      </c>
      <c r="I32" s="30">
        <f>IF('Peak Areas'!L28=0,0,((('Peak Areas'!L28*Coefficients!$G$21+Coefficients!$H$21)*$G32)))</f>
        <v>0</v>
      </c>
      <c r="J32" s="30">
        <f>IF('Peak Areas'!M28=0,0,((('Peak Areas'!M28*Coefficients!$G$20+Coefficients!$H$20)*$G32)))</f>
        <v>5.0008813653633619E-2</v>
      </c>
      <c r="K32" s="30">
        <f>IF('Peak Areas'!N28=0,0,((('Peak Areas'!N28*Coefficients!$G$41+Coefficients!$H$41)*$G32)))</f>
        <v>2.6462909047624144E-2</v>
      </c>
      <c r="L32" s="30">
        <f>IF('Peak Areas'!O28=0,0,((('Peak Areas'!O28*Coefficients!$G$10+Coefficients!$H$10)*$G32)))</f>
        <v>0</v>
      </c>
      <c r="M32" s="30">
        <f>IF('Peak Areas'!P28=0,0,((('Peak Areas'!P28*Coefficients!$G$32+Coefficients!$H$32)*$G32)))</f>
        <v>0.57968223911417127</v>
      </c>
      <c r="N32" s="30">
        <f>IF('Peak Areas'!Q28=0,0,((('Peak Areas'!Q28*Coefficients!$G$11+Coefficients!$H$11)*$G32)))</f>
        <v>0</v>
      </c>
      <c r="O32" s="30">
        <f>IF('Peak Areas'!R28=0,0,((('Peak Areas'!R28*Coefficients!$G$39+Coefficients!$H$39)*$G32)))</f>
        <v>0.26936275790547837</v>
      </c>
      <c r="P32" s="30">
        <f>IF('Peak Areas'!S28=0,0,((('Peak Areas'!S28*Coefficients!$G$46+Coefficients!$H$46)*$G32)))</f>
        <v>0</v>
      </c>
      <c r="Q32" s="30">
        <f>IF('Peak Areas'!T28=0,0,((('Peak Areas'!T28*Coefficients!$G$51+Coefficients!$H$51)*$G32)))</f>
        <v>0.26315034830454892</v>
      </c>
      <c r="R32" s="30">
        <f>IF('Peak Areas'!U28=0,0,((('Peak Areas'!U28*Coefficients!$G$26+Coefficients!$H$26)*$G32)))</f>
        <v>0.67523146395325018</v>
      </c>
      <c r="S32" s="30">
        <f>IF('Peak Areas'!V28=0,0,((('Peak Areas'!V28*Coefficients!$G$13+Coefficients!$H$13)*$G32)))</f>
        <v>0.16397975681964685</v>
      </c>
      <c r="T32" s="30">
        <f>IF('Peak Areas'!W28=0,0,((('Peak Areas'!W28*Coefficients!$G$12+Coefficients!$H$12)*$G32)))</f>
        <v>0.13865372776297807</v>
      </c>
      <c r="U32" s="30">
        <f>IF('Peak Areas'!X28=0,0,((('Peak Areas'!X28*Coefficients!$G$27+Coefficients!$H$27)*$G32)))</f>
        <v>0.1171247524270105</v>
      </c>
      <c r="V32" s="30">
        <f>IF('Peak Areas'!Y28=0,0,((('Peak Areas'!Y28*Coefficients!$G$34+Coefficients!$H$34)*$G32)))</f>
        <v>0.91699080852057124</v>
      </c>
      <c r="W32" s="30">
        <f>IF('Peak Areas'!Z28=0,0,((('Peak Areas'!Z28*Coefficients!$G$52+Coefficients!$H$52)*$G32)))</f>
        <v>0.51810886276419099</v>
      </c>
      <c r="X32" s="30">
        <f>IF('Peak Areas'!AA28=0,0,((('Peak Areas'!AA28*Coefficients!$G$33+Coefficients!$H$33)*$G32)))</f>
        <v>0.16441497933082849</v>
      </c>
      <c r="Y32" s="30">
        <f>IF('Peak Areas'!AC28=0,0,((('Peak Areas'!AC28*Coefficients!$G$19+Coefficients!$H$19)*$G32)))</f>
        <v>1.5409674464354206</v>
      </c>
      <c r="Z32" s="30">
        <f>IF('Peak Areas'!AD28=0,0,((('Peak Areas'!AD28*Coefficients!$G$18+Coefficients!$H$18)*$G32)))</f>
        <v>0.75733439589009244</v>
      </c>
      <c r="AA32" s="30">
        <f>IF('Peak Areas'!AE28=0,0,((('Peak Areas'!AE28*Coefficients!$G$18+Coefficients!$H$18)*$G32)))</f>
        <v>8.3187557288869716</v>
      </c>
      <c r="AB32" s="30">
        <f>IF('Peak Areas'!AF28=0,0,((('Peak Areas'!AF28*Coefficients!$G$18+Coefficients!$H$18)*$G32)))</f>
        <v>0.28913252285108637</v>
      </c>
      <c r="AC32" s="30">
        <f>IF('Peak Areas'!AG28=0,0,((('Peak Areas'!AG28*Coefficients!$G$7+Coefficients!$H$7)*$G32)))</f>
        <v>0</v>
      </c>
      <c r="AD32" s="30">
        <f>IF('Peak Areas'!AH28=0,0,((('Peak Areas'!AH28*Coefficients!$G$6+Coefficients!$H$6)*$G32)))</f>
        <v>1.0426194222357854</v>
      </c>
      <c r="AF32" s="30">
        <f>IF('Peak Areas'!K28=0,0,((('Peak Areas'!K28*Coefficients!$G$22+Coefficients!$H$22)*$G32)))</f>
        <v>8.1164947381428487E-2</v>
      </c>
      <c r="AG32" s="30">
        <f t="shared" si="0"/>
        <v>8.3999206762683993</v>
      </c>
      <c r="AH32" s="30">
        <f t="shared" si="1"/>
        <v>9.446387595009579</v>
      </c>
    </row>
    <row r="33" spans="1:34" x14ac:dyDescent="0.25">
      <c r="A33" s="2">
        <f>'Peak Areas'!A29</f>
        <v>19</v>
      </c>
      <c r="B33" s="62">
        <f>'Peak Areas'!B29</f>
        <v>45809</v>
      </c>
      <c r="C33" s="2" t="str">
        <f>'Peak Areas'!C29</f>
        <v xml:space="preserve">C+P low nut </v>
      </c>
      <c r="D33" s="2">
        <f>'Peak Areas'!D29</f>
        <v>0</v>
      </c>
      <c r="E33" s="2">
        <f>'Peak Areas'!E29</f>
        <v>0</v>
      </c>
      <c r="F33" s="30">
        <f>'Peak Areas'!F29</f>
        <v>0.1</v>
      </c>
      <c r="G33" s="30">
        <f>((1/'Peak Areas'!$G29)*(('Peak Areas'!$H29+('Internal Standard'!$E$10/1000))/'Peak Areas'!$F29)*'Peak Areas'!$J29)*H33</f>
        <v>4.4184641958307617E-2</v>
      </c>
      <c r="H33" s="30">
        <f>(('Internal Standard'!$F$13*('Peak Areas'!G29/'Internal Standard'!$C$10))/'Peak Areas'!AB29)</f>
        <v>1.0396386343131203</v>
      </c>
      <c r="I33" s="30">
        <f>IF('Peak Areas'!L29=0,0,((('Peak Areas'!L29*Coefficients!$G$21+Coefficients!$H$21)*$G33)))</f>
        <v>0</v>
      </c>
      <c r="J33" s="30">
        <f>IF('Peak Areas'!M29=0,0,((('Peak Areas'!M29*Coefficients!$G$20+Coefficients!$H$20)*$G33)))</f>
        <v>0.37463209947963766</v>
      </c>
      <c r="K33" s="30">
        <f>IF('Peak Areas'!N29=0,0,((('Peak Areas'!N29*Coefficients!$G$41+Coefficients!$H$41)*$G33)))</f>
        <v>8.0792561604717705E-2</v>
      </c>
      <c r="L33" s="30">
        <f>IF('Peak Areas'!O29=0,0,((('Peak Areas'!O29*Coefficients!$G$10+Coefficients!$H$10)*$G33)))</f>
        <v>0</v>
      </c>
      <c r="M33" s="30">
        <f>IF('Peak Areas'!P29=0,0,((('Peak Areas'!P29*Coefficients!$G$32+Coefficients!$H$32)*$G33)))</f>
        <v>4.1333194891550757</v>
      </c>
      <c r="N33" s="30">
        <f>IF('Peak Areas'!Q29=0,0,((('Peak Areas'!Q29*Coefficients!$G$11+Coefficients!$H$11)*$G33)))</f>
        <v>0</v>
      </c>
      <c r="O33" s="30">
        <f>IF('Peak Areas'!R29=0,0,((('Peak Areas'!R29*Coefficients!$G$39+Coefficients!$H$39)*$G33)))</f>
        <v>1.2686238948960782</v>
      </c>
      <c r="P33" s="30">
        <f>IF('Peak Areas'!S29=0,0,((('Peak Areas'!S29*Coefficients!$G$46+Coefficients!$H$46)*$G33)))</f>
        <v>0</v>
      </c>
      <c r="Q33" s="30">
        <f>IF('Peak Areas'!T29=0,0,((('Peak Areas'!T29*Coefficients!$G$51+Coefficients!$H$51)*$G33)))</f>
        <v>1.419770490793864</v>
      </c>
      <c r="R33" s="30">
        <f>IF('Peak Areas'!U29=0,0,((('Peak Areas'!U29*Coefficients!$G$26+Coefficients!$H$26)*$G33)))</f>
        <v>2.4417916012738328</v>
      </c>
      <c r="S33" s="30">
        <f>IF('Peak Areas'!V29=0,0,((('Peak Areas'!V29*Coefficients!$G$13+Coefficients!$H$13)*$G33)))</f>
        <v>0.33571581200955847</v>
      </c>
      <c r="T33" s="30">
        <f>IF('Peak Areas'!W29=0,0,((('Peak Areas'!W29*Coefficients!$G$12+Coefficients!$H$12)*$G33)))</f>
        <v>0.65207718815855087</v>
      </c>
      <c r="U33" s="30">
        <f>IF('Peak Areas'!X29=0,0,((('Peak Areas'!X29*Coefficients!$G$27+Coefficients!$H$27)*$G33)))</f>
        <v>0.11613569519374406</v>
      </c>
      <c r="V33" s="30">
        <f>IF('Peak Areas'!Y29=0,0,((('Peak Areas'!Y29*Coefficients!$G$34+Coefficients!$H$34)*$G33)))</f>
        <v>2.7868945009066333</v>
      </c>
      <c r="W33" s="30">
        <f>IF('Peak Areas'!Z29=0,0,((('Peak Areas'!Z29*Coefficients!$G$52+Coefficients!$H$52)*$G33)))</f>
        <v>1.5449524569349113</v>
      </c>
      <c r="X33" s="30">
        <f>IF('Peak Areas'!AA29=0,0,((('Peak Areas'!AA29*Coefficients!$G$33+Coefficients!$H$33)*$G33)))</f>
        <v>0.36022859846923272</v>
      </c>
      <c r="Y33" s="30">
        <f>IF('Peak Areas'!AC29=0,0,((('Peak Areas'!AC29*Coefficients!$G$19+Coefficients!$H$19)*$G33)))</f>
        <v>3.9240739342231872</v>
      </c>
      <c r="Z33" s="30">
        <f>IF('Peak Areas'!AD29=0,0,((('Peak Areas'!AD29*Coefficients!$G$18+Coefficients!$H$18)*$G33)))</f>
        <v>0.63904024973704832</v>
      </c>
      <c r="AA33" s="30">
        <f>IF('Peak Areas'!AE29=0,0,((('Peak Areas'!AE29*Coefficients!$G$18+Coefficients!$H$18)*$G33)))</f>
        <v>36.760469473394096</v>
      </c>
      <c r="AB33" s="30">
        <f>IF('Peak Areas'!AF29=0,0,((('Peak Areas'!AF29*Coefficients!$G$18+Coefficients!$H$18)*$G33)))</f>
        <v>1.4051020840032769</v>
      </c>
      <c r="AC33" s="30">
        <f>IF('Peak Areas'!AG29=0,0,((('Peak Areas'!AG29*Coefficients!$G$7+Coefficients!$H$7)*$G33)))</f>
        <v>9.5594956915204907E-2</v>
      </c>
      <c r="AD33" s="30">
        <f>IF('Peak Areas'!AH29=0,0,((('Peak Areas'!AH29*Coefficients!$G$6+Coefficients!$H$6)*$G33)))</f>
        <v>5.0060005082856085</v>
      </c>
      <c r="AF33" s="30">
        <f>IF('Peak Areas'!K29=0,0,((('Peak Areas'!K29*Coefficients!$G$22+Coefficients!$H$22)*$G33)))</f>
        <v>0.23822688245990856</v>
      </c>
      <c r="AG33" s="30">
        <f t="shared" si="0"/>
        <v>36.998696355854001</v>
      </c>
      <c r="AH33" s="30">
        <f t="shared" si="1"/>
        <v>39.042838689594326</v>
      </c>
    </row>
    <row r="34" spans="1:34" x14ac:dyDescent="0.25">
      <c r="A34" s="2">
        <f>'Peak Areas'!A30</f>
        <v>20</v>
      </c>
      <c r="B34" s="62">
        <f>'Peak Areas'!B30</f>
        <v>45809</v>
      </c>
      <c r="C34" s="2" t="str">
        <f>'Peak Areas'!C30</f>
        <v xml:space="preserve">C+P low nut </v>
      </c>
      <c r="D34" s="2">
        <f>'Peak Areas'!D30</f>
        <v>0</v>
      </c>
      <c r="E34" s="2">
        <f>'Peak Areas'!E30</f>
        <v>0</v>
      </c>
      <c r="F34" s="30">
        <f>'Peak Areas'!F30</f>
        <v>0.1</v>
      </c>
      <c r="G34" s="30">
        <f>((1/'Peak Areas'!$G30)*(('Peak Areas'!$H30+('Internal Standard'!$E$10/1000))/'Peak Areas'!$F30)*'Peak Areas'!$J30)*H34</f>
        <v>4.3182827518460462E-2</v>
      </c>
      <c r="H34" s="30">
        <f>(('Internal Standard'!$F$13*('Peak Areas'!G30/'Internal Standard'!$C$10))/'Peak Areas'!AB30)</f>
        <v>1.0160665298461284</v>
      </c>
      <c r="I34" s="30">
        <f>IF('Peak Areas'!L30=0,0,((('Peak Areas'!L30*Coefficients!$G$21+Coefficients!$H$21)*$G34)))</f>
        <v>0</v>
      </c>
      <c r="J34" s="30">
        <f>IF('Peak Areas'!M30=0,0,((('Peak Areas'!M30*Coefficients!$G$20+Coefficients!$H$20)*$G34)))</f>
        <v>0.3872202298385039</v>
      </c>
      <c r="K34" s="30">
        <f>IF('Peak Areas'!N30=0,0,((('Peak Areas'!N30*Coefficients!$G$41+Coefficients!$H$41)*$G34)))</f>
        <v>8.5800489072431846E-2</v>
      </c>
      <c r="L34" s="30">
        <f>IF('Peak Areas'!O30=0,0,((('Peak Areas'!O30*Coefficients!$G$10+Coefficients!$H$10)*$G34)))</f>
        <v>0</v>
      </c>
      <c r="M34" s="30">
        <f>IF('Peak Areas'!P30=0,0,((('Peak Areas'!P30*Coefficients!$G$32+Coefficients!$H$32)*$G34)))</f>
        <v>4.2662011985553647</v>
      </c>
      <c r="N34" s="30">
        <f>IF('Peak Areas'!Q30=0,0,((('Peak Areas'!Q30*Coefficients!$G$11+Coefficients!$H$11)*$G34)))</f>
        <v>0</v>
      </c>
      <c r="O34" s="30">
        <f>IF('Peak Areas'!R30=0,0,((('Peak Areas'!R30*Coefficients!$G$39+Coefficients!$H$39)*$G34)))</f>
        <v>1.1713450022853114</v>
      </c>
      <c r="P34" s="30">
        <f>IF('Peak Areas'!S30=0,0,((('Peak Areas'!S30*Coefficients!$G$46+Coefficients!$H$46)*$G34)))</f>
        <v>0</v>
      </c>
      <c r="Q34" s="30">
        <f>IF('Peak Areas'!T30=0,0,((('Peak Areas'!T30*Coefficients!$G$51+Coefficients!$H$51)*$G34)))</f>
        <v>1.4377071790426552</v>
      </c>
      <c r="R34" s="30">
        <f>IF('Peak Areas'!U30=0,0,((('Peak Areas'!U30*Coefficients!$G$26+Coefficients!$H$26)*$G34)))</f>
        <v>2.3743698823166071</v>
      </c>
      <c r="S34" s="30">
        <f>IF('Peak Areas'!V30=0,0,((('Peak Areas'!V30*Coefficients!$G$13+Coefficients!$H$13)*$G34)))</f>
        <v>0.33904303527096052</v>
      </c>
      <c r="T34" s="30">
        <f>IF('Peak Areas'!W30=0,0,((('Peak Areas'!W30*Coefficients!$G$12+Coefficients!$H$12)*$G34)))</f>
        <v>0.63592288971644828</v>
      </c>
      <c r="U34" s="30">
        <f>IF('Peak Areas'!X30=0,0,((('Peak Areas'!X30*Coefficients!$G$27+Coefficients!$H$27)*$G34)))</f>
        <v>0.10924960060377331</v>
      </c>
      <c r="V34" s="30">
        <f>IF('Peak Areas'!Y30=0,0,((('Peak Areas'!Y30*Coefficients!$G$34+Coefficients!$H$34)*$G34)))</f>
        <v>2.7146670386755121</v>
      </c>
      <c r="W34" s="30">
        <f>IF('Peak Areas'!Z30=0,0,((('Peak Areas'!Z30*Coefficients!$G$52+Coefficients!$H$52)*$G34)))</f>
        <v>1.3972453882818887</v>
      </c>
      <c r="X34" s="30">
        <f>IF('Peak Areas'!AA30=0,0,((('Peak Areas'!AA30*Coefficients!$G$33+Coefficients!$H$33)*$G34)))</f>
        <v>0.33843711699071721</v>
      </c>
      <c r="Y34" s="30">
        <f>IF('Peak Areas'!AC30=0,0,((('Peak Areas'!AC30*Coefficients!$G$19+Coefficients!$H$19)*$G34)))</f>
        <v>3.7804889027090804</v>
      </c>
      <c r="Z34" s="30">
        <f>IF('Peak Areas'!AD30=0,0,((('Peak Areas'!AD30*Coefficients!$G$18+Coefficients!$H$18)*$G34)))</f>
        <v>0.52341410359922569</v>
      </c>
      <c r="AA34" s="30">
        <f>IF('Peak Areas'!AE30=0,0,((('Peak Areas'!AE30*Coefficients!$G$18+Coefficients!$H$18)*$G34)))</f>
        <v>35.94819593023513</v>
      </c>
      <c r="AB34" s="30">
        <f>IF('Peak Areas'!AF30=0,0,((('Peak Areas'!AF30*Coefficients!$G$18+Coefficients!$H$18)*$G34)))</f>
        <v>1.3802955447008847</v>
      </c>
      <c r="AC34" s="30">
        <f>IF('Peak Areas'!AG30=0,0,((('Peak Areas'!AG30*Coefficients!$G$7+Coefficients!$H$7)*$G34)))</f>
        <v>9.8292729024255454E-2</v>
      </c>
      <c r="AD34" s="30">
        <f>IF('Peak Areas'!AH30=0,0,((('Peak Areas'!AH30*Coefficients!$G$6+Coefficients!$H$6)*$G34)))</f>
        <v>5.039372274453692</v>
      </c>
      <c r="AF34" s="30">
        <f>IF('Peak Areas'!K30=0,0,((('Peak Areas'!K30*Coefficients!$G$22+Coefficients!$H$22)*$G34)))</f>
        <v>0.25020168432460849</v>
      </c>
      <c r="AG34" s="30">
        <f t="shared" si="0"/>
        <v>36.198397614559738</v>
      </c>
      <c r="AH34" s="30">
        <f t="shared" si="1"/>
        <v>38.102107262859846</v>
      </c>
    </row>
    <row r="35" spans="1:34" x14ac:dyDescent="0.25">
      <c r="A35" s="2">
        <f>'Peak Areas'!A31</f>
        <v>21</v>
      </c>
      <c r="B35" s="62">
        <f>'Peak Areas'!B31</f>
        <v>45809</v>
      </c>
      <c r="C35" s="2" t="str">
        <f>'Peak Areas'!C31</f>
        <v>C+P high nut</v>
      </c>
      <c r="D35" s="2">
        <f>'Peak Areas'!D31</f>
        <v>0</v>
      </c>
      <c r="E35" s="2">
        <f>'Peak Areas'!E31</f>
        <v>0</v>
      </c>
      <c r="F35" s="30">
        <f>'Peak Areas'!F31</f>
        <v>0.1</v>
      </c>
      <c r="G35" s="30">
        <f>((1/'Peak Areas'!$G31)*(('Peak Areas'!$H31+('Internal Standard'!$E$10/1000))/'Peak Areas'!$F31)*'Peak Areas'!$J31)*H35</f>
        <v>4.323008618286564E-2</v>
      </c>
      <c r="H35" s="30">
        <f>(('Internal Standard'!$F$13*('Peak Areas'!G31/'Internal Standard'!$C$10))/'Peak Areas'!AB31)</f>
        <v>1.017178498420368</v>
      </c>
      <c r="I35" s="30">
        <f>IF('Peak Areas'!L31=0,0,((('Peak Areas'!L31*Coefficients!$G$21+Coefficients!$H$21)*$G35)))</f>
        <v>0</v>
      </c>
      <c r="J35" s="30">
        <f>IF('Peak Areas'!M31=0,0,((('Peak Areas'!M31*Coefficients!$G$20+Coefficients!$H$20)*$G35)))</f>
        <v>0</v>
      </c>
      <c r="K35" s="30">
        <f>IF('Peak Areas'!N31=0,0,((('Peak Areas'!N31*Coefficients!$G$41+Coefficients!$H$41)*$G35)))</f>
        <v>5.0585667190244037E-2</v>
      </c>
      <c r="L35" s="30">
        <f>IF('Peak Areas'!O31=0,0,((('Peak Areas'!O31*Coefficients!$G$10+Coefficients!$H$10)*$G35)))</f>
        <v>0</v>
      </c>
      <c r="M35" s="30">
        <f>IF('Peak Areas'!P31=0,0,((('Peak Areas'!P31*Coefficients!$G$32+Coefficients!$H$32)*$G35)))</f>
        <v>0.67433607102320881</v>
      </c>
      <c r="N35" s="30">
        <f>IF('Peak Areas'!Q31=0,0,((('Peak Areas'!Q31*Coefficients!$G$11+Coefficients!$H$11)*$G35)))</f>
        <v>0</v>
      </c>
      <c r="O35" s="30">
        <f>IF('Peak Areas'!R31=0,0,((('Peak Areas'!R31*Coefficients!$G$39+Coefficients!$H$39)*$G35)))</f>
        <v>0.32555031889396524</v>
      </c>
      <c r="P35" s="30">
        <f>IF('Peak Areas'!S31=0,0,((('Peak Areas'!S31*Coefficients!$G$46+Coefficients!$H$46)*$G35)))</f>
        <v>0</v>
      </c>
      <c r="Q35" s="30">
        <f>IF('Peak Areas'!T31=0,0,((('Peak Areas'!T31*Coefficients!$G$51+Coefficients!$H$51)*$G35)))</f>
        <v>0.31235813007088664</v>
      </c>
      <c r="R35" s="30">
        <f>IF('Peak Areas'!U31=0,0,((('Peak Areas'!U31*Coefficients!$G$26+Coefficients!$H$26)*$G35)))</f>
        <v>0.78679585648113548</v>
      </c>
      <c r="S35" s="30">
        <f>IF('Peak Areas'!V31=0,0,((('Peak Areas'!V31*Coefficients!$G$13+Coefficients!$H$13)*$G35)))</f>
        <v>0.13048998930781583</v>
      </c>
      <c r="T35" s="30">
        <f>IF('Peak Areas'!W31=0,0,((('Peak Areas'!W31*Coefficients!$G$12+Coefficients!$H$12)*$G35)))</f>
        <v>0.18166106933553827</v>
      </c>
      <c r="U35" s="30">
        <f>IF('Peak Areas'!X31=0,0,((('Peak Areas'!X31*Coefficients!$G$27+Coefficients!$H$27)*$G35)))</f>
        <v>0.10458817317305616</v>
      </c>
      <c r="V35" s="30">
        <f>IF('Peak Areas'!Y31=0,0,((('Peak Areas'!Y31*Coefficients!$G$34+Coefficients!$H$34)*$G35)))</f>
        <v>1.0649725256224454</v>
      </c>
      <c r="W35" s="30">
        <f>IF('Peak Areas'!Z31=0,0,((('Peak Areas'!Z31*Coefficients!$G$52+Coefficients!$H$52)*$G35)))</f>
        <v>0.53628639510337006</v>
      </c>
      <c r="X35" s="30">
        <f>IF('Peak Areas'!AA31=0,0,((('Peak Areas'!AA31*Coefficients!$G$33+Coefficients!$H$33)*$G35)))</f>
        <v>0.25239498135900207</v>
      </c>
      <c r="Y35" s="30">
        <f>IF('Peak Areas'!AC31=0,0,((('Peak Areas'!AC31*Coefficients!$G$19+Coefficients!$H$19)*$G35)))</f>
        <v>1.7815188034260523</v>
      </c>
      <c r="Z35" s="30">
        <f>IF('Peak Areas'!AD31=0,0,((('Peak Areas'!AD31*Coefficients!$G$18+Coefficients!$H$18)*$G35)))</f>
        <v>0.74312390187290933</v>
      </c>
      <c r="AA35" s="30">
        <f>IF('Peak Areas'!AE31=0,0,((('Peak Areas'!AE31*Coefficients!$G$18+Coefficients!$H$18)*$G35)))</f>
        <v>10.327150107662959</v>
      </c>
      <c r="AB35" s="30">
        <f>IF('Peak Areas'!AF31=0,0,((('Peak Areas'!AF31*Coefficients!$G$18+Coefficients!$H$18)*$G35)))</f>
        <v>0.40003614752819533</v>
      </c>
      <c r="AC35" s="30">
        <f>IF('Peak Areas'!AG31=0,0,((('Peak Areas'!AG31*Coefficients!$G$7+Coefficients!$H$7)*$G35)))</f>
        <v>0</v>
      </c>
      <c r="AD35" s="30">
        <f>IF('Peak Areas'!AH31=0,0,((('Peak Areas'!AH31*Coefficients!$G$6+Coefficients!$H$6)*$G35)))</f>
        <v>1.3581567052999357</v>
      </c>
      <c r="AF35" s="30">
        <f>IF('Peak Areas'!K31=0,0,((('Peak Areas'!K31*Coefficients!$G$22+Coefficients!$H$22)*$G35)))</f>
        <v>0.11281371349599727</v>
      </c>
      <c r="AG35" s="30">
        <f t="shared" si="0"/>
        <v>10.439963821158956</v>
      </c>
      <c r="AH35" s="30">
        <f t="shared" si="1"/>
        <v>11.583123870560062</v>
      </c>
    </row>
    <row r="36" spans="1:34" x14ac:dyDescent="0.25">
      <c r="A36" s="2">
        <f>'Peak Areas'!A32</f>
        <v>22</v>
      </c>
      <c r="B36" s="62">
        <f>'Peak Areas'!B32</f>
        <v>45809</v>
      </c>
      <c r="C36" s="2" t="str">
        <f>'Peak Areas'!C32</f>
        <v>C+P high nut</v>
      </c>
      <c r="D36" s="2">
        <f>'Peak Areas'!D32</f>
        <v>0</v>
      </c>
      <c r="E36" s="2">
        <f>'Peak Areas'!E32</f>
        <v>0</v>
      </c>
      <c r="F36" s="30">
        <f>'Peak Areas'!F32</f>
        <v>0.1</v>
      </c>
      <c r="G36" s="30">
        <f>((1/'Peak Areas'!$G32)*(('Peak Areas'!$H32+('Internal Standard'!$E$10/1000))/'Peak Areas'!$F32)*'Peak Areas'!$J32)*H36</f>
        <v>4.4196184719880308E-2</v>
      </c>
      <c r="H36" s="30">
        <f>(('Internal Standard'!$F$13*('Peak Areas'!G32/'Internal Standard'!$C$10))/'Peak Areas'!AB32)</f>
        <v>1.0399102287030659</v>
      </c>
      <c r="I36" s="30">
        <f>IF('Peak Areas'!L32=0,0,((('Peak Areas'!L32*Coefficients!$G$21+Coefficients!$H$21)*$G36)))</f>
        <v>0</v>
      </c>
      <c r="J36" s="30">
        <f>IF('Peak Areas'!M32=0,0,((('Peak Areas'!M32*Coefficients!$G$20+Coefficients!$H$20)*$G36)))</f>
        <v>0</v>
      </c>
      <c r="K36" s="30">
        <f>IF('Peak Areas'!N32=0,0,((('Peak Areas'!N32*Coefficients!$G$41+Coefficients!$H$41)*$G36)))</f>
        <v>4.289871644113509E-2</v>
      </c>
      <c r="L36" s="30">
        <f>IF('Peak Areas'!O32=0,0,((('Peak Areas'!O32*Coefficients!$G$10+Coefficients!$H$10)*$G36)))</f>
        <v>0</v>
      </c>
      <c r="M36" s="30">
        <f>IF('Peak Areas'!P32=0,0,((('Peak Areas'!P32*Coefficients!$G$32+Coefficients!$H$32)*$G36)))</f>
        <v>0.46975431168033971</v>
      </c>
      <c r="N36" s="30">
        <f>IF('Peak Areas'!Q32=0,0,((('Peak Areas'!Q32*Coefficients!$G$11+Coefficients!$H$11)*$G36)))</f>
        <v>0</v>
      </c>
      <c r="O36" s="30">
        <f>IF('Peak Areas'!R32=0,0,((('Peak Areas'!R32*Coefficients!$G$39+Coefficients!$H$39)*$G36)))</f>
        <v>0.36879290325436148</v>
      </c>
      <c r="P36" s="30">
        <f>IF('Peak Areas'!S32=0,0,((('Peak Areas'!S32*Coefficients!$G$46+Coefficients!$H$46)*$G36)))</f>
        <v>0</v>
      </c>
      <c r="Q36" s="30">
        <f>IF('Peak Areas'!T32=0,0,((('Peak Areas'!T32*Coefficients!$G$51+Coefficients!$H$51)*$G36)))</f>
        <v>0.26594302145260384</v>
      </c>
      <c r="R36" s="30">
        <f>IF('Peak Areas'!U32=0,0,((('Peak Areas'!U32*Coefficients!$G$26+Coefficients!$H$26)*$G36)))</f>
        <v>0.68278844720265386</v>
      </c>
      <c r="S36" s="30">
        <f>IF('Peak Areas'!V32=0,0,((('Peak Areas'!V32*Coefficients!$G$13+Coefficients!$H$13)*$G36)))</f>
        <v>0.18752061936874273</v>
      </c>
      <c r="T36" s="30">
        <f>IF('Peak Areas'!W32=0,0,((('Peak Areas'!W32*Coefficients!$G$12+Coefficients!$H$12)*$G36)))</f>
        <v>0.147032410291077</v>
      </c>
      <c r="U36" s="30">
        <f>IF('Peak Areas'!X32=0,0,((('Peak Areas'!X32*Coefficients!$G$27+Coefficients!$H$27)*$G36)))</f>
        <v>0.10577249263474053</v>
      </c>
      <c r="V36" s="30">
        <f>IF('Peak Areas'!Y32=0,0,((('Peak Areas'!Y32*Coefficients!$G$34+Coefficients!$H$34)*$G36)))</f>
        <v>1.096999011900269</v>
      </c>
      <c r="W36" s="30">
        <f>IF('Peak Areas'!Z32=0,0,((('Peak Areas'!Z32*Coefficients!$G$52+Coefficients!$H$52)*$G36)))</f>
        <v>0.50693239013658542</v>
      </c>
      <c r="X36" s="30">
        <f>IF('Peak Areas'!AA32=0,0,((('Peak Areas'!AA32*Coefficients!$G$33+Coefficients!$H$33)*$G36)))</f>
        <v>0.15075821097534053</v>
      </c>
      <c r="Y36" s="30">
        <f>IF('Peak Areas'!AC32=0,0,((('Peak Areas'!AC32*Coefficients!$G$19+Coefficients!$H$19)*$G36)))</f>
        <v>1.6985812316439297</v>
      </c>
      <c r="Z36" s="30">
        <f>IF('Peak Areas'!AD32=0,0,((('Peak Areas'!AD32*Coefficients!$G$18+Coefficients!$H$18)*$G36)))</f>
        <v>0.74793104401999666</v>
      </c>
      <c r="AA36" s="30">
        <f>IF('Peak Areas'!AE32=0,0,((('Peak Areas'!AE32*Coefficients!$G$18+Coefficients!$H$18)*$G36)))</f>
        <v>8.8954478880297518</v>
      </c>
      <c r="AB36" s="30">
        <f>IF('Peak Areas'!AF32=0,0,((('Peak Areas'!AF32*Coefficients!$G$18+Coefficients!$H$18)*$G36)))</f>
        <v>0.38301965848255642</v>
      </c>
      <c r="AC36" s="30">
        <f>IF('Peak Areas'!AG32=0,0,((('Peak Areas'!AG32*Coefficients!$G$7+Coefficients!$H$7)*$G36)))</f>
        <v>0</v>
      </c>
      <c r="AD36" s="30">
        <f>IF('Peak Areas'!AH32=0,0,((('Peak Areas'!AH32*Coefficients!$G$6+Coefficients!$H$6)*$G36)))</f>
        <v>1.1543148278623603</v>
      </c>
      <c r="AF36" s="30">
        <f>IF('Peak Areas'!K32=0,0,((('Peak Areas'!K32*Coefficients!$G$22+Coefficients!$H$22)*$G36)))</f>
        <v>0.12519431908654827</v>
      </c>
      <c r="AG36" s="30">
        <f t="shared" si="0"/>
        <v>9.0206422071162997</v>
      </c>
      <c r="AH36" s="30">
        <f t="shared" si="1"/>
        <v>10.151592909618852</v>
      </c>
    </row>
    <row r="37" spans="1:34" x14ac:dyDescent="0.25">
      <c r="A37" s="2">
        <f>'Peak Areas'!A33</f>
        <v>23</v>
      </c>
      <c r="B37" s="62">
        <f>'Peak Areas'!B33</f>
        <v>45809</v>
      </c>
      <c r="C37" s="2" t="str">
        <f>'Peak Areas'!C33</f>
        <v>C+Q low</v>
      </c>
      <c r="D37" s="2">
        <f>'Peak Areas'!D33</f>
        <v>0</v>
      </c>
      <c r="E37" s="2">
        <f>'Peak Areas'!E33</f>
        <v>0</v>
      </c>
      <c r="F37" s="30">
        <f>'Peak Areas'!F33</f>
        <v>0.1</v>
      </c>
      <c r="G37" s="30">
        <f>((1/'Peak Areas'!$G33)*(('Peak Areas'!$H33+('Internal Standard'!$E$10/1000))/'Peak Areas'!$F33)*'Peak Areas'!$J33)*H37</f>
        <v>4.5798565916697662E-2</v>
      </c>
      <c r="H37" s="30">
        <f>(('Internal Standard'!$F$13*('Peak Areas'!G33/'Internal Standard'!$C$10))/'Peak Areas'!AB33)</f>
        <v>1.0776133156870038</v>
      </c>
      <c r="I37" s="30">
        <f>IF('Peak Areas'!L33=0,0,((('Peak Areas'!L33*Coefficients!$G$21+Coefficients!$H$21)*$G37)))</f>
        <v>0</v>
      </c>
      <c r="J37" s="30">
        <f>IF('Peak Areas'!M33=0,0,((('Peak Areas'!M33*Coefficients!$G$20+Coefficients!$H$20)*$G37)))</f>
        <v>0.43513180596528811</v>
      </c>
      <c r="K37" s="30">
        <f>IF('Peak Areas'!N33=0,0,((('Peak Areas'!N33*Coefficients!$G$41+Coefficients!$H$41)*$G37)))</f>
        <v>9.3007897301517775E-2</v>
      </c>
      <c r="L37" s="30">
        <f>IF('Peak Areas'!O33=0,0,((('Peak Areas'!O33*Coefficients!$G$10+Coefficients!$H$10)*$G37)))</f>
        <v>0</v>
      </c>
      <c r="M37" s="30">
        <f>IF('Peak Areas'!P33=0,0,((('Peak Areas'!P33*Coefficients!$G$32+Coefficients!$H$32)*$G37)))</f>
        <v>4.2073148376282061</v>
      </c>
      <c r="N37" s="30">
        <f>IF('Peak Areas'!Q33=0,0,((('Peak Areas'!Q33*Coefficients!$G$11+Coefficients!$H$11)*$G37)))</f>
        <v>0</v>
      </c>
      <c r="O37" s="30">
        <f>IF('Peak Areas'!R33=0,0,((('Peak Areas'!R33*Coefficients!$G$39+Coefficients!$H$39)*$G37)))</f>
        <v>0.56756021293141823</v>
      </c>
      <c r="P37" s="30">
        <f>IF('Peak Areas'!S33=0,0,((('Peak Areas'!S33*Coefficients!$G$46+Coefficients!$H$46)*$G37)))</f>
        <v>0</v>
      </c>
      <c r="Q37" s="30">
        <f>IF('Peak Areas'!T33=0,0,((('Peak Areas'!T33*Coefficients!$G$51+Coefficients!$H$51)*$G37)))</f>
        <v>1.4436188195387856</v>
      </c>
      <c r="R37" s="30">
        <f>IF('Peak Areas'!U33=0,0,((('Peak Areas'!U33*Coefficients!$G$26+Coefficients!$H$26)*$G37)))</f>
        <v>2.7361908215595454</v>
      </c>
      <c r="S37" s="30">
        <f>IF('Peak Areas'!V33=0,0,((('Peak Areas'!V33*Coefficients!$G$13+Coefficients!$H$13)*$G37)))</f>
        <v>0.38658692725615246</v>
      </c>
      <c r="T37" s="30">
        <f>IF('Peak Areas'!W33=0,0,((('Peak Areas'!W33*Coefficients!$G$12+Coefficients!$H$12)*$G37)))</f>
        <v>0.65860143560228346</v>
      </c>
      <c r="U37" s="30">
        <f>IF('Peak Areas'!X33=0,0,((('Peak Areas'!X33*Coefficients!$G$27+Coefficients!$H$27)*$G37)))</f>
        <v>0.19504433047684558</v>
      </c>
      <c r="V37" s="30">
        <f>IF('Peak Areas'!Y33=0,0,((('Peak Areas'!Y33*Coefficients!$G$34+Coefficients!$H$34)*$G37)))</f>
        <v>2.7271296894965049</v>
      </c>
      <c r="W37" s="30">
        <f>IF('Peak Areas'!Z33=0,0,((('Peak Areas'!Z33*Coefficients!$G$52+Coefficients!$H$52)*$G37)))</f>
        <v>1.6097867110563977</v>
      </c>
      <c r="X37" s="30">
        <f>IF('Peak Areas'!AA33=0,0,((('Peak Areas'!AA33*Coefficients!$G$33+Coefficients!$H$33)*$G37)))</f>
        <v>0.19935061130343426</v>
      </c>
      <c r="Y37" s="30">
        <f>IF('Peak Areas'!AC33=0,0,((('Peak Areas'!AC33*Coefficients!$G$19+Coefficients!$H$19)*$G37)))</f>
        <v>4.1084370791469302</v>
      </c>
      <c r="Z37" s="30">
        <f>IF('Peak Areas'!AD33=0,0,((('Peak Areas'!AD33*Coefficients!$G$18+Coefficients!$H$18)*$G37)))</f>
        <v>0.72629036562383797</v>
      </c>
      <c r="AA37" s="30">
        <f>IF('Peak Areas'!AE33=0,0,((('Peak Areas'!AE33*Coefficients!$G$18+Coefficients!$H$18)*$G37)))</f>
        <v>36.500282192475716</v>
      </c>
      <c r="AB37" s="30">
        <f>IF('Peak Areas'!AF33=0,0,((('Peak Areas'!AF33*Coefficients!$G$18+Coefficients!$H$18)*$G37)))</f>
        <v>1.3866539612422719</v>
      </c>
      <c r="AC37" s="30">
        <f>IF('Peak Areas'!AG33=0,0,((('Peak Areas'!AG33*Coefficients!$G$7+Coefficients!$H$7)*$G37)))</f>
        <v>7.4295090637974154E-2</v>
      </c>
      <c r="AD37" s="30">
        <f>IF('Peak Areas'!AH33=0,0,((('Peak Areas'!AH33*Coefficients!$G$6+Coefficients!$H$6)*$G37)))</f>
        <v>4.130479471101852</v>
      </c>
      <c r="AF37" s="30">
        <f>IF('Peak Areas'!K33=0,0,((('Peak Areas'!K33*Coefficients!$G$22+Coefficients!$H$22)*$G37)))</f>
        <v>0.41692228776632867</v>
      </c>
      <c r="AG37" s="30">
        <f t="shared" si="0"/>
        <v>36.917204480242042</v>
      </c>
      <c r="AH37" s="30">
        <f t="shared" si="1"/>
        <v>39.030148807108155</v>
      </c>
    </row>
    <row r="38" spans="1:34" x14ac:dyDescent="0.25">
      <c r="A38" s="2">
        <f>'Peak Areas'!A34</f>
        <v>24</v>
      </c>
      <c r="B38" s="62">
        <f>'Peak Areas'!B34</f>
        <v>45809</v>
      </c>
      <c r="C38" s="2" t="str">
        <f>'Peak Areas'!C34</f>
        <v>C+Q low</v>
      </c>
      <c r="D38" s="2">
        <f>'Peak Areas'!D34</f>
        <v>0</v>
      </c>
      <c r="E38" s="2">
        <f>'Peak Areas'!E34</f>
        <v>0</v>
      </c>
      <c r="F38" s="30">
        <f>'Peak Areas'!F34</f>
        <v>0.1</v>
      </c>
      <c r="G38" s="30">
        <f>((1/'Peak Areas'!$G34)*(('Peak Areas'!$H34+('Internal Standard'!$E$10/1000))/'Peak Areas'!$F34)*'Peak Areas'!$J34)*H38</f>
        <v>4.4437271661179022E-2</v>
      </c>
      <c r="H38" s="30">
        <f>(('Internal Standard'!$F$13*('Peak Areas'!G34/'Internal Standard'!$C$10))/'Peak Areas'!AB34)</f>
        <v>1.0455828626159769</v>
      </c>
      <c r="I38" s="30">
        <f>IF('Peak Areas'!L34=0,0,((('Peak Areas'!L34*Coefficients!$G$21+Coefficients!$H$21)*$G38)))</f>
        <v>0</v>
      </c>
      <c r="J38" s="30">
        <f>IF('Peak Areas'!M34=0,0,((('Peak Areas'!M34*Coefficients!$G$20+Coefficients!$H$20)*$G38)))</f>
        <v>0.47349520534398726</v>
      </c>
      <c r="K38" s="30">
        <f>IF('Peak Areas'!N34=0,0,((('Peak Areas'!N34*Coefficients!$G$41+Coefficients!$H$41)*$G38)))</f>
        <v>0.14406099138615197</v>
      </c>
      <c r="L38" s="30">
        <f>IF('Peak Areas'!O34=0,0,((('Peak Areas'!O34*Coefficients!$G$10+Coefficients!$H$10)*$G38)))</f>
        <v>0</v>
      </c>
      <c r="M38" s="30">
        <f>IF('Peak Areas'!P34=0,0,((('Peak Areas'!P34*Coefficients!$G$32+Coefficients!$H$32)*$G38)))</f>
        <v>4.5691959295216522</v>
      </c>
      <c r="N38" s="30">
        <f>IF('Peak Areas'!Q34=0,0,((('Peak Areas'!Q34*Coefficients!$G$11+Coefficients!$H$11)*$G38)))</f>
        <v>0</v>
      </c>
      <c r="O38" s="30">
        <f>IF('Peak Areas'!R34=0,0,((('Peak Areas'!R34*Coefficients!$G$39+Coefficients!$H$39)*$G38)))</f>
        <v>0.59707972299778755</v>
      </c>
      <c r="P38" s="30">
        <f>IF('Peak Areas'!S34=0,0,((('Peak Areas'!S34*Coefficients!$G$46+Coefficients!$H$46)*$G38)))</f>
        <v>0</v>
      </c>
      <c r="Q38" s="30">
        <f>IF('Peak Areas'!T34=0,0,((('Peak Areas'!T34*Coefficients!$G$51+Coefficients!$H$51)*$G38)))</f>
        <v>1.4257690082150645</v>
      </c>
      <c r="R38" s="30">
        <f>IF('Peak Areas'!U34=0,0,((('Peak Areas'!U34*Coefficients!$G$26+Coefficients!$H$26)*$G38)))</f>
        <v>2.8753744098617657</v>
      </c>
      <c r="S38" s="30">
        <f>IF('Peak Areas'!V34=0,0,((('Peak Areas'!V34*Coefficients!$G$13+Coefficients!$H$13)*$G38)))</f>
        <v>0.42336915277374443</v>
      </c>
      <c r="T38" s="30">
        <f>IF('Peak Areas'!W34=0,0,((('Peak Areas'!W34*Coefficients!$G$12+Coefficients!$H$12)*$G38)))</f>
        <v>0.70396059902001351</v>
      </c>
      <c r="U38" s="30">
        <f>IF('Peak Areas'!X34=0,0,((('Peak Areas'!X34*Coefficients!$G$27+Coefficients!$H$27)*$G38)))</f>
        <v>0.23608440538350431</v>
      </c>
      <c r="V38" s="30">
        <f>IF('Peak Areas'!Y34=0,0,((('Peak Areas'!Y34*Coefficients!$G$34+Coefficients!$H$34)*$G38)))</f>
        <v>2.651806528169169</v>
      </c>
      <c r="W38" s="30">
        <f>IF('Peak Areas'!Z34=0,0,((('Peak Areas'!Z34*Coefficients!$G$52+Coefficients!$H$52)*$G38)))</f>
        <v>1.7468892437630532</v>
      </c>
      <c r="X38" s="30">
        <f>IF('Peak Areas'!AA34=0,0,((('Peak Areas'!AA34*Coefficients!$G$33+Coefficients!$H$33)*$G38)))</f>
        <v>0.18628836439341329</v>
      </c>
      <c r="Y38" s="30">
        <f>IF('Peak Areas'!AC34=0,0,((('Peak Areas'!AC34*Coefficients!$G$19+Coefficients!$H$19)*$G38)))</f>
        <v>3.9374137142544039</v>
      </c>
      <c r="Z38" s="30">
        <f>IF('Peak Areas'!AD34=0,0,((('Peak Areas'!AD34*Coefficients!$G$18+Coefficients!$H$18)*$G38)))</f>
        <v>0.70848938234828163</v>
      </c>
      <c r="AA38" s="30">
        <f>IF('Peak Areas'!AE34=0,0,((('Peak Areas'!AE34*Coefficients!$G$18+Coefficients!$H$18)*$G38)))</f>
        <v>37.469124815359876</v>
      </c>
      <c r="AB38" s="30">
        <f>IF('Peak Areas'!AF34=0,0,((('Peak Areas'!AF34*Coefficients!$G$18+Coefficients!$H$18)*$G38)))</f>
        <v>1.5067268470177824</v>
      </c>
      <c r="AC38" s="30">
        <f>IF('Peak Areas'!AG34=0,0,((('Peak Areas'!AG34*Coefficients!$G$7+Coefficients!$H$7)*$G38)))</f>
        <v>8.3349128390991609E-2</v>
      </c>
      <c r="AD38" s="30">
        <f>IF('Peak Areas'!AH34=0,0,((('Peak Areas'!AH34*Coefficients!$G$6+Coefficients!$H$6)*$G38)))</f>
        <v>4.9676754755453674</v>
      </c>
      <c r="AF38" s="30">
        <f>IF('Peak Areas'!K34=0,0,((('Peak Areas'!K34*Coefficients!$G$22+Coefficients!$H$22)*$G38)))</f>
        <v>0.34196664985967223</v>
      </c>
      <c r="AG38" s="30">
        <f t="shared" si="0"/>
        <v>37.811091465219548</v>
      </c>
      <c r="AH38" s="30">
        <f t="shared" si="1"/>
        <v>40.026307694585611</v>
      </c>
    </row>
    <row r="39" spans="1:34" x14ac:dyDescent="0.25">
      <c r="A39" s="2">
        <f>'Peak Areas'!A35</f>
        <v>25</v>
      </c>
      <c r="B39" s="62">
        <f>'Peak Areas'!B35</f>
        <v>45809</v>
      </c>
      <c r="C39" s="2" t="str">
        <f>'Peak Areas'!C35</f>
        <v>C+Q high</v>
      </c>
      <c r="D39" s="2">
        <f>'Peak Areas'!D35</f>
        <v>0</v>
      </c>
      <c r="E39" s="2">
        <f>'Peak Areas'!E35</f>
        <v>0</v>
      </c>
      <c r="F39" s="30">
        <f>'Peak Areas'!F35</f>
        <v>0.1</v>
      </c>
      <c r="G39" s="30">
        <f>((1/'Peak Areas'!$G35)*(('Peak Areas'!$H35+('Internal Standard'!$E$10/1000))/'Peak Areas'!$F35)*'Peak Areas'!$J35)*H39</f>
        <v>4.4067805807923341E-2</v>
      </c>
      <c r="H39" s="30">
        <f>(('Internal Standard'!$F$13*('Peak Areas'!G35/'Internal Standard'!$C$10))/'Peak Areas'!AB35)</f>
        <v>1.0368895484217255</v>
      </c>
      <c r="I39" s="30">
        <f>IF('Peak Areas'!L35=0,0,((('Peak Areas'!L35*Coefficients!$G$21+Coefficients!$H$21)*$G39)))</f>
        <v>0</v>
      </c>
      <c r="J39" s="30">
        <f>IF('Peak Areas'!M35=0,0,((('Peak Areas'!M35*Coefficients!$G$20+Coefficients!$H$20)*$G39)))</f>
        <v>0.17584609227188283</v>
      </c>
      <c r="K39" s="30">
        <f>IF('Peak Areas'!N35=0,0,((('Peak Areas'!N35*Coefficients!$G$41+Coefficients!$H$41)*$G39)))</f>
        <v>9.0746852974419659E-2</v>
      </c>
      <c r="L39" s="30">
        <f>IF('Peak Areas'!O35=0,0,((('Peak Areas'!O35*Coefficients!$G$10+Coefficients!$H$10)*$G39)))</f>
        <v>0</v>
      </c>
      <c r="M39" s="30">
        <f>IF('Peak Areas'!P35=0,0,((('Peak Areas'!P35*Coefficients!$G$32+Coefficients!$H$32)*$G39)))</f>
        <v>1.4015020028444225</v>
      </c>
      <c r="N39" s="30">
        <f>IF('Peak Areas'!Q35=0,0,((('Peak Areas'!Q35*Coefficients!$G$11+Coefficients!$H$11)*$G39)))</f>
        <v>0</v>
      </c>
      <c r="O39" s="30">
        <f>IF('Peak Areas'!R35=0,0,((('Peak Areas'!R35*Coefficients!$G$39+Coefficients!$H$39)*$G39)))</f>
        <v>0.30780667780086096</v>
      </c>
      <c r="P39" s="30">
        <f>IF('Peak Areas'!S35=0,0,((('Peak Areas'!S35*Coefficients!$G$46+Coefficients!$H$46)*$G39)))</f>
        <v>0</v>
      </c>
      <c r="Q39" s="30">
        <f>IF('Peak Areas'!T35=0,0,((('Peak Areas'!T35*Coefficients!$G$51+Coefficients!$H$51)*$G39)))</f>
        <v>0.64247762304878375</v>
      </c>
      <c r="R39" s="30">
        <f>IF('Peak Areas'!U35=0,0,((('Peak Areas'!U35*Coefficients!$G$26+Coefficients!$H$26)*$G39)))</f>
        <v>1.3616543957912774</v>
      </c>
      <c r="S39" s="30">
        <f>IF('Peak Areas'!V35=0,0,((('Peak Areas'!V35*Coefficients!$G$13+Coefficients!$H$13)*$G39)))</f>
        <v>0.31190832430894927</v>
      </c>
      <c r="T39" s="30">
        <f>IF('Peak Areas'!W35=0,0,((('Peak Areas'!W35*Coefficients!$G$12+Coefficients!$H$12)*$G39)))</f>
        <v>0.30964166668465654</v>
      </c>
      <c r="U39" s="30">
        <f>IF('Peak Areas'!X35=0,0,((('Peak Areas'!X35*Coefficients!$G$27+Coefficients!$H$27)*$G39)))</f>
        <v>0.24047485156348222</v>
      </c>
      <c r="V39" s="30">
        <f>IF('Peak Areas'!Y35=0,0,((('Peak Areas'!Y35*Coefficients!$G$34+Coefficients!$H$34)*$G39)))</f>
        <v>1.8179639353181907</v>
      </c>
      <c r="W39" s="30">
        <f>IF('Peak Areas'!Z35=0,0,((('Peak Areas'!Z35*Coefficients!$G$52+Coefficients!$H$52)*$G39)))</f>
        <v>1.1466632571600188</v>
      </c>
      <c r="X39" s="30">
        <f>IF('Peak Areas'!AA35=0,0,((('Peak Areas'!AA35*Coefficients!$G$33+Coefficients!$H$33)*$G39)))</f>
        <v>0.22492148602521148</v>
      </c>
      <c r="Y39" s="30">
        <f>IF('Peak Areas'!AC35=0,0,((('Peak Areas'!AC35*Coefficients!$G$19+Coefficients!$H$19)*$G39)))</f>
        <v>2.6653261437258489</v>
      </c>
      <c r="Z39" s="30">
        <f>IF('Peak Areas'!AD35=0,0,((('Peak Areas'!AD35*Coefficients!$G$18+Coefficients!$H$18)*$G39)))</f>
        <v>1.1026170260684629</v>
      </c>
      <c r="AA39" s="30">
        <f>IF('Peak Areas'!AE35=0,0,((('Peak Areas'!AE35*Coefficients!$G$18+Coefficients!$H$18)*$G39)))</f>
        <v>17.838893848047878</v>
      </c>
      <c r="AB39" s="30">
        <f>IF('Peak Areas'!AF35=0,0,((('Peak Areas'!AF35*Coefficients!$G$18+Coefficients!$H$18)*$G39)))</f>
        <v>0.71388356798355612</v>
      </c>
      <c r="AC39" s="30">
        <f>IF('Peak Areas'!AG35=0,0,((('Peak Areas'!AG35*Coefficients!$G$7+Coefficients!$H$7)*$G39)))</f>
        <v>3.955624809610956E-2</v>
      </c>
      <c r="AD39" s="30">
        <f>IF('Peak Areas'!AH35=0,0,((('Peak Areas'!AH35*Coefficients!$G$6+Coefficients!$H$6)*$G39)))</f>
        <v>2.4077898709496082</v>
      </c>
      <c r="AF39" s="30">
        <f>IF('Peak Areas'!K35=0,0,((('Peak Areas'!K35*Coefficients!$G$22+Coefficients!$H$22)*$G39)))</f>
        <v>0.18729002171083936</v>
      </c>
      <c r="AG39" s="30">
        <f t="shared" si="0"/>
        <v>18.026183869758718</v>
      </c>
      <c r="AH39" s="30">
        <f t="shared" si="1"/>
        <v>19.842684463810734</v>
      </c>
    </row>
    <row r="40" spans="1:34" x14ac:dyDescent="0.25">
      <c r="A40" s="2">
        <f>'Peak Areas'!A36</f>
        <v>26</v>
      </c>
      <c r="B40" s="62">
        <f>'Peak Areas'!B36</f>
        <v>45809</v>
      </c>
      <c r="C40" s="2" t="str">
        <f>'Peak Areas'!C36</f>
        <v>C+Q high</v>
      </c>
      <c r="D40" s="2">
        <f>'Peak Areas'!D36</f>
        <v>0</v>
      </c>
      <c r="E40" s="2">
        <f>'Peak Areas'!E36</f>
        <v>0</v>
      </c>
      <c r="F40" s="30">
        <f>'Peak Areas'!F36</f>
        <v>0.1</v>
      </c>
      <c r="G40" s="30">
        <f>((1/'Peak Areas'!$G36)*(('Peak Areas'!$H36+('Internal Standard'!$E$10/1000))/'Peak Areas'!$F36)*'Peak Areas'!$J36)*H40</f>
        <v>4.3406768734369126E-2</v>
      </c>
      <c r="H40" s="30">
        <f>(('Internal Standard'!$F$13*('Peak Areas'!G36/'Internal Standard'!$C$10))/'Peak Areas'!AB36)</f>
        <v>1.0213357349263323</v>
      </c>
      <c r="I40" s="30">
        <f>IF('Peak Areas'!L36=0,0,((('Peak Areas'!L36*Coefficients!$G$21+Coefficients!$H$21)*$G40)))</f>
        <v>0</v>
      </c>
      <c r="J40" s="30">
        <f>IF('Peak Areas'!M36=0,0,((('Peak Areas'!M36*Coefficients!$G$20+Coefficients!$H$20)*$G40)))</f>
        <v>0.11214911046348514</v>
      </c>
      <c r="K40" s="30">
        <f>IF('Peak Areas'!N36=0,0,((('Peak Areas'!N36*Coefficients!$G$41+Coefficients!$H$41)*$G40)))</f>
        <v>5.832279207079246E-2</v>
      </c>
      <c r="L40" s="30">
        <f>IF('Peak Areas'!O36=0,0,((('Peak Areas'!O36*Coefficients!$G$10+Coefficients!$H$10)*$G40)))</f>
        <v>0</v>
      </c>
      <c r="M40" s="30">
        <f>IF('Peak Areas'!P36=0,0,((('Peak Areas'!P36*Coefficients!$G$32+Coefficients!$H$32)*$G40)))</f>
        <v>0.78709587452563878</v>
      </c>
      <c r="N40" s="30">
        <f>IF('Peak Areas'!Q36=0,0,((('Peak Areas'!Q36*Coefficients!$G$11+Coefficients!$H$11)*$G40)))</f>
        <v>0</v>
      </c>
      <c r="O40" s="30">
        <f>IF('Peak Areas'!R36=0,0,((('Peak Areas'!R36*Coefficients!$G$39+Coefficients!$H$39)*$G40)))</f>
        <v>0.42834615667682446</v>
      </c>
      <c r="P40" s="30">
        <f>IF('Peak Areas'!S36=0,0,((('Peak Areas'!S36*Coefficients!$G$46+Coefficients!$H$46)*$G40)))</f>
        <v>0</v>
      </c>
      <c r="Q40" s="30">
        <f>IF('Peak Areas'!T36=0,0,((('Peak Areas'!T36*Coefficients!$G$51+Coefficients!$H$51)*$G40)))</f>
        <v>0.45093117595328935</v>
      </c>
      <c r="R40" s="30">
        <f>IF('Peak Areas'!U36=0,0,((('Peak Areas'!U36*Coefficients!$G$26+Coefficients!$H$26)*$G40)))</f>
        <v>0.99673832330093237</v>
      </c>
      <c r="S40" s="30">
        <f>IF('Peak Areas'!V36=0,0,((('Peak Areas'!V36*Coefficients!$G$13+Coefficients!$H$13)*$G40)))</f>
        <v>0.22636987464655151</v>
      </c>
      <c r="T40" s="30">
        <f>IF('Peak Areas'!W36=0,0,((('Peak Areas'!W36*Coefficients!$G$12+Coefficients!$H$12)*$G40)))</f>
        <v>0.22870793329184747</v>
      </c>
      <c r="U40" s="30">
        <f>IF('Peak Areas'!X36=0,0,((('Peak Areas'!X36*Coefficients!$G$27+Coefficients!$H$27)*$G40)))</f>
        <v>0.22338171022811262</v>
      </c>
      <c r="V40" s="30">
        <f>IF('Peak Areas'!Y36=0,0,((('Peak Areas'!Y36*Coefficients!$G$34+Coefficients!$H$34)*$G40)))</f>
        <v>1.3808432548367797</v>
      </c>
      <c r="W40" s="30">
        <f>IF('Peak Areas'!Z36=0,0,((('Peak Areas'!Z36*Coefficients!$G$52+Coefficients!$H$52)*$G40)))</f>
        <v>0.99596359387105582</v>
      </c>
      <c r="X40" s="30">
        <f>IF('Peak Areas'!AA36=0,0,((('Peak Areas'!AA36*Coefficients!$G$33+Coefficients!$H$33)*$G40)))</f>
        <v>0.23205498021003793</v>
      </c>
      <c r="Y40" s="30">
        <f>IF('Peak Areas'!AC36=0,0,((('Peak Areas'!AC36*Coefficients!$G$19+Coefficients!$H$19)*$G40)))</f>
        <v>2.0300348991774668</v>
      </c>
      <c r="Z40" s="30">
        <f>IF('Peak Areas'!AD36=0,0,((('Peak Areas'!AD36*Coefficients!$G$18+Coefficients!$H$18)*$G40)))</f>
        <v>0.97862118414632759</v>
      </c>
      <c r="AA40" s="30">
        <f>IF('Peak Areas'!AE36=0,0,((('Peak Areas'!AE36*Coefficients!$G$18+Coefficients!$H$18)*$G40)))</f>
        <v>12.46193581611857</v>
      </c>
      <c r="AB40" s="30">
        <f>IF('Peak Areas'!AF36=0,0,((('Peak Areas'!AF36*Coefficients!$G$18+Coefficients!$H$18)*$G40)))</f>
        <v>0.52711246613538443</v>
      </c>
      <c r="AC40" s="30">
        <f>IF('Peak Areas'!AG36=0,0,((('Peak Areas'!AG36*Coefficients!$G$7+Coefficients!$H$7)*$G40)))</f>
        <v>0</v>
      </c>
      <c r="AD40" s="30">
        <f>IF('Peak Areas'!AH36=0,0,((('Peak Areas'!AH36*Coefficients!$G$6+Coefficients!$H$6)*$G40)))</f>
        <v>1.309734612144672</v>
      </c>
      <c r="AF40" s="30">
        <f>IF('Peak Areas'!K36=0,0,((('Peak Areas'!K36*Coefficients!$G$22+Coefficients!$H$22)*$G40)))</f>
        <v>0.14853861110526789</v>
      </c>
      <c r="AG40" s="30">
        <f t="shared" si="0"/>
        <v>12.610474427223838</v>
      </c>
      <c r="AH40" s="30">
        <f t="shared" si="1"/>
        <v>14.116208077505551</v>
      </c>
    </row>
    <row r="41" spans="1:34" x14ac:dyDescent="0.25">
      <c r="A41" s="2">
        <f>'Peak Areas'!A37</f>
        <v>27</v>
      </c>
      <c r="B41" s="62">
        <f>'Peak Areas'!B37</f>
        <v>45809</v>
      </c>
      <c r="C41" s="2" t="str">
        <f>'Peak Areas'!C37</f>
        <v>C+Q low nut</v>
      </c>
      <c r="D41" s="2">
        <f>'Peak Areas'!D37</f>
        <v>0</v>
      </c>
      <c r="E41" s="2">
        <f>'Peak Areas'!E37</f>
        <v>0</v>
      </c>
      <c r="F41" s="30">
        <f>'Peak Areas'!F37</f>
        <v>0.1</v>
      </c>
      <c r="G41" s="30">
        <f>((1/'Peak Areas'!$G37)*(('Peak Areas'!$H37+('Internal Standard'!$E$10/1000))/'Peak Areas'!$F37)*'Peak Areas'!$J37)*H41</f>
        <v>4.4012105568811299E-2</v>
      </c>
      <c r="H41" s="30">
        <f>(('Internal Standard'!$F$13*('Peak Areas'!G37/'Internal Standard'!$C$10))/'Peak Areas'!AB37)</f>
        <v>1.0355789545602658</v>
      </c>
      <c r="I41" s="30">
        <f>IF('Peak Areas'!L37=0,0,((('Peak Areas'!L37*Coefficients!$G$21+Coefficients!$H$21)*$G41)))</f>
        <v>0</v>
      </c>
      <c r="J41" s="30">
        <f>IF('Peak Areas'!M37=0,0,((('Peak Areas'!M37*Coefficients!$G$20+Coefficients!$H$20)*$G41)))</f>
        <v>0.51403275149632877</v>
      </c>
      <c r="K41" s="30">
        <f>IF('Peak Areas'!N37=0,0,((('Peak Areas'!N37*Coefficients!$G$41+Coefficients!$H$41)*$G41)))</f>
        <v>0.13313840218802656</v>
      </c>
      <c r="L41" s="30">
        <f>IF('Peak Areas'!O37=0,0,((('Peak Areas'!O37*Coefficients!$G$10+Coefficients!$H$10)*$G41)))</f>
        <v>0</v>
      </c>
      <c r="M41" s="30">
        <f>IF('Peak Areas'!P37=0,0,((('Peak Areas'!P37*Coefficients!$G$32+Coefficients!$H$32)*$G41)))</f>
        <v>4.654792708857741</v>
      </c>
      <c r="N41" s="30">
        <f>IF('Peak Areas'!Q37=0,0,((('Peak Areas'!Q37*Coefficients!$G$11+Coefficients!$H$11)*$G41)))</f>
        <v>0</v>
      </c>
      <c r="O41" s="30">
        <f>IF('Peak Areas'!R37=0,0,((('Peak Areas'!R37*Coefficients!$G$39+Coefficients!$H$39)*$G41)))</f>
        <v>0.65785580237591235</v>
      </c>
      <c r="P41" s="30">
        <f>IF('Peak Areas'!S37=0,0,((('Peak Areas'!S37*Coefficients!$G$46+Coefficients!$H$46)*$G41)))</f>
        <v>0</v>
      </c>
      <c r="Q41" s="30">
        <f>IF('Peak Areas'!T37=0,0,((('Peak Areas'!T37*Coefficients!$G$51+Coefficients!$H$51)*$G41)))</f>
        <v>1.4951579445265024</v>
      </c>
      <c r="R41" s="30">
        <f>IF('Peak Areas'!U37=0,0,((('Peak Areas'!U37*Coefficients!$G$26+Coefficients!$H$26)*$G41)))</f>
        <v>2.4063301045512837</v>
      </c>
      <c r="S41" s="30">
        <f>IF('Peak Areas'!V37=0,0,((('Peak Areas'!V37*Coefficients!$G$13+Coefficients!$H$13)*$G41)))</f>
        <v>0.31282512463665285</v>
      </c>
      <c r="T41" s="30">
        <f>IF('Peak Areas'!W37=0,0,((('Peak Areas'!W37*Coefficients!$G$12+Coefficients!$H$12)*$G41)))</f>
        <v>0.68097961218356617</v>
      </c>
      <c r="U41" s="30">
        <f>IF('Peak Areas'!X37=0,0,((('Peak Areas'!X37*Coefficients!$G$27+Coefficients!$H$27)*$G41)))</f>
        <v>0.13899223994731266</v>
      </c>
      <c r="V41" s="30">
        <f>IF('Peak Areas'!Y37=0,0,((('Peak Areas'!Y37*Coefficients!$G$34+Coefficients!$H$34)*$G41)))</f>
        <v>2.879084974260806</v>
      </c>
      <c r="W41" s="30">
        <f>IF('Peak Areas'!Z37=0,0,((('Peak Areas'!Z37*Coefficients!$G$52+Coefficients!$H$52)*$G41)))</f>
        <v>1.3524827485422135</v>
      </c>
      <c r="X41" s="30">
        <f>IF('Peak Areas'!AA37=0,0,((('Peak Areas'!AA37*Coefficients!$G$33+Coefficients!$H$33)*$G41)))</f>
        <v>0.18002426200054047</v>
      </c>
      <c r="Y41" s="30">
        <f>IF('Peak Areas'!AC37=0,0,((('Peak Areas'!AC37*Coefficients!$G$19+Coefficients!$H$19)*$G41)))</f>
        <v>4.1486947924753688</v>
      </c>
      <c r="Z41" s="30">
        <f>IF('Peak Areas'!AD37=0,0,((('Peak Areas'!AD37*Coefficients!$G$18+Coefficients!$H$18)*$G41)))</f>
        <v>0.77230858416349601</v>
      </c>
      <c r="AA41" s="30">
        <f>IF('Peak Areas'!AE37=0,0,((('Peak Areas'!AE37*Coefficients!$G$18+Coefficients!$H$18)*$G41)))</f>
        <v>37.555888345317385</v>
      </c>
      <c r="AB41" s="30">
        <f>IF('Peak Areas'!AF37=0,0,((('Peak Areas'!AF37*Coefficients!$G$18+Coefficients!$H$18)*$G41)))</f>
        <v>1.4587763625369536</v>
      </c>
      <c r="AC41" s="30">
        <f>IF('Peak Areas'!AG37=0,0,((('Peak Areas'!AG37*Coefficients!$G$7+Coefficients!$H$7)*$G41)))</f>
        <v>2.5551019869157639E-2</v>
      </c>
      <c r="AD41" s="30">
        <f>IF('Peak Areas'!AH37=0,0,((('Peak Areas'!AH37*Coefficients!$G$6+Coefficients!$H$6)*$G41)))</f>
        <v>4.8164644902067026</v>
      </c>
      <c r="AF41" s="30">
        <f>IF('Peak Areas'!K37=0,0,((('Peak Areas'!K37*Coefficients!$G$22+Coefficients!$H$22)*$G41)))</f>
        <v>0.48003815687296358</v>
      </c>
      <c r="AG41" s="30">
        <f t="shared" si="0"/>
        <v>38.03592650219035</v>
      </c>
      <c r="AH41" s="30">
        <f t="shared" si="1"/>
        <v>40.267011448890798</v>
      </c>
    </row>
    <row r="42" spans="1:34" x14ac:dyDescent="0.25">
      <c r="A42" s="2">
        <f>'Peak Areas'!A38</f>
        <v>28</v>
      </c>
      <c r="B42" s="62">
        <f>'Peak Areas'!B38</f>
        <v>45809</v>
      </c>
      <c r="C42" s="2" t="str">
        <f>'Peak Areas'!C38</f>
        <v>C+Q low nut</v>
      </c>
      <c r="D42" s="2">
        <f>'Peak Areas'!D38</f>
        <v>0</v>
      </c>
      <c r="E42" s="2">
        <f>'Peak Areas'!E38</f>
        <v>0</v>
      </c>
      <c r="F42" s="30">
        <f>'Peak Areas'!F38</f>
        <v>0.1</v>
      </c>
      <c r="G42" s="30">
        <f>((1/'Peak Areas'!$G38)*(('Peak Areas'!$H38+('Internal Standard'!$E$10/1000))/'Peak Areas'!$F38)*'Peak Areas'!$J38)*H42</f>
        <v>4.335777626193725E-2</v>
      </c>
      <c r="H42" s="30">
        <f>(('Internal Standard'!$F$13*('Peak Areas'!G38/'Internal Standard'!$C$10))/'Peak Areas'!AB38)</f>
        <v>1.0201829708691117</v>
      </c>
      <c r="I42" s="30">
        <f>IF('Peak Areas'!L38=0,0,((('Peak Areas'!L38*Coefficients!$G$21+Coefficients!$H$21)*$G42)))</f>
        <v>0</v>
      </c>
      <c r="J42" s="30">
        <f>IF('Peak Areas'!M38=0,0,((('Peak Areas'!M38*Coefficients!$G$20+Coefficients!$H$20)*$G42)))</f>
        <v>0.55594602940417126</v>
      </c>
      <c r="K42" s="30">
        <f>IF('Peak Areas'!N38=0,0,((('Peak Areas'!N38*Coefficients!$G$41+Coefficients!$H$41)*$G42)))</f>
        <v>0.11033846442411326</v>
      </c>
      <c r="L42" s="30">
        <f>IF('Peak Areas'!O38=0,0,((('Peak Areas'!O38*Coefficients!$G$10+Coefficients!$H$10)*$G42)))</f>
        <v>0</v>
      </c>
      <c r="M42" s="30">
        <f>IF('Peak Areas'!P38=0,0,((('Peak Areas'!P38*Coefficients!$G$32+Coefficients!$H$32)*$G42)))</f>
        <v>4.9570175794228346</v>
      </c>
      <c r="N42" s="30">
        <f>IF('Peak Areas'!Q38=0,0,((('Peak Areas'!Q38*Coefficients!$G$11+Coefficients!$H$11)*$G42)))</f>
        <v>0</v>
      </c>
      <c r="O42" s="30">
        <f>IF('Peak Areas'!R38=0,0,((('Peak Areas'!R38*Coefficients!$G$39+Coefficients!$H$39)*$G42)))</f>
        <v>1.3164897082850777</v>
      </c>
      <c r="P42" s="30">
        <f>IF('Peak Areas'!S38=0,0,((('Peak Areas'!S38*Coefficients!$G$46+Coefficients!$H$46)*$G42)))</f>
        <v>0</v>
      </c>
      <c r="Q42" s="30">
        <f>IF('Peak Areas'!T38=0,0,((('Peak Areas'!T38*Coefficients!$G$51+Coefficients!$H$51)*$G42)))</f>
        <v>1.5272279631737313</v>
      </c>
      <c r="R42" s="30">
        <f>IF('Peak Areas'!U38=0,0,((('Peak Areas'!U38*Coefficients!$G$26+Coefficients!$H$26)*$G42)))</f>
        <v>2.5235529033693442</v>
      </c>
      <c r="S42" s="30">
        <f>IF('Peak Areas'!V38=0,0,((('Peak Areas'!V38*Coefficients!$G$13+Coefficients!$H$13)*$G42)))</f>
        <v>0.32811072158146409</v>
      </c>
      <c r="T42" s="30">
        <f>IF('Peak Areas'!W38=0,0,((('Peak Areas'!W38*Coefficients!$G$12+Coefficients!$H$12)*$G42)))</f>
        <v>0.70828288083863489</v>
      </c>
      <c r="U42" s="30">
        <f>IF('Peak Areas'!X38=0,0,((('Peak Areas'!X38*Coefficients!$G$27+Coefficients!$H$27)*$G42)))</f>
        <v>0.13380847515064462</v>
      </c>
      <c r="V42" s="30">
        <f>IF('Peak Areas'!Y38=0,0,((('Peak Areas'!Y38*Coefficients!$G$34+Coefficients!$H$34)*$G42)))</f>
        <v>2.8728161923591782</v>
      </c>
      <c r="W42" s="30">
        <f>IF('Peak Areas'!Z38=0,0,((('Peak Areas'!Z38*Coefficients!$G$52+Coefficients!$H$52)*$G42)))</f>
        <v>1.3742439448302013</v>
      </c>
      <c r="X42" s="30">
        <f>IF('Peak Areas'!AA38=0,0,((('Peak Areas'!AA38*Coefficients!$G$33+Coefficients!$H$33)*$G42)))</f>
        <v>0.34796457152310112</v>
      </c>
      <c r="Y42" s="30">
        <f>IF('Peak Areas'!AC38=0,0,((('Peak Areas'!AC38*Coefficients!$G$19+Coefficients!$H$19)*$G42)))</f>
        <v>4.0192934441324191</v>
      </c>
      <c r="Z42" s="30">
        <f>IF('Peak Areas'!AD38=0,0,((('Peak Areas'!AD38*Coefficients!$G$18+Coefficients!$H$18)*$G42)))</f>
        <v>0.68276001034276956</v>
      </c>
      <c r="AA42" s="30">
        <f>IF('Peak Areas'!AE38=0,0,((('Peak Areas'!AE38*Coefficients!$G$18+Coefficients!$H$18)*$G42)))</f>
        <v>38.223930848021837</v>
      </c>
      <c r="AB42" s="30">
        <f>IF('Peak Areas'!AF38=0,0,((('Peak Areas'!AF38*Coefficients!$G$18+Coefficients!$H$18)*$G42)))</f>
        <v>1.5484824483458393</v>
      </c>
      <c r="AC42" s="30">
        <f>IF('Peak Areas'!AG38=0,0,((('Peak Areas'!AG38*Coefficients!$G$7+Coefficients!$H$7)*$G42)))</f>
        <v>6.896555519948841E-2</v>
      </c>
      <c r="AD42" s="30">
        <f>IF('Peak Areas'!AH38=0,0,((('Peak Areas'!AH38*Coefficients!$G$6+Coefficients!$H$6)*$G42)))</f>
        <v>3.1117111691847548</v>
      </c>
      <c r="AF42" s="30">
        <f>IF('Peak Areas'!K38=0,0,((('Peak Areas'!K38*Coefficients!$G$22+Coefficients!$H$22)*$G42)))</f>
        <v>0.52766720959935887</v>
      </c>
      <c r="AG42" s="30">
        <f t="shared" si="0"/>
        <v>38.751598057621194</v>
      </c>
      <c r="AH42" s="30">
        <f t="shared" si="1"/>
        <v>40.9828405163098</v>
      </c>
    </row>
    <row r="43" spans="1:34" x14ac:dyDescent="0.25">
      <c r="A43" s="2">
        <f>'Peak Areas'!A39</f>
        <v>29</v>
      </c>
      <c r="B43" s="62">
        <f>'Peak Areas'!B39</f>
        <v>45809</v>
      </c>
      <c r="C43" s="2" t="str">
        <f>'Peak Areas'!C39</f>
        <v>C+Q high nut</v>
      </c>
      <c r="D43" s="2">
        <f>'Peak Areas'!D39</f>
        <v>0</v>
      </c>
      <c r="E43" s="2">
        <f>'Peak Areas'!E39</f>
        <v>0</v>
      </c>
      <c r="F43" s="30">
        <f>'Peak Areas'!F39</f>
        <v>0.1</v>
      </c>
      <c r="G43" s="30">
        <f>((1/'Peak Areas'!$G39)*(('Peak Areas'!$H39+('Internal Standard'!$E$10/1000))/'Peak Areas'!$F39)*'Peak Areas'!$J39)*H43</f>
        <v>4.5795059633830244E-2</v>
      </c>
      <c r="H43" s="30">
        <f>(('Internal Standard'!$F$13*('Peak Areas'!G39/'Internal Standard'!$C$10))/'Peak Areas'!AB39)</f>
        <v>1.0775308149136527</v>
      </c>
      <c r="I43" s="30">
        <f>IF('Peak Areas'!L39=0,0,((('Peak Areas'!L39*Coefficients!$G$21+Coefficients!$H$21)*$G43)))</f>
        <v>0</v>
      </c>
      <c r="J43" s="30">
        <f>IF('Peak Areas'!M39=0,0,((('Peak Areas'!M39*Coefficients!$G$20+Coefficients!$H$20)*$G43)))</f>
        <v>0</v>
      </c>
      <c r="K43" s="30">
        <f>IF('Peak Areas'!N39=0,0,((('Peak Areas'!N39*Coefficients!$G$41+Coefficients!$H$41)*$G43)))</f>
        <v>6.1015373763958325E-2</v>
      </c>
      <c r="L43" s="30">
        <f>IF('Peak Areas'!O39=0,0,((('Peak Areas'!O39*Coefficients!$G$10+Coefficients!$H$10)*$G43)))</f>
        <v>0</v>
      </c>
      <c r="M43" s="30">
        <f>IF('Peak Areas'!P39=0,0,((('Peak Areas'!P39*Coefficients!$G$32+Coefficients!$H$32)*$G43)))</f>
        <v>1.0726137786748706</v>
      </c>
      <c r="N43" s="30">
        <f>IF('Peak Areas'!Q39=0,0,((('Peak Areas'!Q39*Coefficients!$G$11+Coefficients!$H$11)*$G43)))</f>
        <v>0</v>
      </c>
      <c r="O43" s="30">
        <f>IF('Peak Areas'!R39=0,0,((('Peak Areas'!R39*Coefficients!$G$39+Coefficients!$H$39)*$G43)))</f>
        <v>0.40245058348417895</v>
      </c>
      <c r="P43" s="30">
        <f>IF('Peak Areas'!S39=0,0,((('Peak Areas'!S39*Coefficients!$G$46+Coefficients!$H$46)*$G43)))</f>
        <v>0</v>
      </c>
      <c r="Q43" s="30">
        <f>IF('Peak Areas'!T39=0,0,((('Peak Areas'!T39*Coefficients!$G$51+Coefficients!$H$51)*$G43)))</f>
        <v>0.45454980809960044</v>
      </c>
      <c r="R43" s="30">
        <f>IF('Peak Areas'!U39=0,0,((('Peak Areas'!U39*Coefficients!$G$26+Coefficients!$H$26)*$G43)))</f>
        <v>0.98985367527640999</v>
      </c>
      <c r="S43" s="30">
        <f>IF('Peak Areas'!V39=0,0,((('Peak Areas'!V39*Coefficients!$G$13+Coefficients!$H$13)*$G43)))</f>
        <v>0.23688245443702882</v>
      </c>
      <c r="T43" s="30">
        <f>IF('Peak Areas'!W39=0,0,((('Peak Areas'!W39*Coefficients!$G$12+Coefficients!$H$12)*$G43)))</f>
        <v>0.23810508052442036</v>
      </c>
      <c r="U43" s="30">
        <f>IF('Peak Areas'!X39=0,0,((('Peak Areas'!X39*Coefficients!$G$27+Coefficients!$H$27)*$G43)))</f>
        <v>0.13439639425423305</v>
      </c>
      <c r="V43" s="30">
        <f>IF('Peak Areas'!Y39=0,0,((('Peak Areas'!Y39*Coefficients!$G$34+Coefficients!$H$34)*$G43)))</f>
        <v>1.2928181768075222</v>
      </c>
      <c r="W43" s="30">
        <f>IF('Peak Areas'!Z39=0,0,((('Peak Areas'!Z39*Coefficients!$G$52+Coefficients!$H$52)*$G43)))</f>
        <v>0.70969526216056944</v>
      </c>
      <c r="X43" s="30">
        <f>IF('Peak Areas'!AA39=0,0,((('Peak Areas'!AA39*Coefficients!$G$33+Coefficients!$H$33)*$G43)))</f>
        <v>0.26790212792601914</v>
      </c>
      <c r="Y43" s="30">
        <f>IF('Peak Areas'!AC39=0,0,((('Peak Areas'!AC39*Coefficients!$G$19+Coefficients!$H$19)*$G43)))</f>
        <v>2.0336839276618659</v>
      </c>
      <c r="Z43" s="30">
        <f>IF('Peak Areas'!AD39=0,0,((('Peak Areas'!AD39*Coefficients!$G$18+Coefficients!$H$18)*$G43)))</f>
        <v>0.92534566352809255</v>
      </c>
      <c r="AA43" s="30">
        <f>IF('Peak Areas'!AE39=0,0,((('Peak Areas'!AE39*Coefficients!$G$18+Coefficients!$H$18)*$G43)))</f>
        <v>13.18765120606845</v>
      </c>
      <c r="AB43" s="30">
        <f>IF('Peak Areas'!AF39=0,0,((('Peak Areas'!AF39*Coefficients!$G$18+Coefficients!$H$18)*$G43)))</f>
        <v>0.55680689865090771</v>
      </c>
      <c r="AC43" s="30">
        <f>IF('Peak Areas'!AG39=0,0,((('Peak Areas'!AG39*Coefficients!$G$7+Coefficients!$H$7)*$G43)))</f>
        <v>0</v>
      </c>
      <c r="AD43" s="30">
        <f>IF('Peak Areas'!AH39=0,0,((('Peak Areas'!AH39*Coefficients!$G$6+Coefficients!$H$6)*$G43)))</f>
        <v>1.621079400622423</v>
      </c>
      <c r="AF43" s="30">
        <f>IF('Peak Areas'!K39=0,0,((('Peak Areas'!K39*Coefficients!$G$22+Coefficients!$H$22)*$G43)))</f>
        <v>0.14336715938222777</v>
      </c>
      <c r="AG43" s="30">
        <f t="shared" si="0"/>
        <v>13.331018365450678</v>
      </c>
      <c r="AH43" s="30">
        <f t="shared" si="1"/>
        <v>14.813170927629679</v>
      </c>
    </row>
    <row r="44" spans="1:34" x14ac:dyDescent="0.25">
      <c r="A44" s="2">
        <f>'Peak Areas'!A40</f>
        <v>30</v>
      </c>
      <c r="B44" s="62">
        <f>'Peak Areas'!B40</f>
        <v>45809</v>
      </c>
      <c r="C44" s="2" t="str">
        <f>'Peak Areas'!C40</f>
        <v>C+Q high nut</v>
      </c>
      <c r="D44" s="2">
        <f>'Peak Areas'!D40</f>
        <v>0</v>
      </c>
      <c r="E44" s="2">
        <f>'Peak Areas'!E40</f>
        <v>0</v>
      </c>
      <c r="F44" s="30">
        <f>'Peak Areas'!F40</f>
        <v>0.1</v>
      </c>
      <c r="G44" s="30">
        <f>((1/'Peak Areas'!$G40)*(('Peak Areas'!$H40+('Internal Standard'!$E$10/1000))/'Peak Areas'!$F40)*'Peak Areas'!$J40)*H44</f>
        <v>4.350994635527615E-2</v>
      </c>
      <c r="H44" s="30">
        <f>(('Internal Standard'!$F$13*('Peak Areas'!G40/'Internal Standard'!$C$10))/'Peak Areas'!AB40)</f>
        <v>1.0237634436535563</v>
      </c>
      <c r="I44" s="30">
        <f>IF('Peak Areas'!L40=0,0,((('Peak Areas'!L40*Coefficients!$G$21+Coefficients!$H$21)*$G44)))</f>
        <v>0</v>
      </c>
      <c r="J44" s="30">
        <f>IF('Peak Areas'!M40=0,0,((('Peak Areas'!M40*Coefficients!$G$20+Coefficients!$H$20)*$G44)))</f>
        <v>0</v>
      </c>
      <c r="K44" s="30">
        <f>IF('Peak Areas'!N40=0,0,((('Peak Areas'!N40*Coefficients!$G$41+Coefficients!$H$41)*$G44)))</f>
        <v>4.199107904485342E-2</v>
      </c>
      <c r="L44" s="30">
        <f>IF('Peak Areas'!O40=0,0,((('Peak Areas'!O40*Coefficients!$G$10+Coefficients!$H$10)*$G44)))</f>
        <v>0</v>
      </c>
      <c r="M44" s="30">
        <f>IF('Peak Areas'!P40=0,0,((('Peak Areas'!P40*Coefficients!$G$32+Coefficients!$H$32)*$G44)))</f>
        <v>0.46450243836332789</v>
      </c>
      <c r="N44" s="30">
        <f>IF('Peak Areas'!Q40=0,0,((('Peak Areas'!Q40*Coefficients!$G$11+Coefficients!$H$11)*$G44)))</f>
        <v>0</v>
      </c>
      <c r="O44" s="30">
        <f>IF('Peak Areas'!R40=0,0,((('Peak Areas'!R40*Coefficients!$G$39+Coefficients!$H$39)*$G44)))</f>
        <v>0.2868914751674192</v>
      </c>
      <c r="P44" s="30">
        <f>IF('Peak Areas'!S40=0,0,((('Peak Areas'!S40*Coefficients!$G$46+Coefficients!$H$46)*$G44)))</f>
        <v>0</v>
      </c>
      <c r="Q44" s="30">
        <f>IF('Peak Areas'!T40=0,0,((('Peak Areas'!T40*Coefficients!$G$51+Coefficients!$H$51)*$G44)))</f>
        <v>0.25634009531540752</v>
      </c>
      <c r="R44" s="30">
        <f>IF('Peak Areas'!U40=0,0,((('Peak Areas'!U40*Coefficients!$G$26+Coefficients!$H$26)*$G44)))</f>
        <v>0.67247212870462925</v>
      </c>
      <c r="S44" s="30">
        <f>IF('Peak Areas'!V40=0,0,((('Peak Areas'!V40*Coefficients!$G$13+Coefficients!$H$13)*$G44)))</f>
        <v>0.17055423791660393</v>
      </c>
      <c r="T44" s="30">
        <f>IF('Peak Areas'!W40=0,0,((('Peak Areas'!W40*Coefficients!$G$12+Coefficients!$H$12)*$G44)))</f>
        <v>0.14694300811768385</v>
      </c>
      <c r="U44" s="30">
        <f>IF('Peak Areas'!X40=0,0,((('Peak Areas'!X40*Coefficients!$G$27+Coefficients!$H$27)*$G44)))</f>
        <v>0.10178935633505037</v>
      </c>
      <c r="V44" s="30">
        <f>IF('Peak Areas'!Y40=0,0,((('Peak Areas'!Y40*Coefficients!$G$34+Coefficients!$H$34)*$G44)))</f>
        <v>1.0169523773124147</v>
      </c>
      <c r="W44" s="30">
        <f>IF('Peak Areas'!Z40=0,0,((('Peak Areas'!Z40*Coefficients!$G$52+Coefficients!$H$52)*$G44)))</f>
        <v>0.55728699622048683</v>
      </c>
      <c r="X44" s="30">
        <f>IF('Peak Areas'!AA40=0,0,((('Peak Areas'!AA40*Coefficients!$G$33+Coefficients!$H$33)*$G44)))</f>
        <v>0.26456131443258957</v>
      </c>
      <c r="Y44" s="30">
        <f>IF('Peak Areas'!AC40=0,0,((('Peak Areas'!AC40*Coefficients!$G$19+Coefficients!$H$19)*$G44)))</f>
        <v>1.6510415261123552</v>
      </c>
      <c r="Z44" s="30">
        <f>IF('Peak Areas'!AD40=0,0,((('Peak Areas'!AD40*Coefficients!$G$18+Coefficients!$H$18)*$G44)))</f>
        <v>0.90974853722961702</v>
      </c>
      <c r="AA44" s="30">
        <f>IF('Peak Areas'!AE40=0,0,((('Peak Areas'!AE40*Coefficients!$G$18+Coefficients!$H$18)*$G44)))</f>
        <v>8.2155734196979893</v>
      </c>
      <c r="AB44" s="30">
        <f>IF('Peak Areas'!AF40=0,0,((('Peak Areas'!AF40*Coefficients!$G$18+Coefficients!$H$18)*$G44)))</f>
        <v>0.36227744066922768</v>
      </c>
      <c r="AC44" s="30">
        <f>IF('Peak Areas'!AG40=0,0,((('Peak Areas'!AG40*Coefficients!$G$7+Coefficients!$H$7)*$G44)))</f>
        <v>0</v>
      </c>
      <c r="AD44" s="30">
        <f>IF('Peak Areas'!AH40=0,0,((('Peak Areas'!AH40*Coefficients!$G$6+Coefficients!$H$6)*$G44)))</f>
        <v>0.94141021356759413</v>
      </c>
      <c r="AF44" s="30">
        <f>IF('Peak Areas'!K40=0,0,((('Peak Areas'!K40*Coefficients!$G$22+Coefficients!$H$22)*$G44)))</f>
        <v>0.11944058364813498</v>
      </c>
      <c r="AG44" s="30">
        <f t="shared" si="0"/>
        <v>8.3350140033461244</v>
      </c>
      <c r="AH44" s="30">
        <f t="shared" si="1"/>
        <v>9.6070399812449701</v>
      </c>
    </row>
    <row r="45" spans="1:34" x14ac:dyDescent="0.25">
      <c r="A45" s="2">
        <f>'Peak Areas'!A41</f>
        <v>31</v>
      </c>
      <c r="B45" s="62">
        <f>'Peak Areas'!B41</f>
        <v>45809</v>
      </c>
      <c r="C45" s="2" t="str">
        <f>'Peak Areas'!C41</f>
        <v>C+D low</v>
      </c>
      <c r="D45" s="2">
        <f>'Peak Areas'!D41</f>
        <v>0</v>
      </c>
      <c r="E45" s="2">
        <f>'Peak Areas'!E41</f>
        <v>0</v>
      </c>
      <c r="F45" s="30">
        <f>'Peak Areas'!F41</f>
        <v>0.1</v>
      </c>
      <c r="G45" s="30">
        <f>((1/'Peak Areas'!$G41)*(('Peak Areas'!$H41+('Internal Standard'!$E$10/1000))/'Peak Areas'!$F41)*'Peak Areas'!$J41)*H45</f>
        <v>4.4968797992761482E-2</v>
      </c>
      <c r="H45" s="30">
        <f>(('Internal Standard'!$F$13*('Peak Areas'!G41/'Internal Standard'!$C$10))/'Peak Areas'!AB41)</f>
        <v>1.0580893645355642</v>
      </c>
      <c r="I45" s="30">
        <f>IF('Peak Areas'!L41=0,0,((('Peak Areas'!L41*Coefficients!$G$21+Coefficients!$H$21)*$G45)))</f>
        <v>0</v>
      </c>
      <c r="J45" s="30">
        <f>IF('Peak Areas'!M41=0,0,((('Peak Areas'!M41*Coefficients!$G$20+Coefficients!$H$20)*$G45)))</f>
        <v>0.58445501801232647</v>
      </c>
      <c r="K45" s="30">
        <f>IF('Peak Areas'!N41=0,0,((('Peak Areas'!N41*Coefficients!$G$41+Coefficients!$H$41)*$G45)))</f>
        <v>0.10067664050234829</v>
      </c>
      <c r="L45" s="30">
        <f>IF('Peak Areas'!O41=0,0,((('Peak Areas'!O41*Coefficients!$G$10+Coefficients!$H$10)*$G45)))</f>
        <v>0</v>
      </c>
      <c r="M45" s="30">
        <f>IF('Peak Areas'!P41=0,0,((('Peak Areas'!P41*Coefficients!$G$32+Coefficients!$H$32)*$G45)))</f>
        <v>5.3695028614364277</v>
      </c>
      <c r="N45" s="30">
        <f>IF('Peak Areas'!Q41=0,0,((('Peak Areas'!Q41*Coefficients!$G$11+Coefficients!$H$11)*$G45)))</f>
        <v>0</v>
      </c>
      <c r="O45" s="30">
        <f>IF('Peak Areas'!R41=0,0,((('Peak Areas'!R41*Coefficients!$G$39+Coefficients!$H$39)*$G45)))</f>
        <v>1.3804464134933001</v>
      </c>
      <c r="P45" s="30">
        <f>IF('Peak Areas'!S41=0,0,((('Peak Areas'!S41*Coefficients!$G$46+Coefficients!$H$46)*$G45)))</f>
        <v>0</v>
      </c>
      <c r="Q45" s="30">
        <f>IF('Peak Areas'!T41=0,0,((('Peak Areas'!T41*Coefficients!$G$51+Coefficients!$H$51)*$G45)))</f>
        <v>1.4486267350651736</v>
      </c>
      <c r="R45" s="30">
        <f>IF('Peak Areas'!U41=0,0,((('Peak Areas'!U41*Coefficients!$G$26+Coefficients!$H$26)*$G45)))</f>
        <v>2.7824625546025716</v>
      </c>
      <c r="S45" s="30">
        <f>IF('Peak Areas'!V41=0,0,((('Peak Areas'!V41*Coefficients!$G$13+Coefficients!$H$13)*$G45)))</f>
        <v>0.41281950589330579</v>
      </c>
      <c r="T45" s="30">
        <f>IF('Peak Areas'!W41=0,0,((('Peak Areas'!W41*Coefficients!$G$12+Coefficients!$H$12)*$G45)))</f>
        <v>0.71749680551737816</v>
      </c>
      <c r="U45" s="30">
        <f>IF('Peak Areas'!X41=0,0,((('Peak Areas'!X41*Coefficients!$G$27+Coefficients!$H$27)*$G45)))</f>
        <v>0.17838694120130402</v>
      </c>
      <c r="V45" s="30">
        <f>IF('Peak Areas'!Y41=0,0,((('Peak Areas'!Y41*Coefficients!$G$34+Coefficients!$H$34)*$G45)))</f>
        <v>2.7348284348271572</v>
      </c>
      <c r="W45" s="30">
        <f>IF('Peak Areas'!Z41=0,0,((('Peak Areas'!Z41*Coefficients!$G$52+Coefficients!$H$52)*$G45)))</f>
        <v>1.4493664359106513</v>
      </c>
      <c r="X45" s="30">
        <f>IF('Peak Areas'!AA41=0,0,((('Peak Areas'!AA41*Coefficients!$G$33+Coefficients!$H$33)*$G45)))</f>
        <v>0.3026018563917518</v>
      </c>
      <c r="Y45" s="30">
        <f>IF('Peak Areas'!AC41=0,0,((('Peak Areas'!AC41*Coefficients!$G$19+Coefficients!$H$19)*$G45)))</f>
        <v>4.1037482248749964</v>
      </c>
      <c r="Z45" s="30">
        <f>IF('Peak Areas'!AD41=0,0,((('Peak Areas'!AD41*Coefficients!$G$18+Coefficients!$H$18)*$G45)))</f>
        <v>0.82115095498242052</v>
      </c>
      <c r="AA45" s="30">
        <f>IF('Peak Areas'!AE41=0,0,((('Peak Areas'!AE41*Coefficients!$G$18+Coefficients!$H$18)*$G45)))</f>
        <v>40.97167217566443</v>
      </c>
      <c r="AB45" s="30">
        <f>IF('Peak Areas'!AF41=0,0,((('Peak Areas'!AF41*Coefficients!$G$18+Coefficients!$H$18)*$G45)))</f>
        <v>1.7806958051088966</v>
      </c>
      <c r="AC45" s="30">
        <f>IF('Peak Areas'!AG41=0,0,((('Peak Areas'!AG41*Coefficients!$G$7+Coefficients!$H$7)*$G45)))</f>
        <v>3.0692686657741396E-2</v>
      </c>
      <c r="AD45" s="30">
        <f>IF('Peak Areas'!AH41=0,0,((('Peak Areas'!AH41*Coefficients!$G$6+Coefficients!$H$6)*$G45)))</f>
        <v>4.3360881669886009</v>
      </c>
      <c r="AF45" s="30">
        <f>IF('Peak Areas'!K41=0,0,((('Peak Areas'!K41*Coefficients!$G$22+Coefficients!$H$22)*$G45)))</f>
        <v>0.39537468401066073</v>
      </c>
      <c r="AG45" s="30">
        <f t="shared" si="0"/>
        <v>41.367046859675092</v>
      </c>
      <c r="AH45" s="30">
        <f t="shared" si="1"/>
        <v>43.968893619766412</v>
      </c>
    </row>
    <row r="46" spans="1:34" x14ac:dyDescent="0.25">
      <c r="A46" s="2">
        <f>'Peak Areas'!A42</f>
        <v>32</v>
      </c>
      <c r="B46" s="62">
        <f>'Peak Areas'!B42</f>
        <v>45809</v>
      </c>
      <c r="C46" s="2" t="str">
        <f>'Peak Areas'!C42</f>
        <v>C+D low</v>
      </c>
      <c r="D46" s="2">
        <f>'Peak Areas'!D42</f>
        <v>0</v>
      </c>
      <c r="E46" s="2">
        <f>'Peak Areas'!E42</f>
        <v>0</v>
      </c>
      <c r="F46" s="30">
        <f>'Peak Areas'!F42</f>
        <v>0.1</v>
      </c>
      <c r="G46" s="30">
        <f>((1/'Peak Areas'!$G42)*(('Peak Areas'!$H42+('Internal Standard'!$E$10/1000))/'Peak Areas'!$F42)*'Peak Areas'!$J42)*H46</f>
        <v>4.4116906233207957E-2</v>
      </c>
      <c r="H46" s="30">
        <f>(('Internal Standard'!$F$13*('Peak Areas'!G42/'Internal Standard'!$C$10))/'Peak Areas'!AB42)</f>
        <v>1.0380448525460695</v>
      </c>
      <c r="I46" s="30">
        <f>IF('Peak Areas'!L42=0,0,((('Peak Areas'!L42*Coefficients!$G$21+Coefficients!$H$21)*$G46)))</f>
        <v>0</v>
      </c>
      <c r="J46" s="30">
        <f>IF('Peak Areas'!M42=0,0,((('Peak Areas'!M42*Coefficients!$G$20+Coefficients!$H$20)*$G46)))</f>
        <v>0.59518984354699611</v>
      </c>
      <c r="K46" s="30">
        <f>IF('Peak Areas'!N42=0,0,((('Peak Areas'!N42*Coefficients!$G$41+Coefficients!$H$41)*$G46)))</f>
        <v>0.10013940619082484</v>
      </c>
      <c r="L46" s="30">
        <f>IF('Peak Areas'!O42=0,0,((('Peak Areas'!O42*Coefficients!$G$10+Coefficients!$H$10)*$G46)))</f>
        <v>0</v>
      </c>
      <c r="M46" s="30">
        <f>IF('Peak Areas'!P42=0,0,((('Peak Areas'!P42*Coefficients!$G$32+Coefficients!$H$32)*$G46)))</f>
        <v>5.7504142808852849</v>
      </c>
      <c r="N46" s="30">
        <f>IF('Peak Areas'!Q42=0,0,((('Peak Areas'!Q42*Coefficients!$G$11+Coefficients!$H$11)*$G46)))</f>
        <v>0</v>
      </c>
      <c r="O46" s="30">
        <f>IF('Peak Areas'!R42=0,0,((('Peak Areas'!R42*Coefficients!$G$39+Coefficients!$H$39)*$G46)))</f>
        <v>0.6827888440625598</v>
      </c>
      <c r="P46" s="30">
        <f>IF('Peak Areas'!S42=0,0,((('Peak Areas'!S42*Coefficients!$G$46+Coefficients!$H$46)*$G46)))</f>
        <v>0</v>
      </c>
      <c r="Q46" s="30">
        <f>IF('Peak Areas'!T42=0,0,((('Peak Areas'!T42*Coefficients!$G$51+Coefficients!$H$51)*$G46)))</f>
        <v>1.4833785617170039</v>
      </c>
      <c r="R46" s="30">
        <f>IF('Peak Areas'!U42=0,0,((('Peak Areas'!U42*Coefficients!$G$26+Coefficients!$H$26)*$G46)))</f>
        <v>2.9088680573533545</v>
      </c>
      <c r="S46" s="30">
        <f>IF('Peak Areas'!V42=0,0,((('Peak Areas'!V42*Coefficients!$G$13+Coefficients!$H$13)*$G46)))</f>
        <v>0.43806864708468507</v>
      </c>
      <c r="T46" s="30">
        <f>IF('Peak Areas'!W42=0,0,((('Peak Areas'!W42*Coefficients!$G$12+Coefficients!$H$12)*$G46)))</f>
        <v>0.73955676624609545</v>
      </c>
      <c r="U46" s="30">
        <f>IF('Peak Areas'!X42=0,0,((('Peak Areas'!X42*Coefficients!$G$27+Coefficients!$H$27)*$G46)))</f>
        <v>0.16790373626694066</v>
      </c>
      <c r="V46" s="30">
        <f>IF('Peak Areas'!Y42=0,0,((('Peak Areas'!Y42*Coefficients!$G$34+Coefficients!$H$34)*$G46)))</f>
        <v>2.7033139708008158</v>
      </c>
      <c r="W46" s="30">
        <f>IF('Peak Areas'!Z42=0,0,((('Peak Areas'!Z42*Coefficients!$G$52+Coefficients!$H$52)*$G46)))</f>
        <v>1.5254376106493706</v>
      </c>
      <c r="X46" s="30">
        <f>IF('Peak Areas'!AA42=0,0,((('Peak Areas'!AA42*Coefficients!$G$33+Coefficients!$H$33)*$G46)))</f>
        <v>0.16276703128829964</v>
      </c>
      <c r="Y46" s="30">
        <f>IF('Peak Areas'!AC42=0,0,((('Peak Areas'!AC42*Coefficients!$G$19+Coefficients!$H$19)*$G46)))</f>
        <v>4.0819819800439543</v>
      </c>
      <c r="Z46" s="30">
        <f>IF('Peak Areas'!AD42=0,0,((('Peak Areas'!AD42*Coefficients!$G$18+Coefficients!$H$18)*$G46)))</f>
        <v>0.80694699948028625</v>
      </c>
      <c r="AA46" s="30">
        <f>IF('Peak Areas'!AE42=0,0,((('Peak Areas'!AE42*Coefficients!$G$18+Coefficients!$H$18)*$G46)))</f>
        <v>43.052217944157213</v>
      </c>
      <c r="AB46" s="30">
        <f>IF('Peak Areas'!AF42=0,0,((('Peak Areas'!AF42*Coefficients!$G$18+Coefficients!$H$18)*$G46)))</f>
        <v>1.8428416661606668</v>
      </c>
      <c r="AC46" s="30">
        <f>IF('Peak Areas'!AG42=0,0,((('Peak Areas'!AG42*Coefficients!$G$7+Coefficients!$H$7)*$G46)))</f>
        <v>7.3220696853949496E-2</v>
      </c>
      <c r="AD46" s="30">
        <f>IF('Peak Areas'!AH42=0,0,((('Peak Areas'!AH42*Coefficients!$G$6+Coefficients!$H$6)*$G46)))</f>
        <v>4.7544287053853642</v>
      </c>
      <c r="AF46" s="30">
        <f>IF('Peak Areas'!K42=0,0,((('Peak Areas'!K42*Coefficients!$G$22+Coefficients!$H$22)*$G46)))</f>
        <v>0.49698576283113688</v>
      </c>
      <c r="AG46" s="30">
        <f t="shared" si="0"/>
        <v>43.549203706988351</v>
      </c>
      <c r="AH46" s="30">
        <f t="shared" si="1"/>
        <v>46.198992372629306</v>
      </c>
    </row>
    <row r="47" spans="1:34" x14ac:dyDescent="0.25">
      <c r="A47" s="2">
        <f>'Peak Areas'!A43</f>
        <v>33</v>
      </c>
      <c r="B47" s="62">
        <f>'Peak Areas'!B43</f>
        <v>45809</v>
      </c>
      <c r="C47" s="2" t="str">
        <f>'Peak Areas'!C43</f>
        <v>C+D high</v>
      </c>
      <c r="D47" s="2">
        <f>'Peak Areas'!D43</f>
        <v>0</v>
      </c>
      <c r="E47" s="2">
        <f>'Peak Areas'!E43</f>
        <v>0</v>
      </c>
      <c r="F47" s="30">
        <f>'Peak Areas'!F43</f>
        <v>0.1</v>
      </c>
      <c r="G47" s="30">
        <f>((1/'Peak Areas'!$G43)*(('Peak Areas'!$H43+('Internal Standard'!$E$10/1000))/'Peak Areas'!$F43)*'Peak Areas'!$J43)*H47</f>
        <v>4.3731477975926268E-2</v>
      </c>
      <c r="H47" s="30">
        <f>(('Internal Standard'!$F$13*('Peak Areas'!G43/'Internal Standard'!$C$10))/'Peak Areas'!AB43)</f>
        <v>1.0289759523747357</v>
      </c>
      <c r="I47" s="30">
        <f>IF('Peak Areas'!L43=0,0,((('Peak Areas'!L43*Coefficients!$G$21+Coefficients!$H$21)*$G47)))</f>
        <v>0</v>
      </c>
      <c r="J47" s="30">
        <f>IF('Peak Areas'!M43=0,0,((('Peak Areas'!M43*Coefficients!$G$20+Coefficients!$H$20)*$G47)))</f>
        <v>0.11157963868546603</v>
      </c>
      <c r="K47" s="30">
        <f>IF('Peak Areas'!N43=0,0,((('Peak Areas'!N43*Coefficients!$G$41+Coefficients!$H$41)*$G47)))</f>
        <v>4.2068316516098665E-2</v>
      </c>
      <c r="L47" s="30">
        <f>IF('Peak Areas'!O43=0,0,((('Peak Areas'!O43*Coefficients!$G$10+Coefficients!$H$10)*$G47)))</f>
        <v>0</v>
      </c>
      <c r="M47" s="30">
        <f>IF('Peak Areas'!P43=0,0,((('Peak Areas'!P43*Coefficients!$G$32+Coefficients!$H$32)*$G47)))</f>
        <v>1.3241118251000423</v>
      </c>
      <c r="N47" s="30">
        <f>IF('Peak Areas'!Q43=0,0,((('Peak Areas'!Q43*Coefficients!$G$11+Coefficients!$H$11)*$G47)))</f>
        <v>0</v>
      </c>
      <c r="O47" s="30">
        <f>IF('Peak Areas'!R43=0,0,((('Peak Areas'!R43*Coefficients!$G$39+Coefficients!$H$39)*$G47)))</f>
        <v>0.53010111034913954</v>
      </c>
      <c r="P47" s="30">
        <f>IF('Peak Areas'!S43=0,0,((('Peak Areas'!S43*Coefficients!$G$46+Coefficients!$H$46)*$G47)))</f>
        <v>0</v>
      </c>
      <c r="Q47" s="30">
        <f>IF('Peak Areas'!T43=0,0,((('Peak Areas'!T43*Coefficients!$G$51+Coefficients!$H$51)*$G47)))</f>
        <v>0.44582518073547189</v>
      </c>
      <c r="R47" s="30">
        <f>IF('Peak Areas'!U43=0,0,((('Peak Areas'!U43*Coefficients!$G$26+Coefficients!$H$26)*$G47)))</f>
        <v>1.0328362927404466</v>
      </c>
      <c r="S47" s="30">
        <f>IF('Peak Areas'!V43=0,0,((('Peak Areas'!V43*Coefficients!$G$13+Coefficients!$H$13)*$G47)))</f>
        <v>0.24357560530277647</v>
      </c>
      <c r="T47" s="30">
        <f>IF('Peak Areas'!W43=0,0,((('Peak Areas'!W43*Coefficients!$G$12+Coefficients!$H$12)*$G47)))</f>
        <v>0.2240226406047636</v>
      </c>
      <c r="U47" s="30">
        <f>IF('Peak Areas'!X43=0,0,((('Peak Areas'!X43*Coefficients!$G$27+Coefficients!$H$27)*$G47)))</f>
        <v>0.15324307840635099</v>
      </c>
      <c r="V47" s="30">
        <f>IF('Peak Areas'!Y43=0,0,((('Peak Areas'!Y43*Coefficients!$G$34+Coefficients!$H$34)*$G47)))</f>
        <v>1.2997564451590107</v>
      </c>
      <c r="W47" s="30">
        <f>IF('Peak Areas'!Z43=0,0,((('Peak Areas'!Z43*Coefficients!$G$52+Coefficients!$H$52)*$G47)))</f>
        <v>0.68377290404972468</v>
      </c>
      <c r="X47" s="30">
        <f>IF('Peak Areas'!AA43=0,0,((('Peak Areas'!AA43*Coefficients!$G$33+Coefficients!$H$33)*$G47)))</f>
        <v>0.22744709403868452</v>
      </c>
      <c r="Y47" s="30">
        <f>IF('Peak Areas'!AC43=0,0,((('Peak Areas'!AC43*Coefficients!$G$19+Coefficients!$H$19)*$G47)))</f>
        <v>2.0390401431600687</v>
      </c>
      <c r="Z47" s="30">
        <f>IF('Peak Areas'!AD43=0,0,((('Peak Areas'!AD43*Coefficients!$G$18+Coefficients!$H$18)*$G47)))</f>
        <v>0.99479065525482069</v>
      </c>
      <c r="AA47" s="30">
        <f>IF('Peak Areas'!AE43=0,0,((('Peak Areas'!AE43*Coefficients!$G$18+Coefficients!$H$18)*$G47)))</f>
        <v>13.270551768607486</v>
      </c>
      <c r="AB47" s="30">
        <f>IF('Peak Areas'!AF43=0,0,((('Peak Areas'!AF43*Coefficients!$G$18+Coefficients!$H$18)*$G47)))</f>
        <v>0.59764177738508195</v>
      </c>
      <c r="AC47" s="30">
        <f>IF('Peak Areas'!AG43=0,0,((('Peak Areas'!AG43*Coefficients!$G$7+Coefficients!$H$7)*$G47)))</f>
        <v>0</v>
      </c>
      <c r="AD47" s="30">
        <f>IF('Peak Areas'!AH43=0,0,((('Peak Areas'!AH43*Coefficients!$G$6+Coefficients!$H$6)*$G47)))</f>
        <v>1.3970676144702026</v>
      </c>
      <c r="AF47" s="30">
        <f>IF('Peak Areas'!K43=0,0,((('Peak Areas'!K43*Coefficients!$G$22+Coefficients!$H$22)*$G47)))</f>
        <v>0.12195538749958754</v>
      </c>
      <c r="AG47" s="30">
        <f t="shared" si="0"/>
        <v>13.392507156107074</v>
      </c>
      <c r="AH47" s="30">
        <f t="shared" si="1"/>
        <v>14.984939588746977</v>
      </c>
    </row>
    <row r="48" spans="1:34" x14ac:dyDescent="0.25">
      <c r="A48" s="2">
        <f>'Peak Areas'!A44</f>
        <v>34</v>
      </c>
      <c r="B48" s="62">
        <f>'Peak Areas'!B44</f>
        <v>45809</v>
      </c>
      <c r="C48" s="2" t="str">
        <f>'Peak Areas'!C44</f>
        <v>C+D high</v>
      </c>
      <c r="D48" s="2">
        <f>'Peak Areas'!D44</f>
        <v>0</v>
      </c>
      <c r="E48" s="2">
        <f>'Peak Areas'!E44</f>
        <v>0</v>
      </c>
      <c r="F48" s="30">
        <f>'Peak Areas'!F44</f>
        <v>6.2E-2</v>
      </c>
      <c r="G48" s="30">
        <f>((1/'Peak Areas'!$G44)*(('Peak Areas'!$H44+('Internal Standard'!$E$10/1000))/'Peak Areas'!$F44)*'Peak Areas'!$J44)*H48</f>
        <v>6.4989829574706628E-2</v>
      </c>
      <c r="H48" s="30">
        <f>(('Internal Standard'!$F$13*('Peak Areas'!G44/'Internal Standard'!$C$10))/'Peak Areas'!AB44)</f>
        <v>0.94808692556042595</v>
      </c>
      <c r="I48" s="30">
        <f>IF('Peak Areas'!L44=0,0,((('Peak Areas'!L44*Coefficients!$G$21+Coefficients!$H$21)*$G48)))</f>
        <v>0</v>
      </c>
      <c r="J48" s="30">
        <f>IF('Peak Areas'!M44=0,0,((('Peak Areas'!M44*Coefficients!$G$20+Coefficients!$H$20)*$G48)))</f>
        <v>0</v>
      </c>
      <c r="K48" s="30">
        <f>IF('Peak Areas'!N44=0,0,((('Peak Areas'!N44*Coefficients!$G$41+Coefficients!$H$41)*$G48)))</f>
        <v>6.7174636348685021E-2</v>
      </c>
      <c r="L48" s="30">
        <f>IF('Peak Areas'!O44=0,0,((('Peak Areas'!O44*Coefficients!$G$10+Coefficients!$H$10)*$G48)))</f>
        <v>0</v>
      </c>
      <c r="M48" s="30">
        <f>IF('Peak Areas'!P44=0,0,((('Peak Areas'!P44*Coefficients!$G$32+Coefficients!$H$32)*$G48)))</f>
        <v>0.68695400082963631</v>
      </c>
      <c r="N48" s="30">
        <f>IF('Peak Areas'!Q44=0,0,((('Peak Areas'!Q44*Coefficients!$G$11+Coefficients!$H$11)*$G48)))</f>
        <v>0</v>
      </c>
      <c r="O48" s="30">
        <f>IF('Peak Areas'!R44=0,0,((('Peak Areas'!R44*Coefficients!$G$39+Coefficients!$H$39)*$G48)))</f>
        <v>0.35804466242748689</v>
      </c>
      <c r="P48" s="30">
        <f>IF('Peak Areas'!S44=0,0,((('Peak Areas'!S44*Coefficients!$G$46+Coefficients!$H$46)*$G48)))</f>
        <v>0</v>
      </c>
      <c r="Q48" s="30">
        <f>IF('Peak Areas'!T44=0,0,((('Peak Areas'!T44*Coefficients!$G$51+Coefficients!$H$51)*$G48)))</f>
        <v>0.33516066784735404</v>
      </c>
      <c r="R48" s="30">
        <f>IF('Peak Areas'!U44=0,0,((('Peak Areas'!U44*Coefficients!$G$26+Coefficients!$H$26)*$G48)))</f>
        <v>0.8188208148458892</v>
      </c>
      <c r="S48" s="30">
        <f>IF('Peak Areas'!V44=0,0,((('Peak Areas'!V44*Coefficients!$G$13+Coefficients!$H$13)*$G48)))</f>
        <v>0.19682223455346809</v>
      </c>
      <c r="T48" s="30">
        <f>IF('Peak Areas'!W44=0,0,((('Peak Areas'!W44*Coefficients!$G$12+Coefficients!$H$12)*$G48)))</f>
        <v>0.163491126998008</v>
      </c>
      <c r="U48" s="30">
        <f>IF('Peak Areas'!X44=0,0,((('Peak Areas'!X44*Coefficients!$G$27+Coefficients!$H$27)*$G48)))</f>
        <v>0.12797943320350716</v>
      </c>
      <c r="V48" s="30">
        <f>IF('Peak Areas'!Y44=0,0,((('Peak Areas'!Y44*Coefficients!$G$34+Coefficients!$H$34)*$G48)))</f>
        <v>1.1844944009758682</v>
      </c>
      <c r="W48" s="30">
        <f>IF('Peak Areas'!Z44=0,0,((('Peak Areas'!Z44*Coefficients!$G$52+Coefficients!$H$52)*$G48)))</f>
        <v>0.58044169522081435</v>
      </c>
      <c r="X48" s="30">
        <f>IF('Peak Areas'!AA44=0,0,((('Peak Areas'!AA44*Coefficients!$G$33+Coefficients!$H$33)*$G48)))</f>
        <v>0.17240183425941014</v>
      </c>
      <c r="Y48" s="30">
        <f>IF('Peak Areas'!AC44=0,0,((('Peak Areas'!AC44*Coefficients!$G$19+Coefficients!$H$19)*$G48)))</f>
        <v>1.8759926283469259</v>
      </c>
      <c r="Z48" s="30">
        <f>IF('Peak Areas'!AD44=0,0,((('Peak Areas'!AD44*Coefficients!$G$18+Coefficients!$H$18)*$G48)))</f>
        <v>1.0794957959312588</v>
      </c>
      <c r="AA48" s="30">
        <f>IF('Peak Areas'!AE44=0,0,((('Peak Areas'!AE44*Coefficients!$G$18+Coefficients!$H$18)*$G48)))</f>
        <v>9.9557411705025824</v>
      </c>
      <c r="AB48" s="30">
        <f>IF('Peak Areas'!AF44=0,0,((('Peak Areas'!AF44*Coefficients!$G$18+Coefficients!$H$18)*$G48)))</f>
        <v>0.4494829842537339</v>
      </c>
      <c r="AC48" s="30">
        <f>IF('Peak Areas'!AG44=0,0,((('Peak Areas'!AG44*Coefficients!$G$7+Coefficients!$H$7)*$G48)))</f>
        <v>0</v>
      </c>
      <c r="AD48" s="30">
        <f>IF('Peak Areas'!AH44=0,0,((('Peak Areas'!AH44*Coefficients!$G$6+Coefficients!$H$6)*$G48)))</f>
        <v>0.99520060058680837</v>
      </c>
      <c r="AF48" s="30">
        <f>IF('Peak Areas'!K44=0,0,((('Peak Areas'!K44*Coefficients!$G$22+Coefficients!$H$22)*$G48)))</f>
        <v>0.14874817208153582</v>
      </c>
      <c r="AG48" s="30">
        <f t="shared" si="0"/>
        <v>10.104489342584118</v>
      </c>
      <c r="AH48" s="30">
        <f t="shared" si="1"/>
        <v>11.633468122769111</v>
      </c>
    </row>
    <row r="49" spans="1:34" x14ac:dyDescent="0.25">
      <c r="A49" s="2">
        <f>'Peak Areas'!A45</f>
        <v>35</v>
      </c>
      <c r="B49" s="62">
        <f>'Peak Areas'!B45</f>
        <v>45809</v>
      </c>
      <c r="C49" s="2" t="str">
        <f>'Peak Areas'!C45</f>
        <v>C+D low nut</v>
      </c>
      <c r="D49" s="2">
        <f>'Peak Areas'!D45</f>
        <v>0</v>
      </c>
      <c r="E49" s="2">
        <f>'Peak Areas'!E45</f>
        <v>0</v>
      </c>
      <c r="F49" s="30">
        <f>'Peak Areas'!F45</f>
        <v>0.1</v>
      </c>
      <c r="G49" s="30">
        <f>((1/'Peak Areas'!$G45)*(('Peak Areas'!$H45+('Internal Standard'!$E$10/1000))/'Peak Areas'!$F45)*'Peak Areas'!$J45)*H49</f>
        <v>4.5592857978952184E-2</v>
      </c>
      <c r="H49" s="30">
        <f>(('Internal Standard'!$F$13*('Peak Areas'!G45/'Internal Standard'!$C$10))/'Peak Areas'!AB45)</f>
        <v>1.0727731289165219</v>
      </c>
      <c r="I49" s="30">
        <f>IF('Peak Areas'!L45=0,0,((('Peak Areas'!L45*Coefficients!$G$21+Coefficients!$H$21)*$G49)))</f>
        <v>0</v>
      </c>
      <c r="J49" s="30">
        <f>IF('Peak Areas'!M45=0,0,((('Peak Areas'!M45*Coefficients!$G$20+Coefficients!$H$20)*$G49)))</f>
        <v>0.47191984241926632</v>
      </c>
      <c r="K49" s="30">
        <f>IF('Peak Areas'!N45=0,0,((('Peak Areas'!N45*Coefficients!$G$41+Coefficients!$H$41)*$G49)))</f>
        <v>0.10364780951992357</v>
      </c>
      <c r="L49" s="30">
        <f>IF('Peak Areas'!O45=0,0,((('Peak Areas'!O45*Coefficients!$G$10+Coefficients!$H$10)*$G49)))</f>
        <v>0</v>
      </c>
      <c r="M49" s="30">
        <f>IF('Peak Areas'!P45=0,0,((('Peak Areas'!P45*Coefficients!$G$32+Coefficients!$H$32)*$G49)))</f>
        <v>4.2605474767473828</v>
      </c>
      <c r="N49" s="30">
        <f>IF('Peak Areas'!Q45=0,0,((('Peak Areas'!Q45*Coefficients!$G$11+Coefficients!$H$11)*$G49)))</f>
        <v>0</v>
      </c>
      <c r="O49" s="30">
        <f>IF('Peak Areas'!R45=0,0,((('Peak Areas'!R45*Coefficients!$G$39+Coefficients!$H$39)*$G49)))</f>
        <v>1.2524838161412013</v>
      </c>
      <c r="P49" s="30">
        <f>IF('Peak Areas'!S45=0,0,((('Peak Areas'!S45*Coefficients!$G$46+Coefficients!$H$46)*$G49)))</f>
        <v>0</v>
      </c>
      <c r="Q49" s="30">
        <f>IF('Peak Areas'!T45=0,0,((('Peak Areas'!T45*Coefficients!$G$51+Coefficients!$H$51)*$G49)))</f>
        <v>1.4813519320956756</v>
      </c>
      <c r="R49" s="30">
        <f>IF('Peak Areas'!U45=0,0,((('Peak Areas'!U45*Coefficients!$G$26+Coefficients!$H$26)*$G49)))</f>
        <v>2.6288770929519543</v>
      </c>
      <c r="S49" s="30">
        <f>IF('Peak Areas'!V45=0,0,((('Peak Areas'!V45*Coefficients!$G$13+Coefficients!$H$13)*$G49)))</f>
        <v>0.342324778969189</v>
      </c>
      <c r="T49" s="30">
        <f>IF('Peak Areas'!W45=0,0,((('Peak Areas'!W45*Coefficients!$G$12+Coefficients!$H$12)*$G49)))</f>
        <v>0.67976609243959596</v>
      </c>
      <c r="U49" s="30">
        <f>IF('Peak Areas'!X45=0,0,((('Peak Areas'!X45*Coefficients!$G$27+Coefficients!$H$27)*$G49)))</f>
        <v>0.1877316615279829</v>
      </c>
      <c r="V49" s="30">
        <f>IF('Peak Areas'!Y45=0,0,((('Peak Areas'!Y45*Coefficients!$G$34+Coefficients!$H$34)*$G49)))</f>
        <v>2.9965062041342527</v>
      </c>
      <c r="W49" s="30">
        <f>IF('Peak Areas'!Z45=0,0,((('Peak Areas'!Z45*Coefficients!$G$52+Coefficients!$H$52)*$G49)))</f>
        <v>1.5227769598921024</v>
      </c>
      <c r="X49" s="30">
        <f>IF('Peak Areas'!AA45=0,0,((('Peak Areas'!AA45*Coefficients!$G$33+Coefficients!$H$33)*$G49)))</f>
        <v>0.18761409208499386</v>
      </c>
      <c r="Y49" s="30">
        <f>IF('Peak Areas'!AC45=0,0,((('Peak Areas'!AC45*Coefficients!$G$19+Coefficients!$H$19)*$G49)))</f>
        <v>3.951817567491076</v>
      </c>
      <c r="Z49" s="30">
        <f>IF('Peak Areas'!AD45=0,0,((('Peak Areas'!AD45*Coefficients!$G$18+Coefficients!$H$18)*$G49)))</f>
        <v>0.59475268641817569</v>
      </c>
      <c r="AA49" s="30">
        <f>IF('Peak Areas'!AE45=0,0,((('Peak Areas'!AE45*Coefficients!$G$18+Coefficients!$H$18)*$G49)))</f>
        <v>35.494968179847014</v>
      </c>
      <c r="AB49" s="30">
        <f>IF('Peak Areas'!AF45=0,0,((('Peak Areas'!AF45*Coefficients!$G$18+Coefficients!$H$18)*$G49)))</f>
        <v>1.5878637323144196</v>
      </c>
      <c r="AC49" s="30">
        <f>IF('Peak Areas'!AG45=0,0,((('Peak Areas'!AG45*Coefficients!$G$7+Coefficients!$H$7)*$G49)))</f>
        <v>6.8814693062938068E-2</v>
      </c>
      <c r="AD49" s="30">
        <f>IF('Peak Areas'!AH45=0,0,((('Peak Areas'!AH45*Coefficients!$G$6+Coefficients!$H$6)*$G49)))</f>
        <v>3.9887904411198005</v>
      </c>
      <c r="AF49" s="30">
        <f>IF('Peak Areas'!K45=0,0,((('Peak Areas'!K45*Coefficients!$G$22+Coefficients!$H$22)*$G49)))</f>
        <v>0.60310620733305864</v>
      </c>
      <c r="AG49" s="30">
        <f t="shared" si="0"/>
        <v>36.09807438718007</v>
      </c>
      <c r="AH49" s="30">
        <f t="shared" si="1"/>
        <v>38.280690805912663</v>
      </c>
    </row>
    <row r="50" spans="1:34" x14ac:dyDescent="0.25">
      <c r="A50" s="2">
        <f>'Peak Areas'!A46</f>
        <v>36</v>
      </c>
      <c r="B50" s="62">
        <f>'Peak Areas'!B46</f>
        <v>45809</v>
      </c>
      <c r="C50" s="2" t="str">
        <f>'Peak Areas'!C46</f>
        <v>C+D low nut</v>
      </c>
      <c r="D50" s="2">
        <f>'Peak Areas'!D46</f>
        <v>0</v>
      </c>
      <c r="E50" s="2">
        <f>'Peak Areas'!E46</f>
        <v>0</v>
      </c>
      <c r="F50" s="30">
        <f>'Peak Areas'!F46</f>
        <v>0.1</v>
      </c>
      <c r="G50" s="30">
        <f>((1/'Peak Areas'!$G46)*(('Peak Areas'!$H46+('Internal Standard'!$E$10/1000))/'Peak Areas'!$F46)*'Peak Areas'!$J46)*H50</f>
        <v>4.4537239304261809E-2</v>
      </c>
      <c r="H50" s="30">
        <f>(('Internal Standard'!$F$13*('Peak Areas'!G46/'Internal Standard'!$C$10))/'Peak Areas'!AB46)</f>
        <v>1.047935042453219</v>
      </c>
      <c r="I50" s="30">
        <f>IF('Peak Areas'!L46=0,0,((('Peak Areas'!L46*Coefficients!$G$21+Coefficients!$H$21)*$G50)))</f>
        <v>0</v>
      </c>
      <c r="J50" s="30">
        <f>IF('Peak Areas'!M46=0,0,((('Peak Areas'!M46*Coefficients!$G$20+Coefficients!$H$20)*$G50)))</f>
        <v>0.49675010837925987</v>
      </c>
      <c r="K50" s="30">
        <f>IF('Peak Areas'!N46=0,0,((('Peak Areas'!N46*Coefficients!$G$41+Coefficients!$H$41)*$G50)))</f>
        <v>0.10084625742300718</v>
      </c>
      <c r="L50" s="30">
        <f>IF('Peak Areas'!O46=0,0,((('Peak Areas'!O46*Coefficients!$G$10+Coefficients!$H$10)*$G50)))</f>
        <v>0</v>
      </c>
      <c r="M50" s="30">
        <f>IF('Peak Areas'!P46=0,0,((('Peak Areas'!P46*Coefficients!$G$32+Coefficients!$H$32)*$G50)))</f>
        <v>4.6132746784834335</v>
      </c>
      <c r="N50" s="30">
        <f>IF('Peak Areas'!Q46=0,0,((('Peak Areas'!Q46*Coefficients!$G$11+Coefficients!$H$11)*$G50)))</f>
        <v>0</v>
      </c>
      <c r="O50" s="30">
        <f>IF('Peak Areas'!R46=0,0,((('Peak Areas'!R46*Coefficients!$G$39+Coefficients!$H$39)*$G50)))</f>
        <v>1.3191348804999756</v>
      </c>
      <c r="P50" s="30">
        <f>IF('Peak Areas'!S46=0,0,((('Peak Areas'!S46*Coefficients!$G$46+Coefficients!$H$46)*$G50)))</f>
        <v>0</v>
      </c>
      <c r="Q50" s="30">
        <f>IF('Peak Areas'!T46=0,0,((('Peak Areas'!T46*Coefficients!$G$51+Coefficients!$H$51)*$G50)))</f>
        <v>1.5638962540121324</v>
      </c>
      <c r="R50" s="30">
        <f>IF('Peak Areas'!U46=0,0,((('Peak Areas'!U46*Coefficients!$G$26+Coefficients!$H$26)*$G50)))</f>
        <v>2.8530670461099459</v>
      </c>
      <c r="S50" s="30">
        <f>IF('Peak Areas'!V46=0,0,((('Peak Areas'!V46*Coefficients!$G$13+Coefficients!$H$13)*$G50)))</f>
        <v>0.35923972636420975</v>
      </c>
      <c r="T50" s="30">
        <f>IF('Peak Areas'!W46=0,0,((('Peak Areas'!W46*Coefficients!$G$12+Coefficients!$H$12)*$G50)))</f>
        <v>0.72917796093287157</v>
      </c>
      <c r="U50" s="30">
        <f>IF('Peak Areas'!X46=0,0,((('Peak Areas'!X46*Coefficients!$G$27+Coefficients!$H$27)*$G50)))</f>
        <v>0.19274140551722393</v>
      </c>
      <c r="V50" s="30">
        <f>IF('Peak Areas'!Y46=0,0,((('Peak Areas'!Y46*Coefficients!$G$34+Coefficients!$H$34)*$G50)))</f>
        <v>3.0494295752777538</v>
      </c>
      <c r="W50" s="30">
        <f>IF('Peak Areas'!Z46=0,0,((('Peak Areas'!Z46*Coefficients!$G$52+Coefficients!$H$52)*$G50)))</f>
        <v>1.5969069770757522</v>
      </c>
      <c r="X50" s="30">
        <f>IF('Peak Areas'!AA46=0,0,((('Peak Areas'!AA46*Coefficients!$G$33+Coefficients!$H$33)*$G50)))</f>
        <v>0.18113788877407067</v>
      </c>
      <c r="Y50" s="30">
        <f>IF('Peak Areas'!AC46=0,0,((('Peak Areas'!AC46*Coefficients!$G$19+Coefficients!$H$19)*$G50)))</f>
        <v>3.9647692882784549</v>
      </c>
      <c r="Z50" s="30">
        <f>IF('Peak Areas'!AD46=0,0,((('Peak Areas'!AD46*Coefficients!$G$18+Coefficients!$H$18)*$G50)))</f>
        <v>0.53738150160848241</v>
      </c>
      <c r="AA50" s="30">
        <f>IF('Peak Areas'!AE46=0,0,((('Peak Areas'!AE46*Coefficients!$G$18+Coefficients!$H$18)*$G50)))</f>
        <v>37.126252410965712</v>
      </c>
      <c r="AB50" s="30">
        <f>IF('Peak Areas'!AF46=0,0,((('Peak Areas'!AF46*Coefficients!$G$18+Coefficients!$H$18)*$G50)))</f>
        <v>1.671282271494003</v>
      </c>
      <c r="AC50" s="30">
        <f>IF('Peak Areas'!AG46=0,0,((('Peak Areas'!AG46*Coefficients!$G$7+Coefficients!$H$7)*$G50)))</f>
        <v>0.10219091602514838</v>
      </c>
      <c r="AD50" s="30">
        <f>IF('Peak Areas'!AH46=0,0,((('Peak Areas'!AH46*Coefficients!$G$6+Coefficients!$H$6)*$G50)))</f>
        <v>4.4750139270660503</v>
      </c>
      <c r="AF50" s="30">
        <f>IF('Peak Areas'!K46=0,0,((('Peak Areas'!K46*Coefficients!$G$22+Coefficients!$H$22)*$G50)))</f>
        <v>0.61030802345424406</v>
      </c>
      <c r="AG50" s="30">
        <f t="shared" si="0"/>
        <v>37.736560434419957</v>
      </c>
      <c r="AH50" s="30">
        <f t="shared" si="1"/>
        <v>39.945224207522436</v>
      </c>
    </row>
    <row r="51" spans="1:34" x14ac:dyDescent="0.25">
      <c r="A51" s="2">
        <f>'Peak Areas'!A47</f>
        <v>37</v>
      </c>
      <c r="B51" s="62">
        <f>'Peak Areas'!B47</f>
        <v>45809</v>
      </c>
      <c r="C51" s="2" t="str">
        <f>'Peak Areas'!C47</f>
        <v>C+D high nut</v>
      </c>
      <c r="D51" s="2">
        <f>'Peak Areas'!D47</f>
        <v>0</v>
      </c>
      <c r="E51" s="2">
        <f>'Peak Areas'!E47</f>
        <v>0</v>
      </c>
      <c r="F51" s="30">
        <f>'Peak Areas'!F47</f>
        <v>0.1</v>
      </c>
      <c r="G51" s="30">
        <f>((1/'Peak Areas'!$G47)*(('Peak Areas'!$H47+('Internal Standard'!$E$10/1000))/'Peak Areas'!$F47)*'Peak Areas'!$J47)*H51</f>
        <v>4.4172522720919066E-2</v>
      </c>
      <c r="H51" s="30">
        <f>(('Internal Standard'!$F$13*('Peak Areas'!G47/'Internal Standard'!$C$10))/'Peak Areas'!AB47)</f>
        <v>1.039353475786331</v>
      </c>
      <c r="I51" s="30">
        <f>IF('Peak Areas'!L47=0,0,((('Peak Areas'!L47*Coefficients!$G$21+Coefficients!$H$21)*$G51)))</f>
        <v>0</v>
      </c>
      <c r="J51" s="30">
        <f>IF('Peak Areas'!M47=0,0,((('Peak Areas'!M47*Coefficients!$G$20+Coefficients!$H$20)*$G51)))</f>
        <v>0</v>
      </c>
      <c r="K51" s="30">
        <f>IF('Peak Areas'!N47=0,0,((('Peak Areas'!N47*Coefficients!$G$41+Coefficients!$H$41)*$G51)))</f>
        <v>3.4162661203589587E-2</v>
      </c>
      <c r="L51" s="30">
        <f>IF('Peak Areas'!O47=0,0,((('Peak Areas'!O47*Coefficients!$G$10+Coefficients!$H$10)*$G51)))</f>
        <v>0</v>
      </c>
      <c r="M51" s="30">
        <f>IF('Peak Areas'!P47=0,0,((('Peak Areas'!P47*Coefficients!$G$32+Coefficients!$H$32)*$G51)))</f>
        <v>0.87270244438214961</v>
      </c>
      <c r="N51" s="30">
        <f>IF('Peak Areas'!Q47=0,0,((('Peak Areas'!Q47*Coefficients!$G$11+Coefficients!$H$11)*$G51)))</f>
        <v>0</v>
      </c>
      <c r="O51" s="30">
        <f>IF('Peak Areas'!R47=0,0,((('Peak Areas'!R47*Coefficients!$G$39+Coefficients!$H$39)*$G51)))</f>
        <v>0.3680330193856578</v>
      </c>
      <c r="P51" s="30">
        <f>IF('Peak Areas'!S47=0,0,((('Peak Areas'!S47*Coefficients!$G$46+Coefficients!$H$46)*$G51)))</f>
        <v>0</v>
      </c>
      <c r="Q51" s="30">
        <f>IF('Peak Areas'!T47=0,0,((('Peak Areas'!T47*Coefficients!$G$51+Coefficients!$H$51)*$G51)))</f>
        <v>0.38715774198997444</v>
      </c>
      <c r="R51" s="30">
        <f>IF('Peak Areas'!U47=0,0,((('Peak Areas'!U47*Coefficients!$G$26+Coefficients!$H$26)*$G51)))</f>
        <v>0.9350114379582285</v>
      </c>
      <c r="S51" s="30">
        <f>IF('Peak Areas'!V47=0,0,((('Peak Areas'!V47*Coefficients!$G$13+Coefficients!$H$13)*$G51)))</f>
        <v>0.2282475052354512</v>
      </c>
      <c r="T51" s="30">
        <f>IF('Peak Areas'!W47=0,0,((('Peak Areas'!W47*Coefficients!$G$12+Coefficients!$H$12)*$G51)))</f>
        <v>0.22278488000534735</v>
      </c>
      <c r="U51" s="30">
        <f>IF('Peak Areas'!X47=0,0,((('Peak Areas'!X47*Coefficients!$G$27+Coefficients!$H$27)*$G51)))</f>
        <v>0.12032740263316169</v>
      </c>
      <c r="V51" s="30">
        <f>IF('Peak Areas'!Y47=0,0,((('Peak Areas'!Y47*Coefficients!$G$34+Coefficients!$H$34)*$G51)))</f>
        <v>1.2265900920118005</v>
      </c>
      <c r="W51" s="30">
        <f>IF('Peak Areas'!Z47=0,0,((('Peak Areas'!Z47*Coefficients!$G$52+Coefficients!$H$52)*$G51)))</f>
        <v>0.62557793132952488</v>
      </c>
      <c r="X51" s="30">
        <f>IF('Peak Areas'!AA47=0,0,((('Peak Areas'!AA47*Coefficients!$G$33+Coefficients!$H$33)*$G51)))</f>
        <v>0.24641539372442323</v>
      </c>
      <c r="Y51" s="30">
        <f>IF('Peak Areas'!AC47=0,0,((('Peak Areas'!AC47*Coefficients!$G$19+Coefficients!$H$19)*$G51)))</f>
        <v>1.854914765047073</v>
      </c>
      <c r="Z51" s="30">
        <f>IF('Peak Areas'!AD47=0,0,((('Peak Areas'!AD47*Coefficients!$G$18+Coefficients!$H$18)*$G51)))</f>
        <v>0.95725901172411942</v>
      </c>
      <c r="AA51" s="30">
        <f>IF('Peak Areas'!AE47=0,0,((('Peak Areas'!AE47*Coefficients!$G$18+Coefficients!$H$18)*$G51)))</f>
        <v>11.318138629340975</v>
      </c>
      <c r="AB51" s="30">
        <f>IF('Peak Areas'!AF47=0,0,((('Peak Areas'!AF47*Coefficients!$G$18+Coefficients!$H$18)*$G51)))</f>
        <v>0.52838205183966258</v>
      </c>
      <c r="AC51" s="30">
        <f>IF('Peak Areas'!AG47=0,0,((('Peak Areas'!AG47*Coefficients!$G$7+Coefficients!$H$7)*$G51)))</f>
        <v>0</v>
      </c>
      <c r="AD51" s="30">
        <f>IF('Peak Areas'!AH47=0,0,((('Peak Areas'!AH47*Coefficients!$G$6+Coefficients!$H$6)*$G51)))</f>
        <v>1.20255030037108</v>
      </c>
      <c r="AF51" s="30">
        <f>IF('Peak Areas'!K47=0,0,((('Peak Areas'!K47*Coefficients!$G$22+Coefficients!$H$22)*$G51)))</f>
        <v>0.12074587061900421</v>
      </c>
      <c r="AG51" s="30">
        <f t="shared" si="0"/>
        <v>11.438884499959979</v>
      </c>
      <c r="AH51" s="30">
        <f t="shared" si="1"/>
        <v>12.92452556352376</v>
      </c>
    </row>
    <row r="52" spans="1:34" x14ac:dyDescent="0.25">
      <c r="A52" s="2">
        <f>'Peak Areas'!A48</f>
        <v>38</v>
      </c>
      <c r="B52" s="62">
        <f>'Peak Areas'!B48</f>
        <v>45809</v>
      </c>
      <c r="C52" s="2" t="str">
        <f>'Peak Areas'!C48</f>
        <v>C+D high nut</v>
      </c>
      <c r="D52" s="2">
        <f>'Peak Areas'!D48</f>
        <v>0</v>
      </c>
      <c r="E52" s="2">
        <f>'Peak Areas'!E48</f>
        <v>0</v>
      </c>
      <c r="F52" s="30">
        <f>'Peak Areas'!F48</f>
        <v>0.1</v>
      </c>
      <c r="G52" s="30">
        <f>((1/'Peak Areas'!$G48)*(('Peak Areas'!$H48+('Internal Standard'!$E$10/1000))/'Peak Areas'!$F48)*'Peak Areas'!$J48)*H52</f>
        <v>4.2602103433101952E-2</v>
      </c>
      <c r="H52" s="30">
        <f>(('Internal Standard'!$F$13*('Peak Areas'!G48/'Internal Standard'!$C$10))/'Peak Areas'!AB48)</f>
        <v>1.0024024337200459</v>
      </c>
      <c r="I52" s="30">
        <f>IF('Peak Areas'!L48=0,0,((('Peak Areas'!L48*Coefficients!$G$21+Coefficients!$H$21)*$G52)))</f>
        <v>0</v>
      </c>
      <c r="J52" s="30">
        <f>IF('Peak Areas'!M48=0,0,((('Peak Areas'!M48*Coefficients!$G$20+Coefficients!$H$20)*$G52)))</f>
        <v>0</v>
      </c>
      <c r="K52" s="30">
        <f>IF('Peak Areas'!N48=0,0,((('Peak Areas'!N48*Coefficients!$G$41+Coefficients!$H$41)*$G52)))</f>
        <v>4.6037189250374866E-2</v>
      </c>
      <c r="L52" s="30">
        <f>IF('Peak Areas'!O48=0,0,((('Peak Areas'!O48*Coefficients!$G$10+Coefficients!$H$10)*$G52)))</f>
        <v>0</v>
      </c>
      <c r="M52" s="30">
        <f>IF('Peak Areas'!P48=0,0,((('Peak Areas'!P48*Coefficients!$G$32+Coefficients!$H$32)*$G52)))</f>
        <v>0.49986487743006358</v>
      </c>
      <c r="N52" s="30">
        <f>IF('Peak Areas'!Q48=0,0,((('Peak Areas'!Q48*Coefficients!$G$11+Coefficients!$H$11)*$G52)))</f>
        <v>0</v>
      </c>
      <c r="O52" s="30">
        <f>IF('Peak Areas'!R48=0,0,((('Peak Areas'!R48*Coefficients!$G$39+Coefficients!$H$39)*$G52)))</f>
        <v>0.3981456119565342</v>
      </c>
      <c r="P52" s="30">
        <f>IF('Peak Areas'!S48=0,0,((('Peak Areas'!S48*Coefficients!$G$46+Coefficients!$H$46)*$G52)))</f>
        <v>0</v>
      </c>
      <c r="Q52" s="30">
        <f>IF('Peak Areas'!T48=0,0,((('Peak Areas'!T48*Coefficients!$G$51+Coefficients!$H$51)*$G52)))</f>
        <v>0.25455587098551852</v>
      </c>
      <c r="R52" s="30">
        <f>IF('Peak Areas'!U48=0,0,((('Peak Areas'!U48*Coefficients!$G$26+Coefficients!$H$26)*$G52)))</f>
        <v>0.67847184200695432</v>
      </c>
      <c r="S52" s="30">
        <f>IF('Peak Areas'!V48=0,0,((('Peak Areas'!V48*Coefficients!$G$13+Coefficients!$H$13)*$G52)))</f>
        <v>0.17729512645242398</v>
      </c>
      <c r="T52" s="30">
        <f>IF('Peak Areas'!W48=0,0,((('Peak Areas'!W48*Coefficients!$G$12+Coefficients!$H$12)*$G52)))</f>
        <v>0.15008476390444375</v>
      </c>
      <c r="U52" s="30">
        <f>IF('Peak Areas'!X48=0,0,((('Peak Areas'!X48*Coefficients!$G$27+Coefficients!$H$27)*$G52)))</f>
        <v>0.11311412407011433</v>
      </c>
      <c r="V52" s="30">
        <f>IF('Peak Areas'!Y48=0,0,((('Peak Areas'!Y48*Coefficients!$G$34+Coefficients!$H$34)*$G52)))</f>
        <v>1.0814351165470841</v>
      </c>
      <c r="W52" s="30">
        <f>IF('Peak Areas'!Z48=0,0,((('Peak Areas'!Z48*Coefficients!$G$52+Coefficients!$H$52)*$G52)))</f>
        <v>0.51621635566981994</v>
      </c>
      <c r="X52" s="30">
        <f>IF('Peak Areas'!AA48=0,0,((('Peak Areas'!AA48*Coefficients!$G$33+Coefficients!$H$33)*$G52)))</f>
        <v>0.22389451943296018</v>
      </c>
      <c r="Y52" s="30">
        <f>IF('Peak Areas'!AC48=0,0,((('Peak Areas'!AC48*Coefficients!$G$19+Coefficients!$H$19)*$G52)))</f>
        <v>1.6482512869290551</v>
      </c>
      <c r="Z52" s="30">
        <f>IF('Peak Areas'!AD48=0,0,((('Peak Areas'!AD48*Coefficients!$G$18+Coefficients!$H$18)*$G52)))</f>
        <v>0.93760561575028045</v>
      </c>
      <c r="AA52" s="30">
        <f>IF('Peak Areas'!AE48=0,0,((('Peak Areas'!AE48*Coefficients!$G$18+Coefficients!$H$18)*$G52)))</f>
        <v>8.1860842951601427</v>
      </c>
      <c r="AB52" s="30">
        <f>IF('Peak Areas'!AF48=0,0,((('Peak Areas'!AF48*Coefficients!$G$18+Coefficients!$H$18)*$G52)))</f>
        <v>0.39985858842835181</v>
      </c>
      <c r="AC52" s="30">
        <f>IF('Peak Areas'!AG48=0,0,((('Peak Areas'!AG48*Coefficients!$G$7+Coefficients!$H$7)*$G52)))</f>
        <v>0</v>
      </c>
      <c r="AD52" s="30">
        <f>IF('Peak Areas'!AH48=0,0,((('Peak Areas'!AH48*Coefficients!$G$6+Coefficients!$H$6)*$G52)))</f>
        <v>0.93972578679304852</v>
      </c>
      <c r="AF52" s="30">
        <f>IF('Peak Areas'!K48=0,0,((('Peak Areas'!K48*Coefficients!$G$22+Coefficients!$H$22)*$G52)))</f>
        <v>0.12345717837819625</v>
      </c>
      <c r="AG52" s="30">
        <f t="shared" si="0"/>
        <v>8.3095414735383386</v>
      </c>
      <c r="AH52" s="30">
        <f t="shared" si="1"/>
        <v>9.6470056777169706</v>
      </c>
    </row>
    <row r="53" spans="1:34" x14ac:dyDescent="0.25">
      <c r="A53" s="2">
        <f>'Peak Areas'!A49</f>
        <v>39</v>
      </c>
      <c r="B53" s="62">
        <f>'Peak Areas'!B49</f>
        <v>45841</v>
      </c>
      <c r="C53" s="2" t="str">
        <f>'Peak Areas'!C49</f>
        <v>control</v>
      </c>
      <c r="D53" s="2">
        <f>'Peak Areas'!D49</f>
        <v>0</v>
      </c>
      <c r="E53" s="2">
        <f>'Peak Areas'!E49</f>
        <v>0</v>
      </c>
      <c r="F53" s="30">
        <f>'Peak Areas'!F49</f>
        <v>0.1</v>
      </c>
      <c r="G53" s="30">
        <f>((1/'Peak Areas'!$G49)*(('Peak Areas'!$H49+('Internal Standard'!$E$10/1000))/'Peak Areas'!$F49)*'Peak Areas'!$J49)*H53</f>
        <v>4.385043827611395E-2</v>
      </c>
      <c r="H53" s="30">
        <f>(('Internal Standard'!$F$13*('Peak Areas'!G49/'Internal Standard'!$C$10))/'Peak Areas'!AB49)</f>
        <v>1.0317750182615046</v>
      </c>
      <c r="I53" s="30">
        <f>IF('Peak Areas'!L49=0,0,((('Peak Areas'!L49*Coefficients!$G$21+Coefficients!$H$21)*$G53)))</f>
        <v>5.6996089557295466E-2</v>
      </c>
      <c r="J53" s="30">
        <f>IF('Peak Areas'!M49=0,0,((('Peak Areas'!M49*Coefficients!$G$20+Coefficients!$H$20)*$G53)))</f>
        <v>0.16436408759261339</v>
      </c>
      <c r="K53" s="30">
        <f>IF('Peak Areas'!N49=0,0,((('Peak Areas'!N49*Coefficients!$G$41+Coefficients!$H$41)*$G53)))</f>
        <v>8.0447720263422201E-2</v>
      </c>
      <c r="L53" s="30">
        <f>IF('Peak Areas'!O49=0,0,((('Peak Areas'!O49*Coefficients!$G$10+Coefficients!$H$10)*$G53)))</f>
        <v>0</v>
      </c>
      <c r="M53" s="30">
        <f>IF('Peak Areas'!P49=0,0,((('Peak Areas'!P49*Coefficients!$G$32+Coefficients!$H$32)*$G53)))</f>
        <v>1.1287322415266616</v>
      </c>
      <c r="N53" s="30">
        <f>IF('Peak Areas'!Q49=0,0,((('Peak Areas'!Q49*Coefficients!$G$11+Coefficients!$H$11)*$G53)))</f>
        <v>0.12213521164152666</v>
      </c>
      <c r="O53" s="30">
        <f>IF('Peak Areas'!R49=0,0,((('Peak Areas'!R49*Coefficients!$G$39+Coefficients!$H$39)*$G53)))</f>
        <v>0.18175213430051906</v>
      </c>
      <c r="P53" s="30">
        <f>IF('Peak Areas'!S49=0,0,((('Peak Areas'!S49*Coefficients!$G$46+Coefficients!$H$46)*$G53)))</f>
        <v>0</v>
      </c>
      <c r="Q53" s="30">
        <f>IF('Peak Areas'!T49=0,0,((('Peak Areas'!T49*Coefficients!$G$51+Coefficients!$H$51)*$G53)))</f>
        <v>0.45147437835483645</v>
      </c>
      <c r="R53" s="30">
        <f>IF('Peak Areas'!U49=0,0,((('Peak Areas'!U49*Coefficients!$G$26+Coefficients!$H$26)*$G53)))</f>
        <v>0.44481329044614099</v>
      </c>
      <c r="S53" s="30">
        <f>IF('Peak Areas'!V49=0,0,((('Peak Areas'!V49*Coefficients!$G$13+Coefficients!$H$13)*$G53)))</f>
        <v>0.16926602668388788</v>
      </c>
      <c r="T53" s="30">
        <f>IF('Peak Areas'!W49=0,0,((('Peak Areas'!W49*Coefficients!$G$12+Coefficients!$H$12)*$G53)))</f>
        <v>0.15142442839583603</v>
      </c>
      <c r="U53" s="30">
        <f>IF('Peak Areas'!X49=0,0,((('Peak Areas'!X49*Coefficients!$G$27+Coefficients!$H$27)*$G53)))</f>
        <v>4.0389579850996615E-2</v>
      </c>
      <c r="V53" s="30">
        <f>IF('Peak Areas'!Y49=0,0,((('Peak Areas'!Y49*Coefficients!$G$34+Coefficients!$H$34)*$G53)))</f>
        <v>0.70508867649636775</v>
      </c>
      <c r="W53" s="30">
        <f>IF('Peak Areas'!Z49=0,0,((('Peak Areas'!Z49*Coefficients!$G$52+Coefficients!$H$52)*$G53)))</f>
        <v>0.36505850653992877</v>
      </c>
      <c r="X53" s="30">
        <f>IF('Peak Areas'!AA49=0,0,((('Peak Areas'!AA49*Coefficients!$G$33+Coefficients!$H$33)*$G53)))</f>
        <v>6.1315256451397453E-2</v>
      </c>
      <c r="Y53" s="30">
        <f>IF('Peak Areas'!AC49=0,0,((('Peak Areas'!AC49*Coefficients!$G$19+Coefficients!$H$19)*$G53)))</f>
        <v>0.62374582341124907</v>
      </c>
      <c r="Z53" s="30">
        <f>IF('Peak Areas'!AD49=0,0,((('Peak Areas'!AD49*Coefficients!$G$18+Coefficients!$H$18)*$G53)))</f>
        <v>0.20928525863312636</v>
      </c>
      <c r="AA53" s="30">
        <f>IF('Peak Areas'!AE49=0,0,((('Peak Areas'!AE49*Coefficients!$G$18+Coefficients!$H$18)*$G53)))</f>
        <v>5.840971350077611</v>
      </c>
      <c r="AB53" s="30">
        <f>IF('Peak Areas'!AF49=0,0,((('Peak Areas'!AF49*Coefficients!$G$18+Coefficients!$H$18)*$G53)))</f>
        <v>0.3357878795608108</v>
      </c>
      <c r="AC53" s="30">
        <f>IF('Peak Areas'!AG49=0,0,((('Peak Areas'!AG49*Coefficients!$G$7+Coefficients!$H$7)*$G53)))</f>
        <v>0</v>
      </c>
      <c r="AD53" s="30">
        <f>IF('Peak Areas'!AH49=0,0,((('Peak Areas'!AH49*Coefficients!$G$6+Coefficients!$H$6)*$G53)))</f>
        <v>0.80152069254809155</v>
      </c>
      <c r="AF53" s="30">
        <f>IF('Peak Areas'!K49=0,0,((('Peak Areas'!K49*Coefficients!$G$22+Coefficients!$H$22)*$G53)))</f>
        <v>2.7825481455912612E-2</v>
      </c>
      <c r="AG53" s="30">
        <f t="shared" si="0"/>
        <v>5.8687968315335235</v>
      </c>
      <c r="AH53" s="30">
        <f t="shared" si="1"/>
        <v>6.4138699697274602</v>
      </c>
    </row>
    <row r="54" spans="1:34" x14ac:dyDescent="0.25">
      <c r="A54" s="2">
        <f>'Peak Areas'!A50</f>
        <v>40</v>
      </c>
      <c r="B54" s="62">
        <f>'Peak Areas'!B50</f>
        <v>45841</v>
      </c>
      <c r="C54" s="2" t="str">
        <f>'Peak Areas'!C50</f>
        <v>control</v>
      </c>
      <c r="D54" s="2">
        <f>'Peak Areas'!D50</f>
        <v>0</v>
      </c>
      <c r="E54" s="2">
        <f>'Peak Areas'!E50</f>
        <v>0</v>
      </c>
      <c r="F54" s="30">
        <f>'Peak Areas'!F50</f>
        <v>0.1</v>
      </c>
      <c r="G54" s="30">
        <f>((1/'Peak Areas'!$G50)*(('Peak Areas'!$H50+('Internal Standard'!$E$10/1000))/'Peak Areas'!$F50)*'Peak Areas'!$J50)*H54</f>
        <v>4.4441516460539551E-2</v>
      </c>
      <c r="H54" s="30">
        <f>(('Internal Standard'!$F$13*('Peak Areas'!G50/'Internal Standard'!$C$10))/'Peak Areas'!AB50)</f>
        <v>1.0456827402479894</v>
      </c>
      <c r="I54" s="30">
        <f>IF('Peak Areas'!L50=0,0,((('Peak Areas'!L50*Coefficients!$G$21+Coefficients!$H$21)*$G54)))</f>
        <v>7.1232076867395341E-2</v>
      </c>
      <c r="J54" s="30">
        <f>IF('Peak Areas'!M50=0,0,((('Peak Areas'!M50*Coefficients!$G$20+Coefficients!$H$20)*$G54)))</f>
        <v>0.18414417038352385</v>
      </c>
      <c r="K54" s="30">
        <f>IF('Peak Areas'!N50=0,0,((('Peak Areas'!N50*Coefficients!$G$41+Coefficients!$H$41)*$G54)))</f>
        <v>8.6944452553577037E-2</v>
      </c>
      <c r="L54" s="30">
        <f>IF('Peak Areas'!O50=0,0,((('Peak Areas'!O50*Coefficients!$G$10+Coefficients!$H$10)*$G54)))</f>
        <v>0</v>
      </c>
      <c r="M54" s="30">
        <f>IF('Peak Areas'!P50=0,0,((('Peak Areas'!P50*Coefficients!$G$32+Coefficients!$H$32)*$G54)))</f>
        <v>1.2731784841586347</v>
      </c>
      <c r="N54" s="30">
        <f>IF('Peak Areas'!Q50=0,0,((('Peak Areas'!Q50*Coefficients!$G$11+Coefficients!$H$11)*$G54)))</f>
        <v>0.13746991549774087</v>
      </c>
      <c r="O54" s="30">
        <f>IF('Peak Areas'!R50=0,0,((('Peak Areas'!R50*Coefficients!$G$39+Coefficients!$H$39)*$G54)))</f>
        <v>0.19713407488778217</v>
      </c>
      <c r="P54" s="30">
        <f>IF('Peak Areas'!S50=0,0,((('Peak Areas'!S50*Coefficients!$G$46+Coefficients!$H$46)*$G54)))</f>
        <v>0</v>
      </c>
      <c r="Q54" s="30">
        <f>IF('Peak Areas'!T50=0,0,((('Peak Areas'!T50*Coefficients!$G$51+Coefficients!$H$51)*$G54)))</f>
        <v>0.51513123864599875</v>
      </c>
      <c r="R54" s="30">
        <f>IF('Peak Areas'!U50=0,0,((('Peak Areas'!U50*Coefficients!$G$26+Coefficients!$H$26)*$G54)))</f>
        <v>0.43416451338565554</v>
      </c>
      <c r="S54" s="30">
        <f>IF('Peak Areas'!V50=0,0,((('Peak Areas'!V50*Coefficients!$G$13+Coefficients!$H$13)*$G54)))</f>
        <v>0.18373219647729264</v>
      </c>
      <c r="T54" s="30">
        <f>IF('Peak Areas'!W50=0,0,((('Peak Areas'!W50*Coefficients!$G$12+Coefficients!$H$12)*$G54)))</f>
        <v>0.15505504991646024</v>
      </c>
      <c r="U54" s="30">
        <f>IF('Peak Areas'!X50=0,0,((('Peak Areas'!X50*Coefficients!$G$27+Coefficients!$H$27)*$G54)))</f>
        <v>3.2213549624529776E-2</v>
      </c>
      <c r="V54" s="30">
        <f>IF('Peak Areas'!Y50=0,0,((('Peak Areas'!Y50*Coefficients!$G$34+Coefficients!$H$34)*$G54)))</f>
        <v>0.77072757998486596</v>
      </c>
      <c r="W54" s="30">
        <f>IF('Peak Areas'!Z50=0,0,((('Peak Areas'!Z50*Coefficients!$G$52+Coefficients!$H$52)*$G54)))</f>
        <v>0.38584417768169205</v>
      </c>
      <c r="X54" s="30">
        <f>IF('Peak Areas'!AA50=0,0,((('Peak Areas'!AA50*Coefficients!$G$33+Coefficients!$H$33)*$G54)))</f>
        <v>4.5334022396475625E-2</v>
      </c>
      <c r="Y54" s="30">
        <f>IF('Peak Areas'!AC50=0,0,((('Peak Areas'!AC50*Coefficients!$G$19+Coefficients!$H$19)*$G54)))</f>
        <v>0.61047392621577579</v>
      </c>
      <c r="Z54" s="30">
        <f>IF('Peak Areas'!AD50=0,0,((('Peak Areas'!AD50*Coefficients!$G$18+Coefficients!$H$18)*$G54)))</f>
        <v>0.12968166938904493</v>
      </c>
      <c r="AA54" s="30">
        <f>IF('Peak Areas'!AE50=0,0,((('Peak Areas'!AE50*Coefficients!$G$18+Coefficients!$H$18)*$G54)))</f>
        <v>6.0740311875501005</v>
      </c>
      <c r="AB54" s="30">
        <f>IF('Peak Areas'!AF50=0,0,((('Peak Areas'!AF50*Coefficients!$G$18+Coefficients!$H$18)*$G54)))</f>
        <v>0.35411994916896306</v>
      </c>
      <c r="AC54" s="30">
        <f>IF('Peak Areas'!AG50=0,0,((('Peak Areas'!AG50*Coefficients!$G$7+Coefficients!$H$7)*$G54)))</f>
        <v>0</v>
      </c>
      <c r="AD54" s="30">
        <f>IF('Peak Areas'!AH50=0,0,((('Peak Areas'!AH50*Coefficients!$G$6+Coefficients!$H$6)*$G54)))</f>
        <v>0.94111722066237058</v>
      </c>
      <c r="AF54" s="30">
        <f>IF('Peak Areas'!K50=0,0,((('Peak Areas'!K50*Coefficients!$G$22+Coefficients!$H$22)*$G54)))</f>
        <v>2.2258495156455393E-2</v>
      </c>
      <c r="AG54" s="30">
        <f t="shared" si="0"/>
        <v>6.0962896827065558</v>
      </c>
      <c r="AH54" s="30">
        <f t="shared" si="1"/>
        <v>6.5800913012645639</v>
      </c>
    </row>
    <row r="55" spans="1:34" x14ac:dyDescent="0.25">
      <c r="A55" s="2">
        <f>'Peak Areas'!A51</f>
        <v>41</v>
      </c>
      <c r="B55" s="62">
        <f>'Peak Areas'!B51</f>
        <v>45841</v>
      </c>
      <c r="C55" s="2" t="str">
        <f>'Peak Areas'!C51</f>
        <v>solvent</v>
      </c>
      <c r="D55" s="2">
        <f>'Peak Areas'!D51</f>
        <v>0</v>
      </c>
      <c r="E55" s="2">
        <f>'Peak Areas'!E51</f>
        <v>0</v>
      </c>
      <c r="F55" s="30">
        <f>'Peak Areas'!F51</f>
        <v>0.1</v>
      </c>
      <c r="G55" s="30">
        <f>((1/'Peak Areas'!$G51)*(('Peak Areas'!$H51+('Internal Standard'!$E$10/1000))/'Peak Areas'!$F51)*'Peak Areas'!$J51)*H55</f>
        <v>4.3678332716139537E-2</v>
      </c>
      <c r="H55" s="30">
        <f>(('Internal Standard'!$F$13*('Peak Areas'!G51/'Internal Standard'!$C$10))/'Peak Areas'!AB51)</f>
        <v>1.0277254756738714</v>
      </c>
      <c r="I55" s="30">
        <f>IF('Peak Areas'!L51=0,0,((('Peak Areas'!L51*Coefficients!$G$21+Coefficients!$H$21)*$G55)))</f>
        <v>4.686701903146942E-2</v>
      </c>
      <c r="J55" s="30">
        <f>IF('Peak Areas'!M51=0,0,((('Peak Areas'!M51*Coefficients!$G$20+Coefficients!$H$20)*$G55)))</f>
        <v>0.14591477750115614</v>
      </c>
      <c r="K55" s="30">
        <f>IF('Peak Areas'!N51=0,0,((('Peak Areas'!N51*Coefficients!$G$41+Coefficients!$H$41)*$G55)))</f>
        <v>8.889155716130373E-2</v>
      </c>
      <c r="L55" s="30">
        <f>IF('Peak Areas'!O51=0,0,((('Peak Areas'!O51*Coefficients!$G$10+Coefficients!$H$10)*$G55)))</f>
        <v>0</v>
      </c>
      <c r="M55" s="30">
        <f>IF('Peak Areas'!P51=0,0,((('Peak Areas'!P51*Coefficients!$G$32+Coefficients!$H$32)*$G55)))</f>
        <v>0.92782401602331732</v>
      </c>
      <c r="N55" s="30">
        <f>IF('Peak Areas'!Q51=0,0,((('Peak Areas'!Q51*Coefficients!$G$11+Coefficients!$H$11)*$G55)))</f>
        <v>0.1085454922513613</v>
      </c>
      <c r="O55" s="30">
        <f>IF('Peak Areas'!R51=0,0,((('Peak Areas'!R51*Coefficients!$G$39+Coefficients!$H$39)*$G55)))</f>
        <v>0.16337779048528714</v>
      </c>
      <c r="P55" s="30">
        <f>IF('Peak Areas'!S51=0,0,((('Peak Areas'!S51*Coefficients!$G$46+Coefficients!$H$46)*$G55)))</f>
        <v>0</v>
      </c>
      <c r="Q55" s="30">
        <f>IF('Peak Areas'!T51=0,0,((('Peak Areas'!T51*Coefficients!$G$51+Coefficients!$H$51)*$G55)))</f>
        <v>0.45518665784859352</v>
      </c>
      <c r="R55" s="30">
        <f>IF('Peak Areas'!U51=0,0,((('Peak Areas'!U51*Coefficients!$G$26+Coefficients!$H$26)*$G55)))</f>
        <v>0.38637486051841313</v>
      </c>
      <c r="S55" s="30">
        <f>IF('Peak Areas'!V51=0,0,((('Peak Areas'!V51*Coefficients!$G$13+Coefficients!$H$13)*$G55)))</f>
        <v>0.13761469887446598</v>
      </c>
      <c r="T55" s="30">
        <f>IF('Peak Areas'!W51=0,0,((('Peak Areas'!W51*Coefficients!$G$12+Coefficients!$H$12)*$G55)))</f>
        <v>0.14485694656102346</v>
      </c>
      <c r="U55" s="30">
        <f>IF('Peak Areas'!X51=0,0,((('Peak Areas'!X51*Coefficients!$G$27+Coefficients!$H$27)*$G55)))</f>
        <v>2.6251869118579196E-2</v>
      </c>
      <c r="V55" s="30">
        <f>IF('Peak Areas'!Y51=0,0,((('Peak Areas'!Y51*Coefficients!$G$34+Coefficients!$H$34)*$G55)))</f>
        <v>0.69104385062799945</v>
      </c>
      <c r="W55" s="30">
        <f>IF('Peak Areas'!Z51=0,0,((('Peak Areas'!Z51*Coefficients!$G$52+Coefficients!$H$52)*$G55)))</f>
        <v>0.39562202433977711</v>
      </c>
      <c r="X55" s="30">
        <f>IF('Peak Areas'!AA51=0,0,((('Peak Areas'!AA51*Coefficients!$G$33+Coefficients!$H$33)*$G55)))</f>
        <v>5.1305164703821585E-2</v>
      </c>
      <c r="Y55" s="30">
        <f>IF('Peak Areas'!AC51=0,0,((('Peak Areas'!AC51*Coefficients!$G$19+Coefficients!$H$19)*$G55)))</f>
        <v>0.5291385637024425</v>
      </c>
      <c r="Z55" s="30">
        <f>IF('Peak Areas'!AD51=0,0,((('Peak Areas'!AD51*Coefficients!$G$18+Coefficients!$H$18)*$G55)))</f>
        <v>0.10605637300537742</v>
      </c>
      <c r="AA55" s="30">
        <f>IF('Peak Areas'!AE51=0,0,((('Peak Areas'!AE51*Coefficients!$G$18+Coefficients!$H$18)*$G55)))</f>
        <v>5.0915493678055315</v>
      </c>
      <c r="AB55" s="30">
        <f>IF('Peak Areas'!AF51=0,0,((('Peak Areas'!AF51*Coefficients!$G$18+Coefficients!$H$18)*$G55)))</f>
        <v>0.31395180127905814</v>
      </c>
      <c r="AC55" s="30">
        <f>IF('Peak Areas'!AG51=0,0,((('Peak Areas'!AG51*Coefficients!$G$7+Coefficients!$H$7)*$G55)))</f>
        <v>0</v>
      </c>
      <c r="AD55" s="30">
        <f>IF('Peak Areas'!AH51=0,0,((('Peak Areas'!AH51*Coefficients!$G$6+Coefficients!$H$6)*$G55)))</f>
        <v>0.66283998147963197</v>
      </c>
      <c r="AF55" s="30">
        <f>IF('Peak Areas'!K51=0,0,((('Peak Areas'!K51*Coefficients!$G$22+Coefficients!$H$22)*$G55)))</f>
        <v>2.1765167977776296E-2</v>
      </c>
      <c r="AG55" s="30">
        <f t="shared" si="0"/>
        <v>5.1133145357833074</v>
      </c>
      <c r="AH55" s="30">
        <f t="shared" si="1"/>
        <v>5.5333227100677433</v>
      </c>
    </row>
    <row r="56" spans="1:34" x14ac:dyDescent="0.25">
      <c r="A56" s="2">
        <f>'Peak Areas'!A52</f>
        <v>42</v>
      </c>
      <c r="B56" s="62">
        <f>'Peak Areas'!B52</f>
        <v>45841</v>
      </c>
      <c r="C56" s="2" t="str">
        <f>'Peak Areas'!C52</f>
        <v>solvent</v>
      </c>
      <c r="D56" s="2">
        <f>'Peak Areas'!D52</f>
        <v>0</v>
      </c>
      <c r="E56" s="2">
        <f>'Peak Areas'!E52</f>
        <v>0</v>
      </c>
      <c r="F56" s="30">
        <f>'Peak Areas'!F52</f>
        <v>0.1</v>
      </c>
      <c r="G56" s="30">
        <f>((1/'Peak Areas'!$G52)*(('Peak Areas'!$H52+('Internal Standard'!$E$10/1000))/'Peak Areas'!$F52)*'Peak Areas'!$J52)*H56</f>
        <v>4.3126453215162112E-2</v>
      </c>
      <c r="H56" s="30">
        <f>(('Internal Standard'!$F$13*('Peak Areas'!G52/'Internal Standard'!$C$10))/'Peak Areas'!AB52)</f>
        <v>1.0147400756508731</v>
      </c>
      <c r="I56" s="30">
        <f>IF('Peak Areas'!L52=0,0,((('Peak Areas'!L52*Coefficients!$G$21+Coefficients!$H$21)*$G56)))</f>
        <v>4.338847887541291E-2</v>
      </c>
      <c r="J56" s="30">
        <f>IF('Peak Areas'!M52=0,0,((('Peak Areas'!M52*Coefficients!$G$20+Coefficients!$H$20)*$G56)))</f>
        <v>0.13928988262986838</v>
      </c>
      <c r="K56" s="30">
        <f>IF('Peak Areas'!N52=0,0,((('Peak Areas'!N52*Coefficients!$G$41+Coefficients!$H$41)*$G56)))</f>
        <v>9.9350153065601979E-2</v>
      </c>
      <c r="L56" s="30">
        <f>IF('Peak Areas'!O52=0,0,((('Peak Areas'!O52*Coefficients!$G$10+Coefficients!$H$10)*$G56)))</f>
        <v>0</v>
      </c>
      <c r="M56" s="30">
        <f>IF('Peak Areas'!P52=0,0,((('Peak Areas'!P52*Coefficients!$G$32+Coefficients!$H$32)*$G56)))</f>
        <v>0.88752945780356152</v>
      </c>
      <c r="N56" s="30">
        <f>IF('Peak Areas'!Q52=0,0,((('Peak Areas'!Q52*Coefficients!$G$11+Coefficients!$H$11)*$G56)))</f>
        <v>0.10509749017995178</v>
      </c>
      <c r="O56" s="30">
        <f>IF('Peak Areas'!R52=0,0,((('Peak Areas'!R52*Coefficients!$G$39+Coefficients!$H$39)*$G56)))</f>
        <v>0.1680636331769762</v>
      </c>
      <c r="P56" s="30">
        <f>IF('Peak Areas'!S52=0,0,((('Peak Areas'!S52*Coefficients!$G$46+Coefficients!$H$46)*$G56)))</f>
        <v>0</v>
      </c>
      <c r="Q56" s="30">
        <f>IF('Peak Areas'!T52=0,0,((('Peak Areas'!T52*Coefficients!$G$51+Coefficients!$H$51)*$G56)))</f>
        <v>0.44421303600857182</v>
      </c>
      <c r="R56" s="30">
        <f>IF('Peak Areas'!U52=0,0,((('Peak Areas'!U52*Coefficients!$G$26+Coefficients!$H$26)*$G56)))</f>
        <v>0.38114330086998871</v>
      </c>
      <c r="S56" s="30">
        <f>IF('Peak Areas'!V52=0,0,((('Peak Areas'!V52*Coefficients!$G$13+Coefficients!$H$13)*$G56)))</f>
        <v>0.1339181033530886</v>
      </c>
      <c r="T56" s="30">
        <f>IF('Peak Areas'!W52=0,0,((('Peak Areas'!W52*Coefficients!$G$12+Coefficients!$H$12)*$G56)))</f>
        <v>0.18280166302955186</v>
      </c>
      <c r="U56" s="30">
        <f>IF('Peak Areas'!X52=0,0,((('Peak Areas'!X52*Coefficients!$G$27+Coefficients!$H$27)*$G56)))</f>
        <v>3.959892077563644E-2</v>
      </c>
      <c r="V56" s="30">
        <f>IF('Peak Areas'!Y52=0,0,((('Peak Areas'!Y52*Coefficients!$G$34+Coefficients!$H$34)*$G56)))</f>
        <v>0.73189476338888004</v>
      </c>
      <c r="W56" s="30">
        <f>IF('Peak Areas'!Z52=0,0,((('Peak Areas'!Z52*Coefficients!$G$52+Coefficients!$H$52)*$G56)))</f>
        <v>0.42149910182399936</v>
      </c>
      <c r="X56" s="30">
        <f>IF('Peak Areas'!AA52=0,0,((('Peak Areas'!AA52*Coefficients!$G$33+Coefficients!$H$33)*$G56)))</f>
        <v>5.3800345099368756E-2</v>
      </c>
      <c r="Y56" s="30">
        <f>IF('Peak Areas'!AC52=0,0,((('Peak Areas'!AC52*Coefficients!$G$19+Coefficients!$H$19)*$G56)))</f>
        <v>0.5166133032719028</v>
      </c>
      <c r="Z56" s="30">
        <f>IF('Peak Areas'!AD52=0,0,((('Peak Areas'!AD52*Coefficients!$G$18+Coefficients!$H$18)*$G56)))</f>
        <v>0.10022642929063791</v>
      </c>
      <c r="AA56" s="30">
        <f>IF('Peak Areas'!AE52=0,0,((('Peak Areas'!AE52*Coefficients!$G$18+Coefficients!$H$18)*$G56)))</f>
        <v>4.9864640065448924</v>
      </c>
      <c r="AB56" s="30">
        <f>IF('Peak Areas'!AF52=0,0,((('Peak Areas'!AF52*Coefficients!$G$18+Coefficients!$H$18)*$G56)))</f>
        <v>0.32553674585891623</v>
      </c>
      <c r="AC56" s="30">
        <f>IF('Peak Areas'!AG52=0,0,((('Peak Areas'!AG52*Coefficients!$G$7+Coefficients!$H$7)*$G56)))</f>
        <v>0</v>
      </c>
      <c r="AD56" s="30">
        <f>IF('Peak Areas'!AH52=0,0,((('Peak Areas'!AH52*Coefficients!$G$6+Coefficients!$H$6)*$G56)))</f>
        <v>0.73142499176503262</v>
      </c>
      <c r="AF56" s="30">
        <f>IF('Peak Areas'!K52=0,0,((('Peak Areas'!K52*Coefficients!$G$22+Coefficients!$H$22)*$G56)))</f>
        <v>2.2281452479006262E-2</v>
      </c>
      <c r="AG56" s="30">
        <f t="shared" si="0"/>
        <v>5.0087454590238991</v>
      </c>
      <c r="AH56" s="30">
        <f t="shared" si="1"/>
        <v>5.4345086341734534</v>
      </c>
    </row>
    <row r="57" spans="1:34" x14ac:dyDescent="0.25">
      <c r="A57" s="2">
        <f>'Peak Areas'!A53</f>
        <v>43</v>
      </c>
      <c r="B57" s="62">
        <f>'Peak Areas'!B53</f>
        <v>45841</v>
      </c>
      <c r="C57" s="2" t="str">
        <f>'Peak Areas'!C53</f>
        <v>nut</v>
      </c>
      <c r="D57" s="2">
        <f>'Peak Areas'!D53</f>
        <v>0</v>
      </c>
      <c r="E57" s="2">
        <f>'Peak Areas'!E53</f>
        <v>0</v>
      </c>
      <c r="F57" s="30">
        <f>'Peak Areas'!F53</f>
        <v>0.1</v>
      </c>
      <c r="G57" s="30">
        <f>((1/'Peak Areas'!$G53)*(('Peak Areas'!$H53+('Internal Standard'!$E$10/1000))/'Peak Areas'!$F53)*'Peak Areas'!$J53)*H57</f>
        <v>4.4701395190562619E-2</v>
      </c>
      <c r="H57" s="30">
        <f>(('Internal Standard'!$F$13*('Peak Areas'!G53/'Internal Standard'!$C$10))/'Peak Areas'!AB53)</f>
        <v>1.0517975338955909</v>
      </c>
      <c r="I57" s="30">
        <f>IF('Peak Areas'!L53=0,0,((('Peak Areas'!L53*Coefficients!$G$21+Coefficients!$H$21)*$G57)))</f>
        <v>0.19449774821584592</v>
      </c>
      <c r="J57" s="30">
        <f>IF('Peak Areas'!M53=0,0,((('Peak Areas'!M53*Coefficients!$G$20+Coefficients!$H$20)*$G57)))</f>
        <v>0.50261803523511617</v>
      </c>
      <c r="K57" s="30">
        <f>IF('Peak Areas'!N53=0,0,((('Peak Areas'!N53*Coefficients!$G$41+Coefficients!$H$41)*$G57)))</f>
        <v>0.17013643696383282</v>
      </c>
      <c r="L57" s="30">
        <f>IF('Peak Areas'!O53=0,0,((('Peak Areas'!O53*Coefficients!$G$10+Coefficients!$H$10)*$G57)))</f>
        <v>0</v>
      </c>
      <c r="M57" s="30">
        <f>IF('Peak Areas'!P53=0,0,((('Peak Areas'!P53*Coefficients!$G$32+Coefficients!$H$32)*$G57)))</f>
        <v>3.1204034409407293</v>
      </c>
      <c r="N57" s="30">
        <f>IF('Peak Areas'!Q53=0,0,((('Peak Areas'!Q53*Coefficients!$G$11+Coefficients!$H$11)*$G57)))</f>
        <v>0.16634710075384593</v>
      </c>
      <c r="O57" s="30">
        <f>IF('Peak Areas'!R53=0,0,((('Peak Areas'!R53*Coefficients!$G$39+Coefficients!$H$39)*$G57)))</f>
        <v>0.46720648615839189</v>
      </c>
      <c r="P57" s="30">
        <f>IF('Peak Areas'!S53=0,0,((('Peak Areas'!S53*Coefficients!$G$46+Coefficients!$H$46)*$G57)))</f>
        <v>0</v>
      </c>
      <c r="Q57" s="30">
        <f>IF('Peak Areas'!T53=0,0,((('Peak Areas'!T53*Coefficients!$G$51+Coefficients!$H$51)*$G57)))</f>
        <v>0.70658980382067416</v>
      </c>
      <c r="R57" s="30">
        <f>IF('Peak Areas'!U53=0,0,((('Peak Areas'!U53*Coefficients!$G$26+Coefficients!$H$26)*$G57)))</f>
        <v>0.68308789658028679</v>
      </c>
      <c r="S57" s="30">
        <f>IF('Peak Areas'!V53=0,0,((('Peak Areas'!V53*Coefficients!$G$13+Coefficients!$H$13)*$G57)))</f>
        <v>0.18382656024970775</v>
      </c>
      <c r="T57" s="30">
        <f>IF('Peak Areas'!W53=0,0,((('Peak Areas'!W53*Coefficients!$G$12+Coefficients!$H$12)*$G57)))</f>
        <v>0.31071483536667621</v>
      </c>
      <c r="U57" s="30">
        <f>IF('Peak Areas'!X53=0,0,((('Peak Areas'!X53*Coefficients!$G$27+Coefficients!$H$27)*$G57)))</f>
        <v>6.1584299741047614E-2</v>
      </c>
      <c r="V57" s="30">
        <f>IF('Peak Areas'!Y53=0,0,((('Peak Areas'!Y53*Coefficients!$G$34+Coefficients!$H$34)*$G57)))</f>
        <v>1.4681790972475064</v>
      </c>
      <c r="W57" s="30">
        <f>IF('Peak Areas'!Z53=0,0,((('Peak Areas'!Z53*Coefficients!$G$52+Coefficients!$H$52)*$G57)))</f>
        <v>0.48486822655124323</v>
      </c>
      <c r="X57" s="30">
        <f>IF('Peak Areas'!AA53=0,0,((('Peak Areas'!AA53*Coefficients!$G$33+Coefficients!$H$33)*$G57)))</f>
        <v>4.7970913311747021E-2</v>
      </c>
      <c r="Y57" s="30">
        <f>IF('Peak Areas'!AC53=0,0,((('Peak Areas'!AC53*Coefficients!$G$19+Coefficients!$H$19)*$G57)))</f>
        <v>1.4685285710144342</v>
      </c>
      <c r="Z57" s="30">
        <f>IF('Peak Areas'!AD53=0,0,((('Peak Areas'!AD53*Coefficients!$G$18+Coefficients!$H$18)*$G57)))</f>
        <v>0.23813604394566701</v>
      </c>
      <c r="AA57" s="30">
        <f>IF('Peak Areas'!AE53=0,0,((('Peak Areas'!AE53*Coefficients!$G$18+Coefficients!$H$18)*$G57)))</f>
        <v>12.401539680544467</v>
      </c>
      <c r="AB57" s="30">
        <f>IF('Peak Areas'!AF53=0,0,((('Peak Areas'!AF53*Coefficients!$G$18+Coefficients!$H$18)*$G57)))</f>
        <v>0.61048398594487308</v>
      </c>
      <c r="AC57" s="30">
        <f>IF('Peak Areas'!AG53=0,0,((('Peak Areas'!AG53*Coefficients!$G$7+Coefficients!$H$7)*$G57)))</f>
        <v>0.23858723393767245</v>
      </c>
      <c r="AD57" s="30">
        <f>IF('Peak Areas'!AH53=0,0,((('Peak Areas'!AH53*Coefficients!$G$6+Coefficients!$H$6)*$G57)))</f>
        <v>1.3720705904352699</v>
      </c>
      <c r="AF57" s="30">
        <f>IF('Peak Areas'!K53=0,0,((('Peak Areas'!K53*Coefficients!$G$22+Coefficients!$H$22)*$G57)))</f>
        <v>9.5734441814549709E-2</v>
      </c>
      <c r="AG57" s="30">
        <f t="shared" si="0"/>
        <v>12.497274122359016</v>
      </c>
      <c r="AH57" s="30">
        <f t="shared" si="1"/>
        <v>13.345894152249556</v>
      </c>
    </row>
    <row r="58" spans="1:34" x14ac:dyDescent="0.25">
      <c r="A58" s="2">
        <f>'Peak Areas'!A54</f>
        <v>44</v>
      </c>
      <c r="B58" s="62">
        <f>'Peak Areas'!B54</f>
        <v>45841</v>
      </c>
      <c r="C58" s="2" t="str">
        <f>'Peak Areas'!C54</f>
        <v>nut</v>
      </c>
      <c r="D58" s="2">
        <f>'Peak Areas'!D54</f>
        <v>0</v>
      </c>
      <c r="E58" s="2">
        <f>'Peak Areas'!E54</f>
        <v>0</v>
      </c>
      <c r="F58" s="30">
        <f>'Peak Areas'!F54</f>
        <v>0.1</v>
      </c>
      <c r="G58" s="30">
        <f>((1/'Peak Areas'!$G54)*(('Peak Areas'!$H54+('Internal Standard'!$E$10/1000))/'Peak Areas'!$F54)*'Peak Areas'!$J54)*H58</f>
        <v>4.3864334258701516E-2</v>
      </c>
      <c r="H58" s="30">
        <f>(('Internal Standard'!$F$13*('Peak Areas'!G54/'Internal Standard'!$C$10))/'Peak Areas'!AB54)</f>
        <v>1.0321019825576827</v>
      </c>
      <c r="I58" s="30">
        <f>IF('Peak Areas'!L54=0,0,((('Peak Areas'!L54*Coefficients!$G$21+Coefficients!$H$21)*$G58)))</f>
        <v>0.25959393588085633</v>
      </c>
      <c r="J58" s="30">
        <f>IF('Peak Areas'!M54=0,0,((('Peak Areas'!M54*Coefficients!$G$20+Coefficients!$H$20)*$G58)))</f>
        <v>0.5537567719786981</v>
      </c>
      <c r="K58" s="30">
        <f>IF('Peak Areas'!N54=0,0,((('Peak Areas'!N54*Coefficients!$G$41+Coefficients!$H$41)*$G58)))</f>
        <v>0.17182838451523583</v>
      </c>
      <c r="L58" s="30">
        <f>IF('Peak Areas'!O54=0,0,((('Peak Areas'!O54*Coefficients!$G$10+Coefficients!$H$10)*$G58)))</f>
        <v>0</v>
      </c>
      <c r="M58" s="30">
        <f>IF('Peak Areas'!P54=0,0,((('Peak Areas'!P54*Coefficients!$G$32+Coefficients!$H$32)*$G58)))</f>
        <v>3.514610762903124</v>
      </c>
      <c r="N58" s="30">
        <f>IF('Peak Areas'!Q54=0,0,((('Peak Areas'!Q54*Coefficients!$G$11+Coefficients!$H$11)*$G58)))</f>
        <v>3.2720514117932482E-2</v>
      </c>
      <c r="O58" s="30">
        <f>IF('Peak Areas'!R54=0,0,((('Peak Areas'!R54*Coefficients!$G$39+Coefficients!$H$39)*$G58)))</f>
        <v>0.33679719628444793</v>
      </c>
      <c r="P58" s="30">
        <f>IF('Peak Areas'!S54=0,0,((('Peak Areas'!S54*Coefficients!$G$46+Coefficients!$H$46)*$G58)))</f>
        <v>0</v>
      </c>
      <c r="Q58" s="30">
        <f>IF('Peak Areas'!T54=0,0,((('Peak Areas'!T54*Coefficients!$G$51+Coefficients!$H$51)*$G58)))</f>
        <v>0.72394151453985522</v>
      </c>
      <c r="R58" s="30">
        <f>IF('Peak Areas'!U54=0,0,((('Peak Areas'!U54*Coefficients!$G$26+Coefficients!$H$26)*$G58)))</f>
        <v>0.68688093900420777</v>
      </c>
      <c r="S58" s="30">
        <f>IF('Peak Areas'!V54=0,0,((('Peak Areas'!V54*Coefficients!$G$13+Coefficients!$H$13)*$G58)))</f>
        <v>0.18533384876651263</v>
      </c>
      <c r="T58" s="30">
        <f>IF('Peak Areas'!W54=0,0,((('Peak Areas'!W54*Coefficients!$G$12+Coefficients!$H$12)*$G58)))</f>
        <v>0.26775644232563012</v>
      </c>
      <c r="U58" s="30">
        <f>IF('Peak Areas'!X54=0,0,((('Peak Areas'!X54*Coefficients!$G$27+Coefficients!$H$27)*$G58)))</f>
        <v>6.7778974243255852E-2</v>
      </c>
      <c r="V58" s="30">
        <f>IF('Peak Areas'!Y54=0,0,((('Peak Areas'!Y54*Coefficients!$G$34+Coefficients!$H$34)*$G58)))</f>
        <v>1.5906981605817523</v>
      </c>
      <c r="W58" s="30">
        <f>IF('Peak Areas'!Z54=0,0,((('Peak Areas'!Z54*Coefficients!$G$52+Coefficients!$H$52)*$G58)))</f>
        <v>0.49948733754325603</v>
      </c>
      <c r="X58" s="30">
        <f>IF('Peak Areas'!AA54=0,0,((('Peak Areas'!AA54*Coefficients!$G$33+Coefficients!$H$33)*$G58)))</f>
        <v>5.7267649445082482E-2</v>
      </c>
      <c r="Y58" s="30">
        <f>IF('Peak Areas'!AC54=0,0,((('Peak Areas'!AC54*Coefficients!$G$19+Coefficients!$H$19)*$G58)))</f>
        <v>1.6764481530108866</v>
      </c>
      <c r="Z58" s="30">
        <f>IF('Peak Areas'!AD54=0,0,((('Peak Areas'!AD54*Coefficients!$G$18+Coefficients!$H$18)*$G58)))</f>
        <v>0.27098406653085144</v>
      </c>
      <c r="AA58" s="30">
        <f>IF('Peak Areas'!AE54=0,0,((('Peak Areas'!AE54*Coefficients!$G$18+Coefficients!$H$18)*$G58)))</f>
        <v>13.305159304136117</v>
      </c>
      <c r="AB58" s="30">
        <f>IF('Peak Areas'!AF54=0,0,((('Peak Areas'!AF54*Coefficients!$G$18+Coefficients!$H$18)*$G58)))</f>
        <v>0.64313600894648804</v>
      </c>
      <c r="AC58" s="30">
        <f>IF('Peak Areas'!AG54=0,0,((('Peak Areas'!AG54*Coefficients!$G$7+Coefficients!$H$7)*$G58)))</f>
        <v>0.24841027862457107</v>
      </c>
      <c r="AD58" s="30">
        <f>IF('Peak Areas'!AH54=0,0,((('Peak Areas'!AH54*Coefficients!$G$6+Coefficients!$H$6)*$G58)))</f>
        <v>1.4053899004158936</v>
      </c>
      <c r="AF58" s="30">
        <f>IF('Peak Areas'!K54=0,0,((('Peak Areas'!K54*Coefficients!$G$22+Coefficients!$H$22)*$G58)))</f>
        <v>0.11838143403150488</v>
      </c>
      <c r="AG58" s="30">
        <f t="shared" si="0"/>
        <v>13.423540738167622</v>
      </c>
      <c r="AH58" s="30">
        <f t="shared" si="1"/>
        <v>14.337660813644963</v>
      </c>
    </row>
    <row r="59" spans="1:34" x14ac:dyDescent="0.25">
      <c r="A59" s="2">
        <f>'Peak Areas'!A55</f>
        <v>45</v>
      </c>
      <c r="B59" s="62">
        <f>'Peak Areas'!B55</f>
        <v>45841</v>
      </c>
      <c r="C59" s="2" t="str">
        <f>'Peak Areas'!C55</f>
        <v xml:space="preserve">solvent nut </v>
      </c>
      <c r="D59" s="2">
        <f>'Peak Areas'!D55</f>
        <v>0</v>
      </c>
      <c r="E59" s="2">
        <f>'Peak Areas'!E55</f>
        <v>0</v>
      </c>
      <c r="F59" s="30">
        <f>'Peak Areas'!F55</f>
        <v>0.1</v>
      </c>
      <c r="G59" s="30">
        <f>((1/'Peak Areas'!$G55)*(('Peak Areas'!$H55+('Internal Standard'!$E$10/1000))/'Peak Areas'!$F55)*'Peak Areas'!$J55)*H59</f>
        <v>4.5952367070895526E-2</v>
      </c>
      <c r="H59" s="30">
        <f>(('Internal Standard'!$F$13*('Peak Areas'!G55/'Internal Standard'!$C$10))/'Peak Areas'!AB55)</f>
        <v>1.0812321663740123</v>
      </c>
      <c r="I59" s="30">
        <f>IF('Peak Areas'!L55=0,0,((('Peak Areas'!L55*Coefficients!$G$21+Coefficients!$H$21)*$G59)))</f>
        <v>0.16373430816826662</v>
      </c>
      <c r="J59" s="30">
        <f>IF('Peak Areas'!M55=0,0,((('Peak Areas'!M55*Coefficients!$G$20+Coefficients!$H$20)*$G59)))</f>
        <v>0.44297659738083178</v>
      </c>
      <c r="K59" s="30">
        <f>IF('Peak Areas'!N55=0,0,((('Peak Areas'!N55*Coefficients!$G$41+Coefficients!$H$41)*$G59)))</f>
        <v>0.11997860675635495</v>
      </c>
      <c r="L59" s="30">
        <f>IF('Peak Areas'!O55=0,0,((('Peak Areas'!O55*Coefficients!$G$10+Coefficients!$H$10)*$G59)))</f>
        <v>0</v>
      </c>
      <c r="M59" s="30">
        <f>IF('Peak Areas'!P55=0,0,((('Peak Areas'!P55*Coefficients!$G$32+Coefficients!$H$32)*$G59)))</f>
        <v>2.269657316324222</v>
      </c>
      <c r="N59" s="30">
        <f>IF('Peak Areas'!Q55=0,0,((('Peak Areas'!Q55*Coefficients!$G$11+Coefficients!$H$11)*$G59)))</f>
        <v>0.1228768682453073</v>
      </c>
      <c r="O59" s="30">
        <f>IF('Peak Areas'!R55=0,0,((('Peak Areas'!R55*Coefficients!$G$39+Coefficients!$H$39)*$G59)))</f>
        <v>0.71158122684987579</v>
      </c>
      <c r="P59" s="30">
        <f>IF('Peak Areas'!S55=0,0,((('Peak Areas'!S55*Coefficients!$G$46+Coefficients!$H$46)*$G59)))</f>
        <v>0</v>
      </c>
      <c r="Q59" s="30">
        <f>IF('Peak Areas'!T55=0,0,((('Peak Areas'!T55*Coefficients!$G$51+Coefficients!$H$51)*$G59)))</f>
        <v>0.84706286581468537</v>
      </c>
      <c r="R59" s="30">
        <f>IF('Peak Areas'!U55=0,0,((('Peak Areas'!U55*Coefficients!$G$26+Coefficients!$H$26)*$G59)))</f>
        <v>0.54951213147749844</v>
      </c>
      <c r="S59" s="30">
        <f>IF('Peak Areas'!V55=0,0,((('Peak Areas'!V55*Coefficients!$G$13+Coefficients!$H$13)*$G59)))</f>
        <v>0.19958767546365361</v>
      </c>
      <c r="T59" s="30">
        <f>IF('Peak Areas'!W55=0,0,((('Peak Areas'!W55*Coefficients!$G$12+Coefficients!$H$12)*$G59)))</f>
        <v>0.36855906008470773</v>
      </c>
      <c r="U59" s="30">
        <f>IF('Peak Areas'!X55=0,0,((('Peak Areas'!X55*Coefficients!$G$27+Coefficients!$H$27)*$G59)))</f>
        <v>6.9921297668307195E-2</v>
      </c>
      <c r="V59" s="30">
        <f>IF('Peak Areas'!Y55=0,0,((('Peak Areas'!Y55*Coefficients!$G$34+Coefficients!$H$34)*$G59)))</f>
        <v>2.2829953475460654</v>
      </c>
      <c r="W59" s="30">
        <f>IF('Peak Areas'!Z55=0,0,((('Peak Areas'!Z55*Coefficients!$G$52+Coefficients!$H$52)*$G59)))</f>
        <v>0.66923028069703827</v>
      </c>
      <c r="X59" s="30">
        <f>IF('Peak Areas'!AA55=0,0,((('Peak Areas'!AA55*Coefficients!$G$33+Coefficients!$H$33)*$G59)))</f>
        <v>7.9384120634213781E-2</v>
      </c>
      <c r="Y59" s="30">
        <f>IF('Peak Areas'!AC55=0,0,((('Peak Areas'!AC55*Coefficients!$G$19+Coefficients!$H$19)*$G59)))</f>
        <v>2.4853364938690392</v>
      </c>
      <c r="Z59" s="30">
        <f>IF('Peak Areas'!AD55=0,0,((('Peak Areas'!AD55*Coefficients!$G$18+Coefficients!$H$18)*$G59)))</f>
        <v>0.33293998099551075</v>
      </c>
      <c r="AA59" s="30">
        <f>IF('Peak Areas'!AE55=0,0,((('Peak Areas'!AE55*Coefficients!$G$18+Coefficients!$H$18)*$G59)))</f>
        <v>14.771720731648498</v>
      </c>
      <c r="AB59" s="30">
        <f>IF('Peak Areas'!AF55=0,0,((('Peak Areas'!AF55*Coefficients!$G$18+Coefficients!$H$18)*$G59)))</f>
        <v>0.66647797690560873</v>
      </c>
      <c r="AC59" s="30">
        <f>IF('Peak Areas'!AG55=0,0,((('Peak Areas'!AG55*Coefficients!$G$7+Coefficients!$H$7)*$G59)))</f>
        <v>0.21239800299791278</v>
      </c>
      <c r="AD59" s="30">
        <f>IF('Peak Areas'!AH55=0,0,((('Peak Areas'!AH55*Coefficients!$G$6+Coefficients!$H$6)*$G59)))</f>
        <v>1.4442772718435646</v>
      </c>
      <c r="AF59" s="30">
        <f>IF('Peak Areas'!K55=0,0,((('Peak Areas'!K55*Coefficients!$G$22+Coefficients!$H$22)*$G59)))</f>
        <v>0.12965982550063049</v>
      </c>
      <c r="AG59" s="30">
        <f t="shared" si="0"/>
        <v>14.901380557149128</v>
      </c>
      <c r="AH59" s="30">
        <f t="shared" si="1"/>
        <v>15.900798515050248</v>
      </c>
    </row>
    <row r="60" spans="1:34" x14ac:dyDescent="0.25">
      <c r="A60" s="2">
        <f>'Peak Areas'!A56</f>
        <v>46</v>
      </c>
      <c r="B60" s="62">
        <f>'Peak Areas'!B56</f>
        <v>45841</v>
      </c>
      <c r="C60" s="2" t="str">
        <f>'Peak Areas'!C56</f>
        <v xml:space="preserve">solvent nut </v>
      </c>
      <c r="D60" s="2">
        <f>'Peak Areas'!D56</f>
        <v>0</v>
      </c>
      <c r="E60" s="2">
        <f>'Peak Areas'!E56</f>
        <v>0</v>
      </c>
      <c r="F60" s="30">
        <f>'Peak Areas'!F56</f>
        <v>0.1</v>
      </c>
      <c r="G60" s="30">
        <f>((1/'Peak Areas'!$G56)*(('Peak Areas'!$H56+('Internal Standard'!$E$10/1000))/'Peak Areas'!$F56)*'Peak Areas'!$J56)*H60</f>
        <v>4.4469363574813819E-2</v>
      </c>
      <c r="H60" s="30">
        <f>(('Internal Standard'!$F$13*('Peak Areas'!G56/'Internal Standard'!$C$10))/'Peak Areas'!AB56)</f>
        <v>1.0463379664662074</v>
      </c>
      <c r="I60" s="30">
        <f>IF('Peak Areas'!L56=0,0,((('Peak Areas'!L56*Coefficients!$G$21+Coefficients!$H$21)*$G60)))</f>
        <v>0.11880729190916285</v>
      </c>
      <c r="J60" s="30">
        <f>IF('Peak Areas'!M56=0,0,((('Peak Areas'!M56*Coefficients!$G$20+Coefficients!$H$20)*$G60)))</f>
        <v>0.35443820519685593</v>
      </c>
      <c r="K60" s="30">
        <f>IF('Peak Areas'!N56=0,0,((('Peak Areas'!N56*Coefficients!$G$41+Coefficients!$H$41)*$G60)))</f>
        <v>8.7461815449272187E-2</v>
      </c>
      <c r="L60" s="30">
        <f>IF('Peak Areas'!O56=0,0,((('Peak Areas'!O56*Coefficients!$G$10+Coefficients!$H$10)*$G60)))</f>
        <v>0</v>
      </c>
      <c r="M60" s="30">
        <f>IF('Peak Areas'!P56=0,0,((('Peak Areas'!P56*Coefficients!$G$32+Coefficients!$H$32)*$G60)))</f>
        <v>1.8305044294304251</v>
      </c>
      <c r="N60" s="30">
        <f>IF('Peak Areas'!Q56=0,0,((('Peak Areas'!Q56*Coefficients!$G$11+Coefficients!$H$11)*$G60)))</f>
        <v>0.10298751095966285</v>
      </c>
      <c r="O60" s="30">
        <f>IF('Peak Areas'!R56=0,0,((('Peak Areas'!R56*Coefficients!$G$39+Coefficients!$H$39)*$G60)))</f>
        <v>0.59343001880044532</v>
      </c>
      <c r="P60" s="30">
        <f>IF('Peak Areas'!S56=0,0,((('Peak Areas'!S56*Coefficients!$G$46+Coefficients!$H$46)*$G60)))</f>
        <v>0</v>
      </c>
      <c r="Q60" s="30">
        <f>IF('Peak Areas'!T56=0,0,((('Peak Areas'!T56*Coefficients!$G$51+Coefficients!$H$51)*$G60)))</f>
        <v>0.77992693986105111</v>
      </c>
      <c r="R60" s="30">
        <f>IF('Peak Areas'!U56=0,0,((('Peak Areas'!U56*Coefficients!$G$26+Coefficients!$H$26)*$G60)))</f>
        <v>0.44491735920054287</v>
      </c>
      <c r="S60" s="30">
        <f>IF('Peak Areas'!V56=0,0,((('Peak Areas'!V56*Coefficients!$G$13+Coefficients!$H$13)*$G60)))</f>
        <v>0.17656697567482241</v>
      </c>
      <c r="T60" s="30">
        <f>IF('Peak Areas'!W56=0,0,((('Peak Areas'!W56*Coefficients!$G$12+Coefficients!$H$12)*$G60)))</f>
        <v>0.33034339272059615</v>
      </c>
      <c r="U60" s="30">
        <f>IF('Peak Areas'!X56=0,0,((('Peak Areas'!X56*Coefficients!$G$27+Coefficients!$H$27)*$G60)))</f>
        <v>6.2019548400239426E-2</v>
      </c>
      <c r="V60" s="30">
        <f>IF('Peak Areas'!Y56=0,0,((('Peak Areas'!Y56*Coefficients!$G$34+Coefficients!$H$34)*$G60)))</f>
        <v>1.9087454780625355</v>
      </c>
      <c r="W60" s="30">
        <f>IF('Peak Areas'!Z56=0,0,((('Peak Areas'!Z56*Coefficients!$G$52+Coefficients!$H$52)*$G60)))</f>
        <v>0.62503080575794356</v>
      </c>
      <c r="X60" s="30">
        <f>IF('Peak Areas'!AA56=0,0,((('Peak Areas'!AA56*Coefficients!$G$33+Coefficients!$H$33)*$G60)))</f>
        <v>5.2496484977374407E-2</v>
      </c>
      <c r="Y60" s="30">
        <f>IF('Peak Areas'!AC56=0,0,((('Peak Areas'!AC56*Coefficients!$G$19+Coefficients!$H$19)*$G60)))</f>
        <v>1.9804886549946688</v>
      </c>
      <c r="Z60" s="30">
        <f>IF('Peak Areas'!AD56=0,0,((('Peak Areas'!AD56*Coefficients!$G$18+Coefficients!$H$18)*$G60)))</f>
        <v>0.24832491289945843</v>
      </c>
      <c r="AA60" s="30">
        <f>IF('Peak Areas'!AE56=0,0,((('Peak Areas'!AE56*Coefficients!$G$18+Coefficients!$H$18)*$G60)))</f>
        <v>12.434055144815508</v>
      </c>
      <c r="AB60" s="30">
        <f>IF('Peak Areas'!AF56=0,0,((('Peak Areas'!AF56*Coefficients!$G$18+Coefficients!$H$18)*$G60)))</f>
        <v>0.62911964852742064</v>
      </c>
      <c r="AC60" s="30">
        <f>IF('Peak Areas'!AG56=0,0,((('Peak Areas'!AG56*Coefficients!$G$7+Coefficients!$H$7)*$G60)))</f>
        <v>0.22563253637759312</v>
      </c>
      <c r="AD60" s="30">
        <f>IF('Peak Areas'!AH56=0,0,((('Peak Areas'!AH56*Coefficients!$G$6+Coefficients!$H$6)*$G60)))</f>
        <v>1.6251964606011358</v>
      </c>
      <c r="AF60" s="30">
        <f>IF('Peak Areas'!K56=0,0,((('Peak Areas'!K56*Coefficients!$G$22+Coefficients!$H$22)*$G60)))</f>
        <v>0.10446316726587111</v>
      </c>
      <c r="AG60" s="30">
        <f t="shared" si="0"/>
        <v>12.538518312081379</v>
      </c>
      <c r="AH60" s="30">
        <f t="shared" si="1"/>
        <v>13.415962873508258</v>
      </c>
    </row>
    <row r="61" spans="1:34" x14ac:dyDescent="0.25">
      <c r="A61" s="2">
        <f>'Peak Areas'!A57</f>
        <v>47</v>
      </c>
      <c r="B61" s="62">
        <f>'Peak Areas'!B57</f>
        <v>45841</v>
      </c>
      <c r="C61" s="2" t="str">
        <f>'Peak Areas'!C57</f>
        <v>C low</v>
      </c>
      <c r="D61" s="2">
        <f>'Peak Areas'!D57</f>
        <v>0</v>
      </c>
      <c r="E61" s="2">
        <f>'Peak Areas'!E57</f>
        <v>0</v>
      </c>
      <c r="F61" s="30">
        <f>'Peak Areas'!F57</f>
        <v>0.1</v>
      </c>
      <c r="G61" s="30">
        <f>((1/'Peak Areas'!$G57)*(('Peak Areas'!$H57+('Internal Standard'!$E$10/1000))/'Peak Areas'!$F57)*'Peak Areas'!$J57)*H61</f>
        <v>4.3505651621651112E-2</v>
      </c>
      <c r="H61" s="30">
        <f>(('Internal Standard'!$F$13*('Peak Areas'!G57/'Internal Standard'!$C$10))/'Peak Areas'!AB57)</f>
        <v>1.0236623910976732</v>
      </c>
      <c r="I61" s="30">
        <f>IF('Peak Areas'!L57=0,0,((('Peak Areas'!L57*Coefficients!$G$21+Coefficients!$H$21)*$G61)))</f>
        <v>5.8616158974267293E-2</v>
      </c>
      <c r="J61" s="30">
        <f>IF('Peak Areas'!M57=0,0,((('Peak Areas'!M57*Coefficients!$G$20+Coefficients!$H$20)*$G61)))</f>
        <v>0.17356738590206136</v>
      </c>
      <c r="K61" s="30">
        <f>IF('Peak Areas'!N57=0,0,((('Peak Areas'!N57*Coefficients!$G$41+Coefficients!$H$41)*$G61)))</f>
        <v>7.0252450808881289E-2</v>
      </c>
      <c r="L61" s="30">
        <f>IF('Peak Areas'!O57=0,0,((('Peak Areas'!O57*Coefficients!$G$10+Coefficients!$H$10)*$G61)))</f>
        <v>0</v>
      </c>
      <c r="M61" s="30">
        <f>IF('Peak Areas'!P57=0,0,((('Peak Areas'!P57*Coefficients!$G$32+Coefficients!$H$32)*$G61)))</f>
        <v>1.1140422120976154</v>
      </c>
      <c r="N61" s="30">
        <f>IF('Peak Areas'!Q57=0,0,((('Peak Areas'!Q57*Coefficients!$G$11+Coefficients!$H$11)*$G61)))</f>
        <v>7.592766949097017E-2</v>
      </c>
      <c r="O61" s="30">
        <f>IF('Peak Areas'!R57=0,0,((('Peak Areas'!R57*Coefficients!$G$39+Coefficients!$H$39)*$G61)))</f>
        <v>0.20189318739979575</v>
      </c>
      <c r="P61" s="30">
        <f>IF('Peak Areas'!S57=0,0,((('Peak Areas'!S57*Coefficients!$G$46+Coefficients!$H$46)*$G61)))</f>
        <v>0</v>
      </c>
      <c r="Q61" s="30">
        <f>IF('Peak Areas'!T57=0,0,((('Peak Areas'!T57*Coefficients!$G$51+Coefficients!$H$51)*$G61)))</f>
        <v>0.49412516915849503</v>
      </c>
      <c r="R61" s="30">
        <f>IF('Peak Areas'!U57=0,0,((('Peak Areas'!U57*Coefficients!$G$26+Coefficients!$H$26)*$G61)))</f>
        <v>0.40134753342348267</v>
      </c>
      <c r="S61" s="30">
        <f>IF('Peak Areas'!V57=0,0,((('Peak Areas'!V57*Coefficients!$G$13+Coefficients!$H$13)*$G61)))</f>
        <v>0.16084365436225714</v>
      </c>
      <c r="T61" s="30">
        <f>IF('Peak Areas'!W57=0,0,((('Peak Areas'!W57*Coefficients!$G$12+Coefficients!$H$12)*$G61)))</f>
        <v>0.14424696794430705</v>
      </c>
      <c r="U61" s="30">
        <f>IF('Peak Areas'!X57=0,0,((('Peak Areas'!X57*Coefficients!$G$27+Coefficients!$H$27)*$G61)))</f>
        <v>3.4245028421481943E-2</v>
      </c>
      <c r="V61" s="30">
        <f>IF('Peak Areas'!Y57=0,0,((('Peak Areas'!Y57*Coefficients!$G$34+Coefficients!$H$34)*$G61)))</f>
        <v>0.87754388299585673</v>
      </c>
      <c r="W61" s="30">
        <f>IF('Peak Areas'!Z57=0,0,((('Peak Areas'!Z57*Coefficients!$G$52+Coefficients!$H$52)*$G61)))</f>
        <v>0.42908606111719988</v>
      </c>
      <c r="X61" s="30">
        <f>IF('Peak Areas'!AA57=0,0,((('Peak Areas'!AA57*Coefficients!$G$33+Coefficients!$H$33)*$G61)))</f>
        <v>4.1441464581805851E-2</v>
      </c>
      <c r="Y61" s="30">
        <f>IF('Peak Areas'!AC57=0,0,((('Peak Areas'!AC57*Coefficients!$G$19+Coefficients!$H$19)*$G61)))</f>
        <v>0.68838176655948036</v>
      </c>
      <c r="Z61" s="30">
        <f>IF('Peak Areas'!AD57=0,0,((('Peak Areas'!AD57*Coefficients!$G$18+Coefficients!$H$18)*$G61)))</f>
        <v>0.1467668726179808</v>
      </c>
      <c r="AA61" s="30">
        <f>IF('Peak Areas'!AE57=0,0,((('Peak Areas'!AE57*Coefficients!$G$18+Coefficients!$H$18)*$G61)))</f>
        <v>6.0998839952313837</v>
      </c>
      <c r="AB61" s="30">
        <f>IF('Peak Areas'!AF57=0,0,((('Peak Areas'!AF57*Coefficients!$G$18+Coefficients!$H$18)*$G61)))</f>
        <v>0.38357365091125339</v>
      </c>
      <c r="AC61" s="30">
        <f>IF('Peak Areas'!AG57=0,0,((('Peak Areas'!AG57*Coefficients!$G$7+Coefficients!$H$7)*$G61)))</f>
        <v>7.9288398853061146E-2</v>
      </c>
      <c r="AD61" s="30">
        <f>IF('Peak Areas'!AH57=0,0,((('Peak Areas'!AH57*Coefficients!$G$6+Coefficients!$H$6)*$G61)))</f>
        <v>0.94511618589211266</v>
      </c>
      <c r="AF61" s="30">
        <f>IF('Peak Areas'!K57=0,0,((('Peak Areas'!K57*Coefficients!$G$22+Coefficients!$H$22)*$G61)))</f>
        <v>2.6342146152761925E-2</v>
      </c>
      <c r="AG61" s="30">
        <f t="shared" si="0"/>
        <v>6.1262261413841452</v>
      </c>
      <c r="AH61" s="30">
        <f t="shared" si="1"/>
        <v>6.6565666649133792</v>
      </c>
    </row>
    <row r="62" spans="1:34" x14ac:dyDescent="0.25">
      <c r="A62" s="2">
        <f>'Peak Areas'!A58</f>
        <v>48</v>
      </c>
      <c r="B62" s="62">
        <f>'Peak Areas'!B58</f>
        <v>45841</v>
      </c>
      <c r="C62" s="2" t="str">
        <f>'Peak Areas'!C58</f>
        <v>C low</v>
      </c>
      <c r="D62" s="2">
        <f>'Peak Areas'!D58</f>
        <v>0</v>
      </c>
      <c r="E62" s="2">
        <f>'Peak Areas'!E58</f>
        <v>0</v>
      </c>
      <c r="F62" s="30">
        <f>'Peak Areas'!F58</f>
        <v>0.1</v>
      </c>
      <c r="G62" s="30">
        <f>((1/'Peak Areas'!$G58)*(('Peak Areas'!$H58+('Internal Standard'!$E$10/1000))/'Peak Areas'!$F58)*'Peak Areas'!$J58)*H62</f>
        <v>4.3238344761177001E-2</v>
      </c>
      <c r="H62" s="30">
        <f>(('Internal Standard'!$F$13*('Peak Areas'!G58/'Internal Standard'!$C$10))/'Peak Areas'!AB58)</f>
        <v>1.017372817910047</v>
      </c>
      <c r="I62" s="30">
        <f>IF('Peak Areas'!L58=0,0,((('Peak Areas'!L58*Coefficients!$G$21+Coefficients!$H$21)*$G62)))</f>
        <v>5.087853028863152E-2</v>
      </c>
      <c r="J62" s="30">
        <f>IF('Peak Areas'!M58=0,0,((('Peak Areas'!M58*Coefficients!$G$20+Coefficients!$H$20)*$G62)))</f>
        <v>0.15121828667118714</v>
      </c>
      <c r="K62" s="30">
        <f>IF('Peak Areas'!N58=0,0,((('Peak Areas'!N58*Coefficients!$G$41+Coefficients!$H$41)*$G62)))</f>
        <v>7.7231953682234539E-2</v>
      </c>
      <c r="L62" s="30">
        <f>IF('Peak Areas'!O58=0,0,((('Peak Areas'!O58*Coefficients!$G$10+Coefficients!$H$10)*$G62)))</f>
        <v>0</v>
      </c>
      <c r="M62" s="30">
        <f>IF('Peak Areas'!P58=0,0,((('Peak Areas'!P58*Coefficients!$G$32+Coefficients!$H$32)*$G62)))</f>
        <v>1.0166842932880413</v>
      </c>
      <c r="N62" s="30">
        <f>IF('Peak Areas'!Q58=0,0,((('Peak Areas'!Q58*Coefficients!$G$11+Coefficients!$H$11)*$G62)))</f>
        <v>7.5025556487860745E-2</v>
      </c>
      <c r="O62" s="30">
        <f>IF('Peak Areas'!R58=0,0,((('Peak Areas'!R58*Coefficients!$G$39+Coefficients!$H$39)*$G62)))</f>
        <v>0.1875269712760505</v>
      </c>
      <c r="P62" s="30">
        <f>IF('Peak Areas'!S58=0,0,((('Peak Areas'!S58*Coefficients!$G$46+Coefficients!$H$46)*$G62)))</f>
        <v>0</v>
      </c>
      <c r="Q62" s="30">
        <f>IF('Peak Areas'!T58=0,0,((('Peak Areas'!T58*Coefficients!$G$51+Coefficients!$H$51)*$G62)))</f>
        <v>0.48985720737052046</v>
      </c>
      <c r="R62" s="30">
        <f>IF('Peak Areas'!U58=0,0,((('Peak Areas'!U58*Coefficients!$G$26+Coefficients!$H$26)*$G62)))</f>
        <v>0.40938737776559719</v>
      </c>
      <c r="S62" s="30">
        <f>IF('Peak Areas'!V58=0,0,((('Peak Areas'!V58*Coefficients!$G$13+Coefficients!$H$13)*$G62)))</f>
        <v>0.16820674819226242</v>
      </c>
      <c r="T62" s="30">
        <f>IF('Peak Areas'!W58=0,0,((('Peak Areas'!W58*Coefficients!$G$12+Coefficients!$H$12)*$G62)))</f>
        <v>0.16038877020570261</v>
      </c>
      <c r="U62" s="30">
        <f>IF('Peak Areas'!X58=0,0,((('Peak Areas'!X58*Coefficients!$G$27+Coefficients!$H$27)*$G62)))</f>
        <v>3.8001548267818215E-2</v>
      </c>
      <c r="V62" s="30">
        <f>IF('Peak Areas'!Y58=0,0,((('Peak Areas'!Y58*Coefficients!$G$34+Coefficients!$H$34)*$G62)))</f>
        <v>0.82231132413245578</v>
      </c>
      <c r="W62" s="30">
        <f>IF('Peak Areas'!Z58=0,0,((('Peak Areas'!Z58*Coefficients!$G$52+Coefficients!$H$52)*$G62)))</f>
        <v>0.42718628075892229</v>
      </c>
      <c r="X62" s="30">
        <f>IF('Peak Areas'!AA58=0,0,((('Peak Areas'!AA58*Coefficients!$G$33+Coefficients!$H$33)*$G62)))</f>
        <v>4.7466829464357367E-2</v>
      </c>
      <c r="Y62" s="30">
        <f>IF('Peak Areas'!AC58=0,0,((('Peak Areas'!AC58*Coefficients!$G$19+Coefficients!$H$19)*$G62)))</f>
        <v>0.61411266400740494</v>
      </c>
      <c r="Z62" s="30">
        <f>IF('Peak Areas'!AD58=0,0,((('Peak Areas'!AD58*Coefficients!$G$18+Coefficients!$H$18)*$G62)))</f>
        <v>0.11852901506374594</v>
      </c>
      <c r="AA62" s="30">
        <f>IF('Peak Areas'!AE58=0,0,((('Peak Areas'!AE58*Coefficients!$G$18+Coefficients!$H$18)*$G62)))</f>
        <v>5.6220508171047525</v>
      </c>
      <c r="AB62" s="30">
        <f>IF('Peak Areas'!AF58=0,0,((('Peak Areas'!AF58*Coefficients!$G$18+Coefficients!$H$18)*$G62)))</f>
        <v>0.3634466261288492</v>
      </c>
      <c r="AC62" s="30">
        <f>IF('Peak Areas'!AG58=0,0,((('Peak Areas'!AG58*Coefficients!$G$7+Coefficients!$H$7)*$G62)))</f>
        <v>6.3800450752196092E-2</v>
      </c>
      <c r="AD62" s="30">
        <f>IF('Peak Areas'!AH58=0,0,((('Peak Areas'!AH58*Coefficients!$G$6+Coefficients!$H$6)*$G62)))</f>
        <v>0.89839888976062321</v>
      </c>
      <c r="AF62" s="30">
        <f>IF('Peak Areas'!K58=0,0,((('Peak Areas'!K58*Coefficients!$G$22+Coefficients!$H$22)*$G62)))</f>
        <v>2.0893964870325674E-2</v>
      </c>
      <c r="AG62" s="30">
        <f t="shared" si="0"/>
        <v>5.6429447819750784</v>
      </c>
      <c r="AH62" s="30">
        <f t="shared" si="1"/>
        <v>6.1249204231676737</v>
      </c>
    </row>
    <row r="63" spans="1:34" x14ac:dyDescent="0.25">
      <c r="A63" s="2">
        <f>'Peak Areas'!A59</f>
        <v>49</v>
      </c>
      <c r="B63" s="62">
        <f>'Peak Areas'!B59</f>
        <v>45841</v>
      </c>
      <c r="C63" s="2" t="str">
        <f>'Peak Areas'!C59</f>
        <v xml:space="preserve">C high </v>
      </c>
      <c r="D63" s="2">
        <f>'Peak Areas'!D59</f>
        <v>0</v>
      </c>
      <c r="E63" s="2">
        <f>'Peak Areas'!E59</f>
        <v>0</v>
      </c>
      <c r="F63" s="30">
        <f>'Peak Areas'!F59</f>
        <v>0.1</v>
      </c>
      <c r="G63" s="30">
        <f>((1/'Peak Areas'!$G59)*(('Peak Areas'!$H59+('Internal Standard'!$E$10/1000))/'Peak Areas'!$F59)*'Peak Areas'!$J59)*H63</f>
        <v>4.4306435506057881E-2</v>
      </c>
      <c r="H63" s="30">
        <f>(('Internal Standard'!$F$13*('Peak Areas'!G59/'Internal Standard'!$C$10))/'Peak Areas'!AB59)</f>
        <v>1.0425043648484207</v>
      </c>
      <c r="I63" s="30">
        <f>IF('Peak Areas'!L59=0,0,((('Peak Areas'!L59*Coefficients!$G$21+Coefficients!$H$21)*$G63)))</f>
        <v>6.5498495958417141E-2</v>
      </c>
      <c r="J63" s="30">
        <f>IF('Peak Areas'!M59=0,0,((('Peak Areas'!M59*Coefficients!$G$20+Coefficients!$H$20)*$G63)))</f>
        <v>0.17456256146010013</v>
      </c>
      <c r="K63" s="30">
        <f>IF('Peak Areas'!N59=0,0,((('Peak Areas'!N59*Coefficients!$G$41+Coefficients!$H$41)*$G63)))</f>
        <v>6.5496305698134041E-2</v>
      </c>
      <c r="L63" s="30">
        <f>IF('Peak Areas'!O59=0,0,((('Peak Areas'!O59*Coefficients!$G$10+Coefficients!$H$10)*$G63)))</f>
        <v>0</v>
      </c>
      <c r="M63" s="30">
        <f>IF('Peak Areas'!P59=0,0,((('Peak Areas'!P59*Coefficients!$G$32+Coefficients!$H$32)*$G63)))</f>
        <v>1.1156828413920581</v>
      </c>
      <c r="N63" s="30">
        <f>IF('Peak Areas'!Q59=0,0,((('Peak Areas'!Q59*Coefficients!$G$11+Coefficients!$H$11)*$G63)))</f>
        <v>0.11960466577607957</v>
      </c>
      <c r="O63" s="30">
        <f>IF('Peak Areas'!R59=0,0,((('Peak Areas'!R59*Coefficients!$G$39+Coefficients!$H$39)*$G63)))</f>
        <v>0.17503554651534473</v>
      </c>
      <c r="P63" s="30">
        <f>IF('Peak Areas'!S59=0,0,((('Peak Areas'!S59*Coefficients!$G$46+Coefficients!$H$46)*$G63)))</f>
        <v>0</v>
      </c>
      <c r="Q63" s="30">
        <f>IF('Peak Areas'!T59=0,0,((('Peak Areas'!T59*Coefficients!$G$51+Coefficients!$H$51)*$G63)))</f>
        <v>0.46970254627475244</v>
      </c>
      <c r="R63" s="30">
        <f>IF('Peak Areas'!U59=0,0,((('Peak Areas'!U59*Coefficients!$G$26+Coefficients!$H$26)*$G63)))</f>
        <v>0.39678286519414419</v>
      </c>
      <c r="S63" s="30">
        <f>IF('Peak Areas'!V59=0,0,((('Peak Areas'!V59*Coefficients!$G$13+Coefficients!$H$13)*$G63)))</f>
        <v>0.15418016059554321</v>
      </c>
      <c r="T63" s="30">
        <f>IF('Peak Areas'!W59=0,0,((('Peak Areas'!W59*Coefficients!$G$12+Coefficients!$H$12)*$G63)))</f>
        <v>0.15423851103685995</v>
      </c>
      <c r="U63" s="30">
        <f>IF('Peak Areas'!X59=0,0,((('Peak Areas'!X59*Coefficients!$G$27+Coefficients!$H$27)*$G63)))</f>
        <v>2.9400158451832355E-2</v>
      </c>
      <c r="V63" s="30">
        <f>IF('Peak Areas'!Y59=0,0,((('Peak Areas'!Y59*Coefficients!$G$34+Coefficients!$H$34)*$G63)))</f>
        <v>0.74767090406931302</v>
      </c>
      <c r="W63" s="30">
        <f>IF('Peak Areas'!Z59=0,0,((('Peak Areas'!Z59*Coefficients!$G$52+Coefficients!$H$52)*$G63)))</f>
        <v>0.52254197551519388</v>
      </c>
      <c r="X63" s="30">
        <f>IF('Peak Areas'!AA59=0,0,((('Peak Areas'!AA59*Coefficients!$G$33+Coefficients!$H$33)*$G63)))</f>
        <v>6.3068922922892595E-2</v>
      </c>
      <c r="Y63" s="30">
        <f>IF('Peak Areas'!AC59=0,0,((('Peak Areas'!AC59*Coefficients!$G$19+Coefficients!$H$19)*$G63)))</f>
        <v>0.62051602844832199</v>
      </c>
      <c r="Z63" s="30">
        <f>IF('Peak Areas'!AD59=0,0,((('Peak Areas'!AD59*Coefficients!$G$18+Coefficients!$H$18)*$G63)))</f>
        <v>0.16207901992411117</v>
      </c>
      <c r="AA63" s="30">
        <f>IF('Peak Areas'!AE59=0,0,((('Peak Areas'!AE59*Coefficients!$G$18+Coefficients!$H$18)*$G63)))</f>
        <v>6.0361136034969221</v>
      </c>
      <c r="AB63" s="30">
        <f>IF('Peak Areas'!AF59=0,0,((('Peak Areas'!AF59*Coefficients!$G$18+Coefficients!$H$18)*$G63)))</f>
        <v>0.4013287827521857</v>
      </c>
      <c r="AC63" s="30">
        <f>IF('Peak Areas'!AG59=0,0,((('Peak Areas'!AG59*Coefficients!$G$7+Coefficients!$H$7)*$G63)))</f>
        <v>0</v>
      </c>
      <c r="AD63" s="30">
        <f>IF('Peak Areas'!AH59=0,0,((('Peak Areas'!AH59*Coefficients!$G$6+Coefficients!$H$6)*$G63)))</f>
        <v>0.7156274510725168</v>
      </c>
      <c r="AF63" s="30">
        <f>IF('Peak Areas'!K59=0,0,((('Peak Areas'!K59*Coefficients!$G$22+Coefficients!$H$22)*$G63)))</f>
        <v>2.8034347348537641E-2</v>
      </c>
      <c r="AG63" s="30">
        <f t="shared" si="0"/>
        <v>6.0641479508454594</v>
      </c>
      <c r="AH63" s="30">
        <f t="shared" si="1"/>
        <v>6.6275557535217571</v>
      </c>
    </row>
    <row r="64" spans="1:34" x14ac:dyDescent="0.25">
      <c r="A64" s="2">
        <f>'Peak Areas'!A60</f>
        <v>50</v>
      </c>
      <c r="B64" s="62">
        <f>'Peak Areas'!B60</f>
        <v>45841</v>
      </c>
      <c r="C64" s="2" t="str">
        <f>'Peak Areas'!C60</f>
        <v xml:space="preserve">C high </v>
      </c>
      <c r="D64" s="2">
        <f>'Peak Areas'!D60</f>
        <v>0</v>
      </c>
      <c r="E64" s="2">
        <f>'Peak Areas'!E60</f>
        <v>0</v>
      </c>
      <c r="F64" s="30">
        <f>'Peak Areas'!F60</f>
        <v>0.1</v>
      </c>
      <c r="G64" s="30">
        <f>((1/'Peak Areas'!$G60)*(('Peak Areas'!$H60+('Internal Standard'!$E$10/1000))/'Peak Areas'!$F60)*'Peak Areas'!$J60)*H64</f>
        <v>4.3262804186609979E-2</v>
      </c>
      <c r="H64" s="30">
        <f>(('Internal Standard'!$F$13*('Peak Areas'!G60/'Internal Standard'!$C$10))/'Peak Areas'!AB60)</f>
        <v>1.0179483338025876</v>
      </c>
      <c r="I64" s="30">
        <f>IF('Peak Areas'!L60=0,0,((('Peak Areas'!L60*Coefficients!$G$21+Coefficients!$H$21)*$G64)))</f>
        <v>6.1551059377277291E-2</v>
      </c>
      <c r="J64" s="30">
        <f>IF('Peak Areas'!M60=0,0,((('Peak Areas'!M60*Coefficients!$G$20+Coefficients!$H$20)*$G64)))</f>
        <v>0.17374465671422373</v>
      </c>
      <c r="K64" s="30">
        <f>IF('Peak Areas'!N60=0,0,((('Peak Areas'!N60*Coefficients!$G$41+Coefficients!$H$41)*$G64)))</f>
        <v>6.6542914714506296E-2</v>
      </c>
      <c r="L64" s="30">
        <f>IF('Peak Areas'!O60=0,0,((('Peak Areas'!O60*Coefficients!$G$10+Coefficients!$H$10)*$G64)))</f>
        <v>0</v>
      </c>
      <c r="M64" s="30">
        <f>IF('Peak Areas'!P60=0,0,((('Peak Areas'!P60*Coefficients!$G$32+Coefficients!$H$32)*$G64)))</f>
        <v>1.0845049096254964</v>
      </c>
      <c r="N64" s="30">
        <f>IF('Peak Areas'!Q60=0,0,((('Peak Areas'!Q60*Coefficients!$G$11+Coefficients!$H$11)*$G64)))</f>
        <v>0.11592852390635615</v>
      </c>
      <c r="O64" s="30">
        <f>IF('Peak Areas'!R60=0,0,((('Peak Areas'!R60*Coefficients!$G$39+Coefficients!$H$39)*$G64)))</f>
        <v>0.18667913473454417</v>
      </c>
      <c r="P64" s="30">
        <f>IF('Peak Areas'!S60=0,0,((('Peak Areas'!S60*Coefficients!$G$46+Coefficients!$H$46)*$G64)))</f>
        <v>0</v>
      </c>
      <c r="Q64" s="30">
        <f>IF('Peak Areas'!T60=0,0,((('Peak Areas'!T60*Coefficients!$G$51+Coefficients!$H$51)*$G64)))</f>
        <v>0.45750012985141075</v>
      </c>
      <c r="R64" s="30">
        <f>IF('Peak Areas'!U60=0,0,((('Peak Areas'!U60*Coefficients!$G$26+Coefficients!$H$26)*$G64)))</f>
        <v>0.38035004944108147</v>
      </c>
      <c r="S64" s="30">
        <f>IF('Peak Areas'!V60=0,0,((('Peak Areas'!V60*Coefficients!$G$13+Coefficients!$H$13)*$G64)))</f>
        <v>0.14729573686488839</v>
      </c>
      <c r="T64" s="30">
        <f>IF('Peak Areas'!W60=0,0,((('Peak Areas'!W60*Coefficients!$G$12+Coefficients!$H$12)*$G64)))</f>
        <v>0.178666772414738</v>
      </c>
      <c r="U64" s="30">
        <f>IF('Peak Areas'!X60=0,0,((('Peak Areas'!X60*Coefficients!$G$27+Coefficients!$H$27)*$G64)))</f>
        <v>3.0365513949020942E-2</v>
      </c>
      <c r="V64" s="30">
        <f>IF('Peak Areas'!Y60=0,0,((('Peak Areas'!Y60*Coefficients!$G$34+Coefficients!$H$34)*$G64)))</f>
        <v>0.77500735818392885</v>
      </c>
      <c r="W64" s="30">
        <f>IF('Peak Areas'!Z60=0,0,((('Peak Areas'!Z60*Coefficients!$G$52+Coefficients!$H$52)*$G64)))</f>
        <v>0.52240369032312983</v>
      </c>
      <c r="X64" s="30">
        <f>IF('Peak Areas'!AA60=0,0,((('Peak Areas'!AA60*Coefficients!$G$33+Coefficients!$H$33)*$G64)))</f>
        <v>7.1491708424779671E-2</v>
      </c>
      <c r="Y64" s="30">
        <f>IF('Peak Areas'!AC60=0,0,((('Peak Areas'!AC60*Coefficients!$G$19+Coefficients!$H$19)*$G64)))</f>
        <v>0.67566346186290982</v>
      </c>
      <c r="Z64" s="30">
        <f>IF('Peak Areas'!AD60=0,0,((('Peak Areas'!AD60*Coefficients!$G$18+Coefficients!$H$18)*$G64)))</f>
        <v>0.12033959115889256</v>
      </c>
      <c r="AA64" s="30">
        <f>IF('Peak Areas'!AE60=0,0,((('Peak Areas'!AE60*Coefficients!$G$18+Coefficients!$H$18)*$G64)))</f>
        <v>6.347468471364242</v>
      </c>
      <c r="AB64" s="30">
        <f>IF('Peak Areas'!AF60=0,0,((('Peak Areas'!AF60*Coefficients!$G$18+Coefficients!$H$18)*$G64)))</f>
        <v>0.4129068223660462</v>
      </c>
      <c r="AC64" s="30">
        <f>IF('Peak Areas'!AG60=0,0,((('Peak Areas'!AG60*Coefficients!$G$7+Coefficients!$H$7)*$G64)))</f>
        <v>0</v>
      </c>
      <c r="AD64" s="30">
        <f>IF('Peak Areas'!AH60=0,0,((('Peak Areas'!AH60*Coefficients!$G$6+Coefficients!$H$6)*$G64)))</f>
        <v>0.91957748659515792</v>
      </c>
      <c r="AF64" s="30">
        <f>IF('Peak Areas'!K60=0,0,((('Peak Areas'!K60*Coefficients!$G$22+Coefficients!$H$22)*$G64)))</f>
        <v>2.4890458274430712E-2</v>
      </c>
      <c r="AG64" s="30">
        <f t="shared" si="0"/>
        <v>6.3723589296386729</v>
      </c>
      <c r="AH64" s="30">
        <f t="shared" si="1"/>
        <v>6.9056053431636117</v>
      </c>
    </row>
    <row r="65" spans="1:34" x14ac:dyDescent="0.25">
      <c r="A65" s="2">
        <f>'Peak Areas'!A61</f>
        <v>51</v>
      </c>
      <c r="B65" s="62">
        <f>'Peak Areas'!B61</f>
        <v>45841</v>
      </c>
      <c r="C65" s="2" t="str">
        <f>'Peak Areas'!C61</f>
        <v>C low nut</v>
      </c>
      <c r="D65" s="2">
        <f>'Peak Areas'!D61</f>
        <v>0</v>
      </c>
      <c r="E65" s="2">
        <f>'Peak Areas'!E61</f>
        <v>0</v>
      </c>
      <c r="F65" s="30">
        <f>'Peak Areas'!F61</f>
        <v>0.1</v>
      </c>
      <c r="G65" s="30">
        <f>((1/'Peak Areas'!$G61)*(('Peak Areas'!$H61+('Internal Standard'!$E$10/1000))/'Peak Areas'!$F61)*'Peak Areas'!$J61)*H65</f>
        <v>4.2150729326316909E-2</v>
      </c>
      <c r="H65" s="30">
        <f>(('Internal Standard'!$F$13*('Peak Areas'!G61/'Internal Standard'!$C$10))/'Peak Areas'!AB61)</f>
        <v>0.99178186650157418</v>
      </c>
      <c r="I65" s="30">
        <f>IF('Peak Areas'!L61=0,0,((('Peak Areas'!L61*Coefficients!$G$21+Coefficients!$H$21)*$G65)))</f>
        <v>0.19461736840879432</v>
      </c>
      <c r="J65" s="30">
        <f>IF('Peak Areas'!M61=0,0,((('Peak Areas'!M61*Coefficients!$G$20+Coefficients!$H$20)*$G65)))</f>
        <v>0.41757394012528321</v>
      </c>
      <c r="K65" s="30">
        <f>IF('Peak Areas'!N61=0,0,((('Peak Areas'!N61*Coefficients!$G$41+Coefficients!$H$41)*$G65)))</f>
        <v>9.5186514754957513E-2</v>
      </c>
      <c r="L65" s="30">
        <f>IF('Peak Areas'!O61=0,0,((('Peak Areas'!O61*Coefficients!$G$10+Coefficients!$H$10)*$G65)))</f>
        <v>0</v>
      </c>
      <c r="M65" s="30">
        <f>IF('Peak Areas'!P61=0,0,((('Peak Areas'!P61*Coefficients!$G$32+Coefficients!$H$32)*$G65)))</f>
        <v>2.526516665374968</v>
      </c>
      <c r="N65" s="30">
        <f>IF('Peak Areas'!Q61=0,0,((('Peak Areas'!Q61*Coefficients!$G$11+Coefficients!$H$11)*$G65)))</f>
        <v>0.1344492007981227</v>
      </c>
      <c r="O65" s="30">
        <f>IF('Peak Areas'!R61=0,0,((('Peak Areas'!R61*Coefficients!$G$39+Coefficients!$H$39)*$G65)))</f>
        <v>0.50999721623023753</v>
      </c>
      <c r="P65" s="30">
        <f>IF('Peak Areas'!S61=0,0,((('Peak Areas'!S61*Coefficients!$G$46+Coefficients!$H$46)*$G65)))</f>
        <v>0</v>
      </c>
      <c r="Q65" s="30">
        <f>IF('Peak Areas'!T61=0,0,((('Peak Areas'!T61*Coefficients!$G$51+Coefficients!$H$51)*$G65)))</f>
        <v>0.67472944004060253</v>
      </c>
      <c r="R65" s="30">
        <f>IF('Peak Areas'!U61=0,0,((('Peak Areas'!U61*Coefficients!$G$26+Coefficients!$H$26)*$G65)))</f>
        <v>0.49340626543235561</v>
      </c>
      <c r="S65" s="30">
        <f>IF('Peak Areas'!V61=0,0,((('Peak Areas'!V61*Coefficients!$G$13+Coefficients!$H$13)*$G65)))</f>
        <v>0.18482860455159875</v>
      </c>
      <c r="T65" s="30">
        <f>IF('Peak Areas'!W61=0,0,((('Peak Areas'!W61*Coefficients!$G$12+Coefficients!$H$12)*$G65)))</f>
        <v>0.23344437444551949</v>
      </c>
      <c r="U65" s="30">
        <f>IF('Peak Areas'!X61=0,0,((('Peak Areas'!X61*Coefficients!$G$27+Coefficients!$H$27)*$G65)))</f>
        <v>5.784931409168672E-2</v>
      </c>
      <c r="V65" s="30">
        <f>IF('Peak Areas'!Y61=0,0,((('Peak Areas'!Y61*Coefficients!$G$34+Coefficients!$H$34)*$G65)))</f>
        <v>1.6968003426322185</v>
      </c>
      <c r="W65" s="30">
        <f>IF('Peak Areas'!Z61=0,0,((('Peak Areas'!Z61*Coefficients!$G$52+Coefficients!$H$52)*$G65)))</f>
        <v>0.58461861603348653</v>
      </c>
      <c r="X65" s="30">
        <f>IF('Peak Areas'!AA61=0,0,((('Peak Areas'!AA61*Coefficients!$G$33+Coefficients!$H$33)*$G65)))</f>
        <v>6.7688634146507914E-2</v>
      </c>
      <c r="Y65" s="30">
        <f>IF('Peak Areas'!AC61=0,0,((('Peak Areas'!AC61*Coefficients!$G$19+Coefficients!$H$19)*$G65)))</f>
        <v>1.6480062553761252</v>
      </c>
      <c r="Z65" s="30">
        <f>IF('Peak Areas'!AD61=0,0,((('Peak Areas'!AD61*Coefficients!$G$18+Coefficients!$H$18)*$G65)))</f>
        <v>0.1740114122674612</v>
      </c>
      <c r="AA65" s="30">
        <f>IF('Peak Areas'!AE61=0,0,((('Peak Areas'!AE61*Coefficients!$G$18+Coefficients!$H$18)*$G65)))</f>
        <v>11.754316953244317</v>
      </c>
      <c r="AB65" s="30">
        <f>IF('Peak Areas'!AF61=0,0,((('Peak Areas'!AF61*Coefficients!$G$18+Coefficients!$H$18)*$G65)))</f>
        <v>0.62857508622910563</v>
      </c>
      <c r="AC65" s="30">
        <f>IF('Peak Areas'!AG61=0,0,((('Peak Areas'!AG61*Coefficients!$G$7+Coefficients!$H$7)*$G65)))</f>
        <v>0.15347280591701309</v>
      </c>
      <c r="AD65" s="30">
        <f>IF('Peak Areas'!AH61=0,0,((('Peak Areas'!AH61*Coefficients!$G$6+Coefficients!$H$6)*$G65)))</f>
        <v>1.1184215770095598</v>
      </c>
      <c r="AF65" s="30">
        <f>IF('Peak Areas'!K61=0,0,((('Peak Areas'!K61*Coefficients!$G$22+Coefficients!$H$22)*$G65)))</f>
        <v>0.10318202120401</v>
      </c>
      <c r="AG65" s="30">
        <f t="shared" si="0"/>
        <v>11.857498974448326</v>
      </c>
      <c r="AH65" s="30">
        <f t="shared" si="1"/>
        <v>12.660085472944893</v>
      </c>
    </row>
    <row r="66" spans="1:34" x14ac:dyDescent="0.25">
      <c r="A66" s="2">
        <f>'Peak Areas'!A62</f>
        <v>52</v>
      </c>
      <c r="B66" s="62">
        <f>'Peak Areas'!B62</f>
        <v>45841</v>
      </c>
      <c r="C66" s="2" t="str">
        <f>'Peak Areas'!C62</f>
        <v>C low nut</v>
      </c>
      <c r="D66" s="2">
        <f>'Peak Areas'!D62</f>
        <v>0</v>
      </c>
      <c r="E66" s="2">
        <f>'Peak Areas'!E62</f>
        <v>0</v>
      </c>
      <c r="F66" s="30">
        <f>'Peak Areas'!F62</f>
        <v>0.1</v>
      </c>
      <c r="G66" s="30">
        <f>((1/'Peak Areas'!$G62)*(('Peak Areas'!$H62+('Internal Standard'!$E$10/1000))/'Peak Areas'!$F62)*'Peak Areas'!$J62)*H66</f>
        <v>4.3800783374827408E-2</v>
      </c>
      <c r="H66" s="30">
        <f>(('Internal Standard'!$F$13*('Peak Areas'!G62/'Internal Standard'!$C$10))/'Peak Areas'!AB62)</f>
        <v>1.0306066676429977</v>
      </c>
      <c r="I66" s="30">
        <f>IF('Peak Areas'!L62=0,0,((('Peak Areas'!L62*Coefficients!$G$21+Coefficients!$H$21)*$G66)))</f>
        <v>0.21154002160849425</v>
      </c>
      <c r="J66" s="30">
        <f>IF('Peak Areas'!M62=0,0,((('Peak Areas'!M62*Coefficients!$G$20+Coefficients!$H$20)*$G66)))</f>
        <v>0.45254820696767473</v>
      </c>
      <c r="K66" s="30">
        <f>IF('Peak Areas'!N62=0,0,((('Peak Areas'!N62*Coefficients!$G$41+Coefficients!$H$41)*$G66)))</f>
        <v>0.10632150156115583</v>
      </c>
      <c r="L66" s="30">
        <f>IF('Peak Areas'!O62=0,0,((('Peak Areas'!O62*Coefficients!$G$10+Coefficients!$H$10)*$G66)))</f>
        <v>0</v>
      </c>
      <c r="M66" s="30">
        <f>IF('Peak Areas'!P62=0,0,((('Peak Areas'!P62*Coefficients!$G$32+Coefficients!$H$32)*$G66)))</f>
        <v>2.7664746020893634</v>
      </c>
      <c r="N66" s="30">
        <f>IF('Peak Areas'!Q62=0,0,((('Peak Areas'!Q62*Coefficients!$G$11+Coefficients!$H$11)*$G66)))</f>
        <v>0.13367097540868036</v>
      </c>
      <c r="O66" s="30">
        <f>IF('Peak Areas'!R62=0,0,((('Peak Areas'!R62*Coefficients!$G$39+Coefficients!$H$39)*$G66)))</f>
        <v>0.59459430579697758</v>
      </c>
      <c r="P66" s="30">
        <f>IF('Peak Areas'!S62=0,0,((('Peak Areas'!S62*Coefficients!$G$46+Coefficients!$H$46)*$G66)))</f>
        <v>0</v>
      </c>
      <c r="Q66" s="30">
        <f>IF('Peak Areas'!T62=0,0,((('Peak Areas'!T62*Coefficients!$G$51+Coefficients!$H$51)*$G66)))</f>
        <v>0.74508149549025615</v>
      </c>
      <c r="R66" s="30">
        <f>IF('Peak Areas'!U62=0,0,((('Peak Areas'!U62*Coefficients!$G$26+Coefficients!$H$26)*$G66)))</f>
        <v>0.52756976186479942</v>
      </c>
      <c r="S66" s="30">
        <f>IF('Peak Areas'!V62=0,0,((('Peak Areas'!V62*Coefficients!$G$13+Coefficients!$H$13)*$G66)))</f>
        <v>0.19701160101439613</v>
      </c>
      <c r="T66" s="30">
        <f>IF('Peak Areas'!W62=0,0,((('Peak Areas'!W62*Coefficients!$G$12+Coefficients!$H$12)*$G66)))</f>
        <v>0.23059967028398959</v>
      </c>
      <c r="U66" s="30">
        <f>IF('Peak Areas'!X62=0,0,((('Peak Areas'!X62*Coefficients!$G$27+Coefficients!$H$27)*$G66)))</f>
        <v>4.3979655847120651E-2</v>
      </c>
      <c r="V66" s="30">
        <f>IF('Peak Areas'!Y62=0,0,((('Peak Areas'!Y62*Coefficients!$G$34+Coefficients!$H$34)*$G66)))</f>
        <v>1.7790773371532487</v>
      </c>
      <c r="W66" s="30">
        <f>IF('Peak Areas'!Z62=0,0,((('Peak Areas'!Z62*Coefficients!$G$52+Coefficients!$H$52)*$G66)))</f>
        <v>0.5543901795487276</v>
      </c>
      <c r="X66" s="30">
        <f>IF('Peak Areas'!AA62=0,0,((('Peak Areas'!AA62*Coefficients!$G$33+Coefficients!$H$33)*$G66)))</f>
        <v>6.2646489628632382E-2</v>
      </c>
      <c r="Y66" s="30">
        <f>IF('Peak Areas'!AC62=0,0,((('Peak Areas'!AC62*Coefficients!$G$19+Coefficients!$H$19)*$G66)))</f>
        <v>1.7652187114746676</v>
      </c>
      <c r="Z66" s="30">
        <f>IF('Peak Areas'!AD62=0,0,((('Peak Areas'!AD62*Coefficients!$G$18+Coefficients!$H$18)*$G66)))</f>
        <v>0.19292237248701571</v>
      </c>
      <c r="AA66" s="30">
        <f>IF('Peak Areas'!AE62=0,0,((('Peak Areas'!AE62*Coefficients!$G$18+Coefficients!$H$18)*$G66)))</f>
        <v>12.743118459998476</v>
      </c>
      <c r="AB66" s="30">
        <f>IF('Peak Areas'!AF62=0,0,((('Peak Areas'!AF62*Coefficients!$G$18+Coefficients!$H$18)*$G66)))</f>
        <v>0.6915380772840426</v>
      </c>
      <c r="AC66" s="30">
        <f>IF('Peak Areas'!AG62=0,0,((('Peak Areas'!AG62*Coefficients!$G$7+Coefficients!$H$7)*$G66)))</f>
        <v>0.18224596584417505</v>
      </c>
      <c r="AD66" s="30">
        <f>IF('Peak Areas'!AH62=0,0,((('Peak Areas'!AH62*Coefficients!$G$6+Coefficients!$H$6)*$G66)))</f>
        <v>1.3830242680199365</v>
      </c>
      <c r="AF66" s="30">
        <f>IF('Peak Areas'!K62=0,0,((('Peak Areas'!K62*Coefficients!$G$22+Coefficients!$H$22)*$G66)))</f>
        <v>0.1003145188033326</v>
      </c>
      <c r="AG66" s="30">
        <f t="shared" si="0"/>
        <v>12.843432978801808</v>
      </c>
      <c r="AH66" s="30">
        <f t="shared" si="1"/>
        <v>13.727893428572866</v>
      </c>
    </row>
    <row r="67" spans="1:34" x14ac:dyDescent="0.25">
      <c r="A67" s="2">
        <f>'Peak Areas'!A63</f>
        <v>53</v>
      </c>
      <c r="B67" s="62">
        <f>'Peak Areas'!B63</f>
        <v>45841</v>
      </c>
      <c r="C67" s="2" t="str">
        <f>'Peak Areas'!C63</f>
        <v xml:space="preserve">C high nut </v>
      </c>
      <c r="D67" s="2">
        <f>'Peak Areas'!D63</f>
        <v>0</v>
      </c>
      <c r="E67" s="2">
        <f>'Peak Areas'!E63</f>
        <v>0</v>
      </c>
      <c r="F67" s="30">
        <f>'Peak Areas'!F63</f>
        <v>0.1</v>
      </c>
      <c r="G67" s="30">
        <f>((1/'Peak Areas'!$G63)*(('Peak Areas'!$H63+('Internal Standard'!$E$10/1000))/'Peak Areas'!$F63)*'Peak Areas'!$J63)*H67</f>
        <v>4.4179630313501542E-2</v>
      </c>
      <c r="H67" s="30">
        <f>(('Internal Standard'!$F$13*('Peak Areas'!G63/'Internal Standard'!$C$10))/'Peak Areas'!AB63)</f>
        <v>1.0395207132588598</v>
      </c>
      <c r="I67" s="30">
        <f>IF('Peak Areas'!L63=0,0,((('Peak Areas'!L63*Coefficients!$G$21+Coefficients!$H$21)*$G67)))</f>
        <v>8.2220969924606924E-2</v>
      </c>
      <c r="J67" s="30">
        <f>IF('Peak Areas'!M63=0,0,((('Peak Areas'!M63*Coefficients!$G$20+Coefficients!$H$20)*$G67)))</f>
        <v>0.28725159000007566</v>
      </c>
      <c r="K67" s="30">
        <f>IF('Peak Areas'!N63=0,0,((('Peak Areas'!N63*Coefficients!$G$41+Coefficients!$H$41)*$G67)))</f>
        <v>9.7760174357597193E-2</v>
      </c>
      <c r="L67" s="30">
        <f>IF('Peak Areas'!O63=0,0,((('Peak Areas'!O63*Coefficients!$G$10+Coefficients!$H$10)*$G67)))</f>
        <v>0</v>
      </c>
      <c r="M67" s="30">
        <f>IF('Peak Areas'!P63=0,0,((('Peak Areas'!P63*Coefficients!$G$32+Coefficients!$H$32)*$G67)))</f>
        <v>1.773490629445267</v>
      </c>
      <c r="N67" s="30">
        <f>IF('Peak Areas'!Q63=0,0,((('Peak Areas'!Q63*Coefficients!$G$11+Coefficients!$H$11)*$G67)))</f>
        <v>9.0044028420216388E-2</v>
      </c>
      <c r="O67" s="30">
        <f>IF('Peak Areas'!R63=0,0,((('Peak Areas'!R63*Coefficients!$G$39+Coefficients!$H$39)*$G67)))</f>
        <v>0.52494150124248939</v>
      </c>
      <c r="P67" s="30">
        <f>IF('Peak Areas'!S63=0,0,((('Peak Areas'!S63*Coefficients!$G$46+Coefficients!$H$46)*$G67)))</f>
        <v>0</v>
      </c>
      <c r="Q67" s="30">
        <f>IF('Peak Areas'!T63=0,0,((('Peak Areas'!T63*Coefficients!$G$51+Coefficients!$H$51)*$G67)))</f>
        <v>0.71103684130439004</v>
      </c>
      <c r="R67" s="30">
        <f>IF('Peak Areas'!U63=0,0,((('Peak Areas'!U63*Coefficients!$G$26+Coefficients!$H$26)*$G67)))</f>
        <v>0.41883493248161524</v>
      </c>
      <c r="S67" s="30">
        <f>IF('Peak Areas'!V63=0,0,((('Peak Areas'!V63*Coefficients!$G$13+Coefficients!$H$13)*$G67)))</f>
        <v>0.15671312942760499</v>
      </c>
      <c r="T67" s="30">
        <f>IF('Peak Areas'!W63=0,0,((('Peak Areas'!W63*Coefficients!$G$12+Coefficients!$H$12)*$G67)))</f>
        <v>0.21837291916550353</v>
      </c>
      <c r="U67" s="30">
        <f>IF('Peak Areas'!X63=0,0,((('Peak Areas'!X63*Coefficients!$G$27+Coefficients!$H$27)*$G67)))</f>
        <v>4.4040198730468931E-2</v>
      </c>
      <c r="V67" s="30">
        <f>IF('Peak Areas'!Y63=0,0,((('Peak Areas'!Y63*Coefficients!$G$34+Coefficients!$H$34)*$G67)))</f>
        <v>1.7167906134134581</v>
      </c>
      <c r="W67" s="30">
        <f>IF('Peak Areas'!Z63=0,0,((('Peak Areas'!Z63*Coefficients!$G$52+Coefficients!$H$52)*$G67)))</f>
        <v>0.44015842641651914</v>
      </c>
      <c r="X67" s="30">
        <f>IF('Peak Areas'!AA63=0,0,((('Peak Areas'!AA63*Coefficients!$G$33+Coefficients!$H$33)*$G67)))</f>
        <v>3.9834067871569019E-2</v>
      </c>
      <c r="Y67" s="30">
        <f>IF('Peak Areas'!AC63=0,0,((('Peak Areas'!AC63*Coefficients!$G$19+Coefficients!$H$19)*$G67)))</f>
        <v>1.7627416058840923</v>
      </c>
      <c r="Z67" s="30">
        <f>IF('Peak Areas'!AD63=0,0,((('Peak Areas'!AD63*Coefficients!$G$18+Coefficients!$H$18)*$G67)))</f>
        <v>0.18952779538450765</v>
      </c>
      <c r="AA67" s="30">
        <f>IF('Peak Areas'!AE63=0,0,((('Peak Areas'!AE63*Coefficients!$G$18+Coefficients!$H$18)*$G67)))</f>
        <v>10.953144948763109</v>
      </c>
      <c r="AB67" s="30">
        <f>IF('Peak Areas'!AF63=0,0,((('Peak Areas'!AF63*Coefficients!$G$18+Coefficients!$H$18)*$G67)))</f>
        <v>0.57602057628457171</v>
      </c>
      <c r="AC67" s="30">
        <f>IF('Peak Areas'!AG63=0,0,((('Peak Areas'!AG63*Coefficients!$G$7+Coefficients!$H$7)*$G67)))</f>
        <v>0.15760595760003759</v>
      </c>
      <c r="AD67" s="30">
        <f>IF('Peak Areas'!AH63=0,0,((('Peak Areas'!AH63*Coefficients!$G$6+Coefficients!$H$6)*$G67)))</f>
        <v>1.1380979297106066</v>
      </c>
      <c r="AF67" s="30">
        <f>IF('Peak Areas'!K63=0,0,((('Peak Areas'!K63*Coefficients!$G$22+Coefficients!$H$22)*$G67)))</f>
        <v>6.8316224321933919E-2</v>
      </c>
      <c r="AG67" s="30">
        <f t="shared" si="0"/>
        <v>11.021461173085044</v>
      </c>
      <c r="AH67" s="30">
        <f t="shared" si="1"/>
        <v>11.787009544754124</v>
      </c>
    </row>
    <row r="68" spans="1:34" x14ac:dyDescent="0.25">
      <c r="A68" s="2">
        <f>'Peak Areas'!A64</f>
        <v>54</v>
      </c>
      <c r="B68" s="62">
        <f>'Peak Areas'!B64</f>
        <v>45841</v>
      </c>
      <c r="C68" s="2" t="str">
        <f>'Peak Areas'!C64</f>
        <v xml:space="preserve">C high nut </v>
      </c>
      <c r="D68" s="2">
        <f>'Peak Areas'!D64</f>
        <v>0</v>
      </c>
      <c r="E68" s="2">
        <f>'Peak Areas'!E64</f>
        <v>0</v>
      </c>
      <c r="F68" s="30">
        <f>'Peak Areas'!F64</f>
        <v>0.1</v>
      </c>
      <c r="G68" s="30">
        <f>((1/'Peak Areas'!$G64)*(('Peak Areas'!$H64+('Internal Standard'!$E$10/1000))/'Peak Areas'!$F64)*'Peak Areas'!$J64)*H68</f>
        <v>4.3651239659728856E-2</v>
      </c>
      <c r="H68" s="30">
        <f>(('Internal Standard'!$F$13*('Peak Areas'!G64/'Internal Standard'!$C$10))/'Peak Areas'!AB64)</f>
        <v>1.02708799199362</v>
      </c>
      <c r="I68" s="30">
        <f>IF('Peak Areas'!L64=0,0,((('Peak Areas'!L64*Coefficients!$G$21+Coefficients!$H$21)*$G68)))</f>
        <v>0.10224603067855297</v>
      </c>
      <c r="J68" s="30">
        <f>IF('Peak Areas'!M64=0,0,((('Peak Areas'!M64*Coefficients!$G$20+Coefficients!$H$20)*$G68)))</f>
        <v>0.28443798096257478</v>
      </c>
      <c r="K68" s="30">
        <f>IF('Peak Areas'!N64=0,0,((('Peak Areas'!N64*Coefficients!$G$41+Coefficients!$H$41)*$G68)))</f>
        <v>0.10352763479928638</v>
      </c>
      <c r="L68" s="30">
        <f>IF('Peak Areas'!O64=0,0,((('Peak Areas'!O64*Coefficients!$G$10+Coefficients!$H$10)*$G68)))</f>
        <v>0</v>
      </c>
      <c r="M68" s="30">
        <f>IF('Peak Areas'!P64=0,0,((('Peak Areas'!P64*Coefficients!$G$32+Coefficients!$H$32)*$G68)))</f>
        <v>1.6682257164814001</v>
      </c>
      <c r="N68" s="30">
        <f>IF('Peak Areas'!Q64=0,0,((('Peak Areas'!Q64*Coefficients!$G$11+Coefficients!$H$11)*$G68)))</f>
        <v>8.5481361549071155E-2</v>
      </c>
      <c r="O68" s="30">
        <f>IF('Peak Areas'!R64=0,0,((('Peak Areas'!R64*Coefficients!$G$39+Coefficients!$H$39)*$G68)))</f>
        <v>0.5052019662990358</v>
      </c>
      <c r="P68" s="30">
        <f>IF('Peak Areas'!S64=0,0,((('Peak Areas'!S64*Coefficients!$G$46+Coefficients!$H$46)*$G68)))</f>
        <v>0</v>
      </c>
      <c r="Q68" s="30">
        <f>IF('Peak Areas'!T64=0,0,((('Peak Areas'!T64*Coefficients!$G$51+Coefficients!$H$51)*$G68)))</f>
        <v>0.70980018489819008</v>
      </c>
      <c r="R68" s="30">
        <f>IF('Peak Areas'!U64=0,0,((('Peak Areas'!U64*Coefficients!$G$26+Coefficients!$H$26)*$G68)))</f>
        <v>0.40502101338487728</v>
      </c>
      <c r="S68" s="30">
        <f>IF('Peak Areas'!V64=0,0,((('Peak Areas'!V64*Coefficients!$G$13+Coefficients!$H$13)*$G68)))</f>
        <v>0.13120991680094948</v>
      </c>
      <c r="T68" s="30">
        <f>IF('Peak Areas'!W64=0,0,((('Peak Areas'!W64*Coefficients!$G$12+Coefficients!$H$12)*$G68)))</f>
        <v>0.21775098829660164</v>
      </c>
      <c r="U68" s="30">
        <f>IF('Peak Areas'!X64=0,0,((('Peak Areas'!X64*Coefficients!$G$27+Coefficients!$H$27)*$G68)))</f>
        <v>4.3192001222117471E-2</v>
      </c>
      <c r="V68" s="30">
        <f>IF('Peak Areas'!Y64=0,0,((('Peak Areas'!Y64*Coefficients!$G$34+Coefficients!$H$34)*$G68)))</f>
        <v>1.6320203604288079</v>
      </c>
      <c r="W68" s="30">
        <f>IF('Peak Areas'!Z64=0,0,((('Peak Areas'!Z64*Coefficients!$G$52+Coefficients!$H$52)*$G68)))</f>
        <v>0.41839953007570058</v>
      </c>
      <c r="X68" s="30">
        <f>IF('Peak Areas'!AA64=0,0,((('Peak Areas'!AA64*Coefficients!$G$33+Coefficients!$H$33)*$G68)))</f>
        <v>0.11245042962398739</v>
      </c>
      <c r="Y68" s="30">
        <f>IF('Peak Areas'!AC64=0,0,((('Peak Areas'!AC64*Coefficients!$G$19+Coefficients!$H$19)*$G68)))</f>
        <v>1.6728811427548225</v>
      </c>
      <c r="Z68" s="30">
        <f>IF('Peak Areas'!AD64=0,0,((('Peak Areas'!AD64*Coefficients!$G$18+Coefficients!$H$18)*$G68)))</f>
        <v>0.18055415990139606</v>
      </c>
      <c r="AA68" s="30">
        <f>IF('Peak Areas'!AE64=0,0,((('Peak Areas'!AE64*Coefficients!$G$18+Coefficients!$H$18)*$G68)))</f>
        <v>10.54261841819458</v>
      </c>
      <c r="AB68" s="30">
        <f>IF('Peak Areas'!AF64=0,0,((('Peak Areas'!AF64*Coefficients!$G$18+Coefficients!$H$18)*$G68)))</f>
        <v>0.55846631250938261</v>
      </c>
      <c r="AC68" s="30">
        <f>IF('Peak Areas'!AG64=0,0,((('Peak Areas'!AG64*Coefficients!$G$7+Coefficients!$H$7)*$G68)))</f>
        <v>0.15599684713491241</v>
      </c>
      <c r="AD68" s="30">
        <f>IF('Peak Areas'!AH64=0,0,((('Peak Areas'!AH64*Coefficients!$G$6+Coefficients!$H$6)*$G68)))</f>
        <v>1.1748693175218443</v>
      </c>
      <c r="AF68" s="30">
        <f>IF('Peak Areas'!K64=0,0,((('Peak Areas'!K64*Coefficients!$G$22+Coefficients!$H$22)*$G68)))</f>
        <v>8.0995818560011867E-2</v>
      </c>
      <c r="AG68" s="30">
        <f t="shared" si="0"/>
        <v>10.623614236754593</v>
      </c>
      <c r="AH68" s="30">
        <f t="shared" si="1"/>
        <v>11.362634709165372</v>
      </c>
    </row>
    <row r="69" spans="1:34" x14ac:dyDescent="0.25">
      <c r="A69" s="2">
        <f>'Peak Areas'!A65</f>
        <v>55</v>
      </c>
      <c r="B69" s="62">
        <f>'Peak Areas'!B65</f>
        <v>45841</v>
      </c>
      <c r="C69" s="2" t="str">
        <f>'Peak Areas'!C65</f>
        <v>C+P low</v>
      </c>
      <c r="D69" s="2">
        <f>'Peak Areas'!D65</f>
        <v>0</v>
      </c>
      <c r="E69" s="2">
        <f>'Peak Areas'!E65</f>
        <v>0</v>
      </c>
      <c r="F69" s="30">
        <f>'Peak Areas'!F65</f>
        <v>0.1</v>
      </c>
      <c r="G69" s="30">
        <f>((1/'Peak Areas'!$G65)*(('Peak Areas'!$H65+('Internal Standard'!$E$10/1000))/'Peak Areas'!$F65)*'Peak Areas'!$J65)*H69</f>
        <v>4.2382398824842293E-2</v>
      </c>
      <c r="H69" s="30">
        <f>(('Internal Standard'!$F$13*('Peak Areas'!G65/'Internal Standard'!$C$10))/'Peak Areas'!AB65)</f>
        <v>0.99723291352570087</v>
      </c>
      <c r="I69" s="30">
        <f>IF('Peak Areas'!L65=0,0,((('Peak Areas'!L65*Coefficients!$G$21+Coefficients!$H$21)*$G69)))</f>
        <v>4.7095636782236591E-2</v>
      </c>
      <c r="J69" s="30">
        <f>IF('Peak Areas'!M65=0,0,((('Peak Areas'!M65*Coefficients!$G$20+Coefficients!$H$20)*$G69)))</f>
        <v>0.15883000153531721</v>
      </c>
      <c r="K69" s="30">
        <f>IF('Peak Areas'!N65=0,0,((('Peak Areas'!N65*Coefficients!$G$41+Coefficients!$H$41)*$G69)))</f>
        <v>9.1812766286601288E-2</v>
      </c>
      <c r="L69" s="30">
        <f>IF('Peak Areas'!O65=0,0,((('Peak Areas'!O65*Coefficients!$G$10+Coefficients!$H$10)*$G69)))</f>
        <v>0</v>
      </c>
      <c r="M69" s="30">
        <f>IF('Peak Areas'!P65=0,0,((('Peak Areas'!P65*Coefficients!$G$32+Coefficients!$H$32)*$G69)))</f>
        <v>0.99651187937565489</v>
      </c>
      <c r="N69" s="30">
        <f>IF('Peak Areas'!Q65=0,0,((('Peak Areas'!Q65*Coefficients!$G$11+Coefficients!$H$11)*$G69)))</f>
        <v>6.7663150960796101E-2</v>
      </c>
      <c r="O69" s="30">
        <f>IF('Peak Areas'!R65=0,0,((('Peak Areas'!R65*Coefficients!$G$39+Coefficients!$H$39)*$G69)))</f>
        <v>0.21154055913443057</v>
      </c>
      <c r="P69" s="30">
        <f>IF('Peak Areas'!S65=0,0,((('Peak Areas'!S65*Coefficients!$G$46+Coefficients!$H$46)*$G69)))</f>
        <v>0</v>
      </c>
      <c r="Q69" s="30">
        <f>IF('Peak Areas'!T65=0,0,((('Peak Areas'!T65*Coefficients!$G$51+Coefficients!$H$51)*$G69)))</f>
        <v>0.47408118123617488</v>
      </c>
      <c r="R69" s="30">
        <f>IF('Peak Areas'!U65=0,0,((('Peak Areas'!U65*Coefficients!$G$26+Coefficients!$H$26)*$G69)))</f>
        <v>0.39605121960543532</v>
      </c>
      <c r="S69" s="30">
        <f>IF('Peak Areas'!V65=0,0,((('Peak Areas'!V65*Coefficients!$G$13+Coefficients!$H$13)*$G69)))</f>
        <v>0.15170152037056359</v>
      </c>
      <c r="T69" s="30">
        <f>IF('Peak Areas'!W65=0,0,((('Peak Areas'!W65*Coefficients!$G$12+Coefficients!$H$12)*$G69)))</f>
        <v>0.17683735826024169</v>
      </c>
      <c r="U69" s="30">
        <f>IF('Peak Areas'!X65=0,0,((('Peak Areas'!X65*Coefficients!$G$27+Coefficients!$H$27)*$G69)))</f>
        <v>3.8555983402072128E-2</v>
      </c>
      <c r="V69" s="30">
        <f>IF('Peak Areas'!Y65=0,0,((('Peak Areas'!Y65*Coefficients!$G$34+Coefficients!$H$34)*$G69)))</f>
        <v>0.86624691644013452</v>
      </c>
      <c r="W69" s="30">
        <f>IF('Peak Areas'!Z65=0,0,((('Peak Areas'!Z65*Coefficients!$G$52+Coefficients!$H$52)*$G69)))</f>
        <v>0.4207796687969258</v>
      </c>
      <c r="X69" s="30">
        <f>IF('Peak Areas'!AA65=0,0,((('Peak Areas'!AA65*Coefficients!$G$33+Coefficients!$H$33)*$G69)))</f>
        <v>6.3669166314307107E-2</v>
      </c>
      <c r="Y69" s="30">
        <f>IF('Peak Areas'!AC65=0,0,((('Peak Areas'!AC65*Coefficients!$G$19+Coefficients!$H$19)*$G69)))</f>
        <v>0.77031315496329067</v>
      </c>
      <c r="Z69" s="30">
        <f>IF('Peak Areas'!AD65=0,0,((('Peak Areas'!AD65*Coefficients!$G$18+Coefficients!$H$18)*$G69)))</f>
        <v>0.10443980912654582</v>
      </c>
      <c r="AA69" s="30">
        <f>IF('Peak Areas'!AE65=0,0,((('Peak Areas'!AE65*Coefficients!$G$18+Coefficients!$H$18)*$G69)))</f>
        <v>5.9313271360985231</v>
      </c>
      <c r="AB69" s="30">
        <f>IF('Peak Areas'!AF65=0,0,((('Peak Areas'!AF65*Coefficients!$G$18+Coefficients!$H$18)*$G69)))</f>
        <v>0.39566140977106068</v>
      </c>
      <c r="AC69" s="30">
        <f>IF('Peak Areas'!AG65=0,0,((('Peak Areas'!AG65*Coefficients!$G$7+Coefficients!$H$7)*$G69)))</f>
        <v>0</v>
      </c>
      <c r="AD69" s="30">
        <f>IF('Peak Areas'!AH65=0,0,((('Peak Areas'!AH65*Coefficients!$G$6+Coefficients!$H$6)*$G69)))</f>
        <v>0.73827749194237724</v>
      </c>
      <c r="AF69" s="30">
        <f>IF('Peak Areas'!K65=0,0,((('Peak Areas'!K65*Coefficients!$G$22+Coefficients!$H$22)*$G69)))</f>
        <v>2.769466621484162E-2</v>
      </c>
      <c r="AG69" s="30">
        <f t="shared" si="0"/>
        <v>5.959021802313365</v>
      </c>
      <c r="AH69" s="30">
        <f t="shared" si="1"/>
        <v>6.4591230212109707</v>
      </c>
    </row>
    <row r="70" spans="1:34" x14ac:dyDescent="0.25">
      <c r="A70" s="2">
        <f>'Peak Areas'!A66</f>
        <v>56</v>
      </c>
      <c r="B70" s="62">
        <f>'Peak Areas'!B66</f>
        <v>45841</v>
      </c>
      <c r="C70" s="2" t="str">
        <f>'Peak Areas'!C66</f>
        <v>C+P low</v>
      </c>
      <c r="D70" s="2">
        <f>'Peak Areas'!D66</f>
        <v>0</v>
      </c>
      <c r="E70" s="2">
        <f>'Peak Areas'!E66</f>
        <v>0</v>
      </c>
      <c r="F70" s="30">
        <f>'Peak Areas'!F66</f>
        <v>0.1</v>
      </c>
      <c r="G70" s="30">
        <f>((1/'Peak Areas'!$G66)*(('Peak Areas'!$H66+('Internal Standard'!$E$10/1000))/'Peak Areas'!$F66)*'Peak Areas'!$J66)*H70</f>
        <v>4.2418572271580676E-2</v>
      </c>
      <c r="H70" s="30">
        <f>(('Internal Standard'!$F$13*('Peak Areas'!G66/'Internal Standard'!$C$10))/'Peak Areas'!AB66)</f>
        <v>0.99808405344895701</v>
      </c>
      <c r="I70" s="30">
        <f>IF('Peak Areas'!L66=0,0,((('Peak Areas'!L66*Coefficients!$G$21+Coefficients!$H$21)*$G70)))</f>
        <v>5.0066211124861669E-2</v>
      </c>
      <c r="J70" s="30">
        <f>IF('Peak Areas'!M66=0,0,((('Peak Areas'!M66*Coefficients!$G$20+Coefficients!$H$20)*$G70)))</f>
        <v>0.14783504635072309</v>
      </c>
      <c r="K70" s="30">
        <f>IF('Peak Areas'!N66=0,0,((('Peak Areas'!N66*Coefficients!$G$41+Coefficients!$H$41)*$G70)))</f>
        <v>9.3576326715400268E-2</v>
      </c>
      <c r="L70" s="30">
        <f>IF('Peak Areas'!O66=0,0,((('Peak Areas'!O66*Coefficients!$G$10+Coefficients!$H$10)*$G70)))</f>
        <v>0</v>
      </c>
      <c r="M70" s="30">
        <f>IF('Peak Areas'!P66=0,0,((('Peak Areas'!P66*Coefficients!$G$32+Coefficients!$H$32)*$G70)))</f>
        <v>0.89912954443129478</v>
      </c>
      <c r="N70" s="30">
        <f>IF('Peak Areas'!Q66=0,0,((('Peak Areas'!Q66*Coefficients!$G$11+Coefficients!$H$11)*$G70)))</f>
        <v>7.2641601824182139E-2</v>
      </c>
      <c r="O70" s="30">
        <f>IF('Peak Areas'!R66=0,0,((('Peak Areas'!R66*Coefficients!$G$39+Coefficients!$H$39)*$G70)))</f>
        <v>0.18529549054787614</v>
      </c>
      <c r="P70" s="30">
        <f>IF('Peak Areas'!S66=0,0,((('Peak Areas'!S66*Coefficients!$G$46+Coefficients!$H$46)*$G70)))</f>
        <v>0</v>
      </c>
      <c r="Q70" s="30">
        <f>IF('Peak Areas'!T66=0,0,((('Peak Areas'!T66*Coefficients!$G$51+Coefficients!$H$51)*$G70)))</f>
        <v>0.43457105055128403</v>
      </c>
      <c r="R70" s="30">
        <f>IF('Peak Areas'!U66=0,0,((('Peak Areas'!U66*Coefficients!$G$26+Coefficients!$H$26)*$G70)))</f>
        <v>0.39405895790395035</v>
      </c>
      <c r="S70" s="30">
        <f>IF('Peak Areas'!V66=0,0,((('Peak Areas'!V66*Coefficients!$G$13+Coefficients!$H$13)*$G70)))</f>
        <v>0.15189670369103964</v>
      </c>
      <c r="T70" s="30">
        <f>IF('Peak Areas'!W66=0,0,((('Peak Areas'!W66*Coefficients!$G$12+Coefficients!$H$12)*$G70)))</f>
        <v>0.16208776990807922</v>
      </c>
      <c r="U70" s="30">
        <f>IF('Peak Areas'!X66=0,0,((('Peak Areas'!X66*Coefficients!$G$27+Coefficients!$H$27)*$G70)))</f>
        <v>3.1287288268550373E-2</v>
      </c>
      <c r="V70" s="30">
        <f>IF('Peak Areas'!Y66=0,0,((('Peak Areas'!Y66*Coefficients!$G$34+Coefficients!$H$34)*$G70)))</f>
        <v>0.77983553661186045</v>
      </c>
      <c r="W70" s="30">
        <f>IF('Peak Areas'!Z66=0,0,((('Peak Areas'!Z66*Coefficients!$G$52+Coefficients!$H$52)*$G70)))</f>
        <v>0.40474324989597849</v>
      </c>
      <c r="X70" s="30">
        <f>IF('Peak Areas'!AA66=0,0,((('Peak Areas'!AA66*Coefficients!$G$33+Coefficients!$H$33)*$G70)))</f>
        <v>5.515277578807333E-2</v>
      </c>
      <c r="Y70" s="30">
        <f>IF('Peak Areas'!AC66=0,0,((('Peak Areas'!AC66*Coefficients!$G$19+Coefficients!$H$19)*$G70)))</f>
        <v>0.61917840497059684</v>
      </c>
      <c r="Z70" s="30">
        <f>IF('Peak Areas'!AD66=0,0,((('Peak Areas'!AD66*Coefficients!$G$18+Coefficients!$H$18)*$G70)))</f>
        <v>0.11451885330932914</v>
      </c>
      <c r="AA70" s="30">
        <f>IF('Peak Areas'!AE66=0,0,((('Peak Areas'!AE66*Coefficients!$G$18+Coefficients!$H$18)*$G70)))</f>
        <v>5.3221973752965894</v>
      </c>
      <c r="AB70" s="30">
        <f>IF('Peak Areas'!AF66=0,0,((('Peak Areas'!AF66*Coefficients!$G$18+Coefficients!$H$18)*$G70)))</f>
        <v>0.36962647148837585</v>
      </c>
      <c r="AC70" s="30">
        <f>IF('Peak Areas'!AG66=0,0,((('Peak Areas'!AG66*Coefficients!$G$7+Coefficients!$H$7)*$G70)))</f>
        <v>0</v>
      </c>
      <c r="AD70" s="30">
        <f>IF('Peak Areas'!AH66=0,0,((('Peak Areas'!AH66*Coefficients!$G$6+Coefficients!$H$6)*$G70)))</f>
        <v>0.55637463967094791</v>
      </c>
      <c r="AF70" s="30">
        <f>IF('Peak Areas'!K66=0,0,((('Peak Areas'!K66*Coefficients!$G$22+Coefficients!$H$22)*$G70)))</f>
        <v>2.8681547460163607E-2</v>
      </c>
      <c r="AG70" s="30">
        <f t="shared" si="0"/>
        <v>5.3508789227567535</v>
      </c>
      <c r="AH70" s="30">
        <f t="shared" si="1"/>
        <v>5.8350242475544585</v>
      </c>
    </row>
    <row r="71" spans="1:34" x14ac:dyDescent="0.25">
      <c r="A71" s="2">
        <f>'Peak Areas'!A67</f>
        <v>57</v>
      </c>
      <c r="B71" s="62">
        <f>'Peak Areas'!B67</f>
        <v>45841</v>
      </c>
      <c r="C71" s="2" t="str">
        <f>'Peak Areas'!C67</f>
        <v>C+P high</v>
      </c>
      <c r="D71" s="2">
        <f>'Peak Areas'!D67</f>
        <v>0</v>
      </c>
      <c r="E71" s="2">
        <f>'Peak Areas'!E67</f>
        <v>0</v>
      </c>
      <c r="F71" s="30">
        <f>'Peak Areas'!F67</f>
        <v>0.1</v>
      </c>
      <c r="G71" s="30">
        <f>((1/'Peak Areas'!$G67)*(('Peak Areas'!$H67+('Internal Standard'!$E$10/1000))/'Peak Areas'!$F67)*'Peak Areas'!$J67)*H71</f>
        <v>4.2498651991880236E-2</v>
      </c>
      <c r="H71" s="30">
        <f>(('Internal Standard'!$F$13*('Peak Areas'!G67/'Internal Standard'!$C$10))/'Peak Areas'!AB67)</f>
        <v>0.99996828216188782</v>
      </c>
      <c r="I71" s="30">
        <f>IF('Peak Areas'!L67=0,0,((('Peak Areas'!L67*Coefficients!$G$21+Coefficients!$H$21)*$G71)))</f>
        <v>4.6168867081299761E-2</v>
      </c>
      <c r="J71" s="30">
        <f>IF('Peak Areas'!M67=0,0,((('Peak Areas'!M67*Coefficients!$G$20+Coefficients!$H$20)*$G71)))</f>
        <v>0.13460362915680268</v>
      </c>
      <c r="K71" s="30">
        <f>IF('Peak Areas'!N67=0,0,((('Peak Areas'!N67*Coefficients!$G$41+Coefficients!$H$41)*$G71)))</f>
        <v>9.6060682096194186E-2</v>
      </c>
      <c r="L71" s="30">
        <f>IF('Peak Areas'!O67=0,0,((('Peak Areas'!O67*Coefficients!$G$10+Coefficients!$H$10)*$G71)))</f>
        <v>0</v>
      </c>
      <c r="M71" s="30">
        <f>IF('Peak Areas'!P67=0,0,((('Peak Areas'!P67*Coefficients!$G$32+Coefficients!$H$32)*$G71)))</f>
        <v>0.92099898843410954</v>
      </c>
      <c r="N71" s="30">
        <f>IF('Peak Areas'!Q67=0,0,((('Peak Areas'!Q67*Coefficients!$G$11+Coefficients!$H$11)*$G71)))</f>
        <v>6.8472080226007648E-2</v>
      </c>
      <c r="O71" s="30">
        <f>IF('Peak Areas'!R67=0,0,((('Peak Areas'!R67*Coefficients!$G$39+Coefficients!$H$39)*$G71)))</f>
        <v>0.19211899667493329</v>
      </c>
      <c r="P71" s="30">
        <f>IF('Peak Areas'!S67=0,0,((('Peak Areas'!S67*Coefficients!$G$46+Coefficients!$H$46)*$G71)))</f>
        <v>0</v>
      </c>
      <c r="Q71" s="30">
        <f>IF('Peak Areas'!T67=0,0,((('Peak Areas'!T67*Coefficients!$G$51+Coefficients!$H$51)*$G71)))</f>
        <v>0.43395480603183267</v>
      </c>
      <c r="R71" s="30">
        <f>IF('Peak Areas'!U67=0,0,((('Peak Areas'!U67*Coefficients!$G$26+Coefficients!$H$26)*$G71)))</f>
        <v>0.39409047047470502</v>
      </c>
      <c r="S71" s="30">
        <f>IF('Peak Areas'!V67=0,0,((('Peak Areas'!V67*Coefficients!$G$13+Coefficients!$H$13)*$G71)))</f>
        <v>0.15654342397023002</v>
      </c>
      <c r="T71" s="30">
        <f>IF('Peak Areas'!W67=0,0,((('Peak Areas'!W67*Coefficients!$G$12+Coefficients!$H$12)*$G71)))</f>
        <v>0.1739280357315087</v>
      </c>
      <c r="U71" s="30">
        <f>IF('Peak Areas'!X67=0,0,((('Peak Areas'!X67*Coefficients!$G$27+Coefficients!$H$27)*$G71)))</f>
        <v>3.0311908250605847E-2</v>
      </c>
      <c r="V71" s="30">
        <f>IF('Peak Areas'!Y67=0,0,((('Peak Areas'!Y67*Coefficients!$G$34+Coefficients!$H$34)*$G71)))</f>
        <v>0.80903058579982401</v>
      </c>
      <c r="W71" s="30">
        <f>IF('Peak Areas'!Z67=0,0,((('Peak Areas'!Z67*Coefficients!$G$52+Coefficients!$H$52)*$G71)))</f>
        <v>0.45044284478060104</v>
      </c>
      <c r="X71" s="30">
        <f>IF('Peak Areas'!AA67=0,0,((('Peak Areas'!AA67*Coefficients!$G$33+Coefficients!$H$33)*$G71)))</f>
        <v>6.4117131678441963E-2</v>
      </c>
      <c r="Y71" s="30">
        <f>IF('Peak Areas'!AC67=0,0,((('Peak Areas'!AC67*Coefficients!$G$19+Coefficients!$H$19)*$G71)))</f>
        <v>0.68674736386738455</v>
      </c>
      <c r="Z71" s="30">
        <f>IF('Peak Areas'!AD67=0,0,((('Peak Areas'!AD67*Coefficients!$G$18+Coefficients!$H$18)*$G71)))</f>
        <v>0.10866912964081135</v>
      </c>
      <c r="AA71" s="30">
        <f>IF('Peak Areas'!AE67=0,0,((('Peak Areas'!AE67*Coefficients!$G$18+Coefficients!$H$18)*$G71)))</f>
        <v>5.5231963805947091</v>
      </c>
      <c r="AB71" s="30">
        <f>IF('Peak Areas'!AF67=0,0,((('Peak Areas'!AF67*Coefficients!$G$18+Coefficients!$H$18)*$G71)))</f>
        <v>0.37804939371019414</v>
      </c>
      <c r="AC71" s="30">
        <f>IF('Peak Areas'!AG67=0,0,((('Peak Areas'!AG67*Coefficients!$G$7+Coefficients!$H$7)*$G71)))</f>
        <v>0</v>
      </c>
      <c r="AD71" s="30">
        <f>IF('Peak Areas'!AH67=0,0,((('Peak Areas'!AH67*Coefficients!$G$6+Coefficients!$H$6)*$G71)))</f>
        <v>0.43727373718647256</v>
      </c>
      <c r="AF71" s="30">
        <f>IF('Peak Areas'!K67=0,0,((('Peak Areas'!K67*Coefficients!$G$22+Coefficients!$H$22)*$G71)))</f>
        <v>1.9139114702453292E-2</v>
      </c>
      <c r="AG71" s="30">
        <f t="shared" si="0"/>
        <v>5.542335495297162</v>
      </c>
      <c r="AH71" s="30">
        <f t="shared" si="1"/>
        <v>6.0290540186481678</v>
      </c>
    </row>
    <row r="72" spans="1:34" x14ac:dyDescent="0.25">
      <c r="A72" s="2">
        <f>'Peak Areas'!A68</f>
        <v>58</v>
      </c>
      <c r="B72" s="62">
        <f>'Peak Areas'!B68</f>
        <v>45841</v>
      </c>
      <c r="C72" s="2" t="str">
        <f>'Peak Areas'!C68</f>
        <v>C+P high</v>
      </c>
      <c r="D72" s="2">
        <f>'Peak Areas'!D68</f>
        <v>0</v>
      </c>
      <c r="E72" s="2">
        <f>'Peak Areas'!E68</f>
        <v>0</v>
      </c>
      <c r="F72" s="30">
        <f>'Peak Areas'!F68</f>
        <v>0.1</v>
      </c>
      <c r="G72" s="30">
        <f>((1/'Peak Areas'!$G68)*(('Peak Areas'!$H68+('Internal Standard'!$E$10/1000))/'Peak Areas'!$F68)*'Peak Areas'!$J68)*H72</f>
        <v>4.351390278120576E-2</v>
      </c>
      <c r="H72" s="30">
        <f>(('Internal Standard'!$F$13*('Peak Areas'!G68/'Internal Standard'!$C$10))/'Peak Areas'!AB68)</f>
        <v>1.0238565360283707</v>
      </c>
      <c r="I72" s="30">
        <f>IF('Peak Areas'!L68=0,0,((('Peak Areas'!L68*Coefficients!$G$21+Coefficients!$H$21)*$G72)))</f>
        <v>5.3271388998949454E-2</v>
      </c>
      <c r="J72" s="30">
        <f>IF('Peak Areas'!M68=0,0,((('Peak Areas'!M68*Coefficients!$G$20+Coefficients!$H$20)*$G72)))</f>
        <v>0.14827807687710923</v>
      </c>
      <c r="K72" s="30">
        <f>IF('Peak Areas'!N68=0,0,((('Peak Areas'!N68*Coefficients!$G$41+Coefficients!$H$41)*$G72)))</f>
        <v>9.517736219447398E-2</v>
      </c>
      <c r="L72" s="30">
        <f>IF('Peak Areas'!O68=0,0,((('Peak Areas'!O68*Coefficients!$G$10+Coefficients!$H$10)*$G72)))</f>
        <v>0</v>
      </c>
      <c r="M72" s="30">
        <f>IF('Peak Areas'!P68=0,0,((('Peak Areas'!P68*Coefficients!$G$32+Coefficients!$H$32)*$G72)))</f>
        <v>0.90679849276220115</v>
      </c>
      <c r="N72" s="30">
        <f>IF('Peak Areas'!Q68=0,0,((('Peak Areas'!Q68*Coefficients!$G$11+Coefficients!$H$11)*$G72)))</f>
        <v>6.6626595122973795E-2</v>
      </c>
      <c r="O72" s="30">
        <f>IF('Peak Areas'!R68=0,0,((('Peak Areas'!R68*Coefficients!$G$39+Coefficients!$H$39)*$G72)))</f>
        <v>0.17653294930526384</v>
      </c>
      <c r="P72" s="30">
        <f>IF('Peak Areas'!S68=0,0,((('Peak Areas'!S68*Coefficients!$G$46+Coefficients!$H$46)*$G72)))</f>
        <v>0</v>
      </c>
      <c r="Q72" s="30">
        <f>IF('Peak Areas'!T68=0,0,((('Peak Areas'!T68*Coefficients!$G$51+Coefficients!$H$51)*$G72)))</f>
        <v>0.52193086452893889</v>
      </c>
      <c r="R72" s="30">
        <f>IF('Peak Areas'!U68=0,0,((('Peak Areas'!U68*Coefficients!$G$26+Coefficients!$H$26)*$G72)))</f>
        <v>0.39068836400265355</v>
      </c>
      <c r="S72" s="30">
        <f>IF('Peak Areas'!V68=0,0,((('Peak Areas'!V68*Coefficients!$G$13+Coefficients!$H$13)*$G72)))</f>
        <v>0.15461091391037296</v>
      </c>
      <c r="T72" s="30">
        <f>IF('Peak Areas'!W68=0,0,((('Peak Areas'!W68*Coefficients!$G$12+Coefficients!$H$12)*$G72)))</f>
        <v>0.16125834647674087</v>
      </c>
      <c r="U72" s="30">
        <f>IF('Peak Areas'!X68=0,0,((('Peak Areas'!X68*Coefficients!$G$27+Coefficients!$H$27)*$G72)))</f>
        <v>2.8852535908092544E-2</v>
      </c>
      <c r="V72" s="30">
        <f>IF('Peak Areas'!Y68=0,0,((('Peak Areas'!Y68*Coefficients!$G$34+Coefficients!$H$34)*$G72)))</f>
        <v>0.77824267303550088</v>
      </c>
      <c r="W72" s="30">
        <f>IF('Peak Areas'!Z68=0,0,((('Peak Areas'!Z68*Coefficients!$G$52+Coefficients!$H$52)*$G72)))</f>
        <v>0.44206008340551795</v>
      </c>
      <c r="X72" s="30">
        <f>IF('Peak Areas'!AA68=0,0,((('Peak Areas'!AA68*Coefficients!$G$33+Coefficients!$H$33)*$G72)))</f>
        <v>5.8388198512315914E-2</v>
      </c>
      <c r="Y72" s="30">
        <f>IF('Peak Areas'!AC68=0,0,((('Peak Areas'!AC68*Coefficients!$G$19+Coefficients!$H$19)*$G72)))</f>
        <v>0.60677801863173553</v>
      </c>
      <c r="Z72" s="30">
        <f>IF('Peak Areas'!AD68=0,0,((('Peak Areas'!AD68*Coefficients!$G$18+Coefficients!$H$18)*$G72)))</f>
        <v>0.13420865103933116</v>
      </c>
      <c r="AA72" s="30">
        <f>IF('Peak Areas'!AE68=0,0,((('Peak Areas'!AE68*Coefficients!$G$18+Coefficients!$H$18)*$G72)))</f>
        <v>5.2404212854512329</v>
      </c>
      <c r="AB72" s="30">
        <f>IF('Peak Areas'!AF68=0,0,((('Peak Areas'!AF68*Coefficients!$G$18+Coefficients!$H$18)*$G72)))</f>
        <v>0.38644127027862402</v>
      </c>
      <c r="AC72" s="30">
        <f>IF('Peak Areas'!AG68=0,0,((('Peak Areas'!AG68*Coefficients!$G$7+Coefficients!$H$7)*$G72)))</f>
        <v>0</v>
      </c>
      <c r="AD72" s="30">
        <f>IF('Peak Areas'!AH68=0,0,((('Peak Areas'!AH68*Coefficients!$G$6+Coefficients!$H$6)*$G72)))</f>
        <v>0.32129803200995821</v>
      </c>
      <c r="AF72" s="30">
        <f>IF('Peak Areas'!K68=0,0,((('Peak Areas'!K68*Coefficients!$G$22+Coefficients!$H$22)*$G72)))</f>
        <v>2.7896509024071849E-2</v>
      </c>
      <c r="AG72" s="30">
        <f t="shared" si="0"/>
        <v>5.2683177944753048</v>
      </c>
      <c r="AH72" s="30">
        <f t="shared" si="1"/>
        <v>5.7889677157932597</v>
      </c>
    </row>
    <row r="73" spans="1:34" x14ac:dyDescent="0.25">
      <c r="A73" s="2">
        <f>'Peak Areas'!A69</f>
        <v>59</v>
      </c>
      <c r="B73" s="62">
        <f>'Peak Areas'!B69</f>
        <v>45841</v>
      </c>
      <c r="C73" s="2" t="str">
        <f>'Peak Areas'!C69</f>
        <v xml:space="preserve">C+P low nut </v>
      </c>
      <c r="D73" s="2">
        <f>'Peak Areas'!D69</f>
        <v>0</v>
      </c>
      <c r="E73" s="2">
        <f>'Peak Areas'!E69</f>
        <v>0</v>
      </c>
      <c r="F73" s="30">
        <f>'Peak Areas'!F69</f>
        <v>0.1</v>
      </c>
      <c r="G73" s="30">
        <f>((1/'Peak Areas'!$G69)*(('Peak Areas'!$H69+('Internal Standard'!$E$10/1000))/'Peak Areas'!$F69)*'Peak Areas'!$J69)*H73</f>
        <v>4.5547354516059735E-2</v>
      </c>
      <c r="H73" s="30">
        <f>(('Internal Standard'!$F$13*('Peak Areas'!G69/'Internal Standard'!$C$10))/'Peak Areas'!AB69)</f>
        <v>1.0717024592014055</v>
      </c>
      <c r="I73" s="30">
        <f>IF('Peak Areas'!L69=0,0,((('Peak Areas'!L69*Coefficients!$G$21+Coefficients!$H$21)*$G73)))</f>
        <v>0.11445882723376809</v>
      </c>
      <c r="J73" s="30">
        <f>IF('Peak Areas'!M69=0,0,((('Peak Areas'!M69*Coefficients!$G$20+Coefficients!$H$20)*$G73)))</f>
        <v>0.4693735590132192</v>
      </c>
      <c r="K73" s="30">
        <f>IF('Peak Areas'!N69=0,0,((('Peak Areas'!N69*Coefficients!$G$41+Coefficients!$H$41)*$G73)))</f>
        <v>0.11743561902234236</v>
      </c>
      <c r="L73" s="30">
        <f>IF('Peak Areas'!O69=0,0,((('Peak Areas'!O69*Coefficients!$G$10+Coefficients!$H$10)*$G73)))</f>
        <v>0</v>
      </c>
      <c r="M73" s="30">
        <f>IF('Peak Areas'!P69=0,0,((('Peak Areas'!P69*Coefficients!$G$32+Coefficients!$H$32)*$G73)))</f>
        <v>2.5213077562719231</v>
      </c>
      <c r="N73" s="30">
        <f>IF('Peak Areas'!Q69=0,0,((('Peak Areas'!Q69*Coefficients!$G$11+Coefficients!$H$11)*$G73)))</f>
        <v>0.12558621398900599</v>
      </c>
      <c r="O73" s="30">
        <f>IF('Peak Areas'!R69=0,0,((('Peak Areas'!R69*Coefficients!$G$39+Coefficients!$H$39)*$G73)))</f>
        <v>0.57048696019404144</v>
      </c>
      <c r="P73" s="30">
        <f>IF('Peak Areas'!S69=0,0,((('Peak Areas'!S69*Coefficients!$G$46+Coefficients!$H$46)*$G73)))</f>
        <v>0</v>
      </c>
      <c r="Q73" s="30">
        <f>IF('Peak Areas'!T69=0,0,((('Peak Areas'!T69*Coefficients!$G$51+Coefficients!$H$51)*$G73)))</f>
        <v>0.74311238931597501</v>
      </c>
      <c r="R73" s="30">
        <f>IF('Peak Areas'!U69=0,0,((('Peak Areas'!U69*Coefficients!$G$26+Coefficients!$H$26)*$G73)))</f>
        <v>0.51246012610709424</v>
      </c>
      <c r="S73" s="30">
        <f>IF('Peak Areas'!V69=0,0,((('Peak Areas'!V69*Coefficients!$G$13+Coefficients!$H$13)*$G73)))</f>
        <v>0.19035544677748684</v>
      </c>
      <c r="T73" s="30">
        <f>IF('Peak Areas'!W69=0,0,((('Peak Areas'!W69*Coefficients!$G$12+Coefficients!$H$12)*$G73)))</f>
        <v>0.32705436344907485</v>
      </c>
      <c r="U73" s="30">
        <f>IF('Peak Areas'!X69=0,0,((('Peak Areas'!X69*Coefficients!$G$27+Coefficients!$H$27)*$G73)))</f>
        <v>6.2886212135068606E-2</v>
      </c>
      <c r="V73" s="30">
        <f>IF('Peak Areas'!Y69=0,0,((('Peak Areas'!Y69*Coefficients!$G$34+Coefficients!$H$34)*$G73)))</f>
        <v>1.7522765994196117</v>
      </c>
      <c r="W73" s="30">
        <f>IF('Peak Areas'!Z69=0,0,((('Peak Areas'!Z69*Coefficients!$G$52+Coefficients!$H$52)*$G73)))</f>
        <v>0.58587425189550491</v>
      </c>
      <c r="X73" s="30">
        <f>IF('Peak Areas'!AA69=0,0,((('Peak Areas'!AA69*Coefficients!$G$33+Coefficients!$H$33)*$G73)))</f>
        <v>0.15506613707625219</v>
      </c>
      <c r="Y73" s="30">
        <f>IF('Peak Areas'!AC69=0,0,((('Peak Areas'!AC69*Coefficients!$G$19+Coefficients!$H$19)*$G73)))</f>
        <v>1.7665413738826443</v>
      </c>
      <c r="Z73" s="30">
        <f>IF('Peak Areas'!AD69=0,0,((('Peak Areas'!AD69*Coefficients!$G$18+Coefficients!$H$18)*$G73)))</f>
        <v>0.32815081650629829</v>
      </c>
      <c r="AA73" s="30">
        <f>IF('Peak Areas'!AE69=0,0,((('Peak Areas'!AE69*Coefficients!$G$18+Coefficients!$H$18)*$G73)))</f>
        <v>12.260129043173256</v>
      </c>
      <c r="AB73" s="30">
        <f>IF('Peak Areas'!AF69=0,0,((('Peak Areas'!AF69*Coefficients!$G$18+Coefficients!$H$18)*$G73)))</f>
        <v>0.62249609498770808</v>
      </c>
      <c r="AC73" s="30">
        <f>IF('Peak Areas'!AG69=0,0,((('Peak Areas'!AG69*Coefficients!$G$7+Coefficients!$H$7)*$G73)))</f>
        <v>0</v>
      </c>
      <c r="AD73" s="30">
        <f>IF('Peak Areas'!AH69=0,0,((('Peak Areas'!AH69*Coefficients!$G$6+Coefficients!$H$6)*$G73)))</f>
        <v>0.70438908604129524</v>
      </c>
      <c r="AF73" s="30">
        <f>IF('Peak Areas'!K69=0,0,((('Peak Areas'!K69*Coefficients!$G$22+Coefficients!$H$22)*$G73)))</f>
        <v>7.1035202086745811E-2</v>
      </c>
      <c r="AG73" s="30">
        <f t="shared" si="0"/>
        <v>12.331164245260002</v>
      </c>
      <c r="AH73" s="30">
        <f t="shared" si="1"/>
        <v>13.281811156754008</v>
      </c>
    </row>
    <row r="74" spans="1:34" x14ac:dyDescent="0.25">
      <c r="A74" s="2">
        <f>'Peak Areas'!A70</f>
        <v>60</v>
      </c>
      <c r="B74" s="62">
        <f>'Peak Areas'!B70</f>
        <v>45841</v>
      </c>
      <c r="C74" s="2" t="str">
        <f>'Peak Areas'!C70</f>
        <v xml:space="preserve">C+P low nut </v>
      </c>
      <c r="D74" s="2">
        <f>'Peak Areas'!D70</f>
        <v>0</v>
      </c>
      <c r="E74" s="2">
        <f>'Peak Areas'!E70</f>
        <v>0</v>
      </c>
      <c r="F74" s="30">
        <f>'Peak Areas'!F70</f>
        <v>0.1</v>
      </c>
      <c r="G74" s="30">
        <f>((1/'Peak Areas'!$G70)*(('Peak Areas'!$H70+('Internal Standard'!$E$10/1000))/'Peak Areas'!$F70)*'Peak Areas'!$J70)*H74</f>
        <v>4.5171337200834993E-2</v>
      </c>
      <c r="H74" s="30">
        <f>(('Internal Standard'!$F$13*('Peak Areas'!G70/'Internal Standard'!$C$10))/'Peak Areas'!AB70)</f>
        <v>1.0628549929608233</v>
      </c>
      <c r="I74" s="30">
        <f>IF('Peak Areas'!L70=0,0,((('Peak Areas'!L70*Coefficients!$G$21+Coefficients!$H$21)*$G74)))</f>
        <v>0.17308973576517186</v>
      </c>
      <c r="J74" s="30">
        <f>IF('Peak Areas'!M70=0,0,((('Peak Areas'!M70*Coefficients!$G$20+Coefficients!$H$20)*$G74)))</f>
        <v>0.51027861703637833</v>
      </c>
      <c r="K74" s="30">
        <f>IF('Peak Areas'!N70=0,0,((('Peak Areas'!N70*Coefficients!$G$41+Coefficients!$H$41)*$G74)))</f>
        <v>0.134960276416519</v>
      </c>
      <c r="L74" s="30">
        <f>IF('Peak Areas'!O70=0,0,((('Peak Areas'!O70*Coefficients!$G$10+Coefficients!$H$10)*$G74)))</f>
        <v>0</v>
      </c>
      <c r="M74" s="30">
        <f>IF('Peak Areas'!P70=0,0,((('Peak Areas'!P70*Coefficients!$G$32+Coefficients!$H$32)*$G74)))</f>
        <v>2.689387948526206</v>
      </c>
      <c r="N74" s="30">
        <f>IF('Peak Areas'!Q70=0,0,((('Peak Areas'!Q70*Coefficients!$G$11+Coefficients!$H$11)*$G74)))</f>
        <v>0.14111944077721461</v>
      </c>
      <c r="O74" s="30">
        <f>IF('Peak Areas'!R70=0,0,((('Peak Areas'!R70*Coefficients!$G$39+Coefficients!$H$39)*$G74)))</f>
        <v>0.60476158588428142</v>
      </c>
      <c r="P74" s="30">
        <f>IF('Peak Areas'!S70=0,0,((('Peak Areas'!S70*Coefficients!$G$46+Coefficients!$H$46)*$G74)))</f>
        <v>0</v>
      </c>
      <c r="Q74" s="30">
        <f>IF('Peak Areas'!T70=0,0,((('Peak Areas'!T70*Coefficients!$G$51+Coefficients!$H$51)*$G74)))</f>
        <v>0.77878459006857548</v>
      </c>
      <c r="R74" s="30">
        <f>IF('Peak Areas'!U70=0,0,((('Peak Areas'!U70*Coefficients!$G$26+Coefficients!$H$26)*$G74)))</f>
        <v>0.52042308904218426</v>
      </c>
      <c r="S74" s="30">
        <f>IF('Peak Areas'!V70=0,0,((('Peak Areas'!V70*Coefficients!$G$13+Coefficients!$H$13)*$G74)))</f>
        <v>0.19669055257566195</v>
      </c>
      <c r="T74" s="30">
        <f>IF('Peak Areas'!W70=0,0,((('Peak Areas'!W70*Coefficients!$G$12+Coefficients!$H$12)*$G74)))</f>
        <v>0.34421688264308653</v>
      </c>
      <c r="U74" s="30">
        <f>IF('Peak Areas'!X70=0,0,((('Peak Areas'!X70*Coefficients!$G$27+Coefficients!$H$27)*$G74)))</f>
        <v>6.0230075486781123E-2</v>
      </c>
      <c r="V74" s="30">
        <f>IF('Peak Areas'!Y70=0,0,((('Peak Areas'!Y70*Coefficients!$G$34+Coefficients!$H$34)*$G74)))</f>
        <v>1.9383637603196495</v>
      </c>
      <c r="W74" s="30">
        <f>IF('Peak Areas'!Z70=0,0,((('Peak Areas'!Z70*Coefficients!$G$52+Coefficients!$H$52)*$G74)))</f>
        <v>0.58495870037688757</v>
      </c>
      <c r="X74" s="30">
        <f>IF('Peak Areas'!AA70=0,0,((('Peak Areas'!AA70*Coefficients!$G$33+Coefficients!$H$33)*$G74)))</f>
        <v>5.9127350062941016E-2</v>
      </c>
      <c r="Y74" s="30">
        <f>IF('Peak Areas'!AC70=0,0,((('Peak Areas'!AC70*Coefficients!$G$19+Coefficients!$H$19)*$G74)))</f>
        <v>1.9278927394273844</v>
      </c>
      <c r="Z74" s="30">
        <f>IF('Peak Areas'!AD70=0,0,((('Peak Areas'!AD70*Coefficients!$G$18+Coefficients!$H$18)*$G74)))</f>
        <v>0.29510107552824166</v>
      </c>
      <c r="AA74" s="30">
        <f>IF('Peak Areas'!AE70=0,0,((('Peak Areas'!AE70*Coefficients!$G$18+Coefficients!$H$18)*$G74)))</f>
        <v>13.605255639053171</v>
      </c>
      <c r="AB74" s="30">
        <f>IF('Peak Areas'!AF70=0,0,((('Peak Areas'!AF70*Coefficients!$G$18+Coefficients!$H$18)*$G74)))</f>
        <v>0.71685554287328879</v>
      </c>
      <c r="AC74" s="30">
        <f>IF('Peak Areas'!AG70=0,0,((('Peak Areas'!AG70*Coefficients!$G$7+Coefficients!$H$7)*$G74)))</f>
        <v>0</v>
      </c>
      <c r="AD74" s="30">
        <f>IF('Peak Areas'!AH70=0,0,((('Peak Areas'!AH70*Coefficients!$G$6+Coefficients!$H$6)*$G74)))</f>
        <v>1.5144150949403208</v>
      </c>
      <c r="AF74" s="30">
        <f>IF('Peak Areas'!K70=0,0,((('Peak Areas'!K70*Coefficients!$G$22+Coefficients!$H$22)*$G74)))</f>
        <v>0.10744155332709052</v>
      </c>
      <c r="AG74" s="30">
        <f t="shared" si="0"/>
        <v>13.712697192380261</v>
      </c>
      <c r="AH74" s="30">
        <f t="shared" si="1"/>
        <v>14.724653810781792</v>
      </c>
    </row>
    <row r="75" spans="1:34" x14ac:dyDescent="0.25">
      <c r="A75" s="2">
        <f>'Peak Areas'!A71</f>
        <v>61</v>
      </c>
      <c r="B75" s="62">
        <f>'Peak Areas'!B71</f>
        <v>45841</v>
      </c>
      <c r="C75" s="2" t="str">
        <f>'Peak Areas'!C71</f>
        <v>C+P high nut</v>
      </c>
      <c r="D75" s="2">
        <f>'Peak Areas'!D71</f>
        <v>0</v>
      </c>
      <c r="E75" s="2">
        <f>'Peak Areas'!E71</f>
        <v>0</v>
      </c>
      <c r="F75" s="30">
        <f>'Peak Areas'!F71</f>
        <v>0.1</v>
      </c>
      <c r="G75" s="30">
        <f>((1/'Peak Areas'!$G71)*(('Peak Areas'!$H71+('Internal Standard'!$E$10/1000))/'Peak Areas'!$F71)*'Peak Areas'!$J71)*H75</f>
        <v>4.0275478292862398E-2</v>
      </c>
      <c r="H75" s="30">
        <f>(('Internal Standard'!$F$13*('Peak Areas'!G71/'Internal Standard'!$C$10))/'Peak Areas'!AB71)</f>
        <v>0.94765831277323287</v>
      </c>
      <c r="I75" s="30">
        <f>IF('Peak Areas'!L71=0,0,((('Peak Areas'!L71*Coefficients!$G$21+Coefficients!$H$21)*$G75)))</f>
        <v>9.2233305373254679E-2</v>
      </c>
      <c r="J75" s="30">
        <f>IF('Peak Areas'!M71=0,0,((('Peak Areas'!M71*Coefficients!$G$20+Coefficients!$H$20)*$G75)))</f>
        <v>0.27061521331018534</v>
      </c>
      <c r="K75" s="30">
        <f>IF('Peak Areas'!N71=0,0,((('Peak Areas'!N71*Coefficients!$G$41+Coefficients!$H$41)*$G75)))</f>
        <v>7.7718081420115895E-2</v>
      </c>
      <c r="L75" s="30">
        <f>IF('Peak Areas'!O71=0,0,((('Peak Areas'!O71*Coefficients!$G$10+Coefficients!$H$10)*$G75)))</f>
        <v>0</v>
      </c>
      <c r="M75" s="30">
        <f>IF('Peak Areas'!P71=0,0,((('Peak Areas'!P71*Coefficients!$G$32+Coefficients!$H$32)*$G75)))</f>
        <v>1.2378660395565442</v>
      </c>
      <c r="N75" s="30">
        <f>IF('Peak Areas'!Q71=0,0,((('Peak Areas'!Q71*Coefficients!$G$11+Coefficients!$H$11)*$G75)))</f>
        <v>1.5090326539861343E-2</v>
      </c>
      <c r="O75" s="30">
        <f>IF('Peak Areas'!R71=0,0,((('Peak Areas'!R71*Coefficients!$G$39+Coefficients!$H$39)*$G75)))</f>
        <v>0.19819767173175221</v>
      </c>
      <c r="P75" s="30">
        <f>IF('Peak Areas'!S71=0,0,((('Peak Areas'!S71*Coefficients!$G$46+Coefficients!$H$46)*$G75)))</f>
        <v>0</v>
      </c>
      <c r="Q75" s="30">
        <f>IF('Peak Areas'!T71=0,0,((('Peak Areas'!T71*Coefficients!$G$51+Coefficients!$H$51)*$G75)))</f>
        <v>0.49965866204335074</v>
      </c>
      <c r="R75" s="30">
        <f>IF('Peak Areas'!U71=0,0,((('Peak Areas'!U71*Coefficients!$G$26+Coefficients!$H$26)*$G75)))</f>
        <v>0.29870291059745474</v>
      </c>
      <c r="S75" s="30">
        <f>IF('Peak Areas'!V71=0,0,((('Peak Areas'!V71*Coefficients!$G$13+Coefficients!$H$13)*$G75)))</f>
        <v>0.12272805131835127</v>
      </c>
      <c r="T75" s="30">
        <f>IF('Peak Areas'!W71=0,0,((('Peak Areas'!W71*Coefficients!$G$12+Coefficients!$H$12)*$G75)))</f>
        <v>0.14808958790333981</v>
      </c>
      <c r="U75" s="30">
        <f>IF('Peak Areas'!X71=0,0,((('Peak Areas'!X71*Coefficients!$G$27+Coefficients!$H$27)*$G75)))</f>
        <v>2.4186551435062771E-2</v>
      </c>
      <c r="V75" s="30">
        <f>IF('Peak Areas'!Y71=0,0,((('Peak Areas'!Y71*Coefficients!$G$34+Coefficients!$H$34)*$G75)))</f>
        <v>0.95102694476939742</v>
      </c>
      <c r="W75" s="30">
        <f>IF('Peak Areas'!Z71=0,0,((('Peak Areas'!Z71*Coefficients!$G$52+Coefficients!$H$52)*$G75)))</f>
        <v>0.32192576461797734</v>
      </c>
      <c r="X75" s="30">
        <f>IF('Peak Areas'!AA71=0,0,((('Peak Areas'!AA71*Coefficients!$G$33+Coefficients!$H$33)*$G75)))</f>
        <v>0.10985558337405535</v>
      </c>
      <c r="Y75" s="30">
        <f>IF('Peak Areas'!AC71=0,0,((('Peak Areas'!AC71*Coefficients!$G$19+Coefficients!$H$19)*$G75)))</f>
        <v>0.97307547339059053</v>
      </c>
      <c r="Z75" s="30">
        <f>IF('Peak Areas'!AD71=0,0,((('Peak Areas'!AD71*Coefficients!$G$18+Coefficients!$H$18)*$G75)))</f>
        <v>0.16735187800312729</v>
      </c>
      <c r="AA75" s="30">
        <f>IF('Peak Areas'!AE71=0,0,((('Peak Areas'!AE71*Coefficients!$G$18+Coefficients!$H$18)*$G75)))</f>
        <v>7.2079999214771888</v>
      </c>
      <c r="AB75" s="30">
        <f>IF('Peak Areas'!AF71=0,0,((('Peak Areas'!AF71*Coefficients!$G$18+Coefficients!$H$18)*$G75)))</f>
        <v>0.4807858156089036</v>
      </c>
      <c r="AC75" s="30">
        <f>IF('Peak Areas'!AG71=0,0,((('Peak Areas'!AG71*Coefficients!$G$7+Coefficients!$H$7)*$G75)))</f>
        <v>0</v>
      </c>
      <c r="AD75" s="30">
        <f>IF('Peak Areas'!AH71=0,0,((('Peak Areas'!AH71*Coefficients!$G$6+Coefficients!$H$6)*$G75)))</f>
        <v>0.79350685409855126</v>
      </c>
      <c r="AF75" s="30">
        <f>IF('Peak Areas'!K71=0,0,((('Peak Areas'!K71*Coefficients!$G$22+Coefficients!$H$22)*$G75)))</f>
        <v>6.0896280173487624E-2</v>
      </c>
      <c r="AG75" s="30">
        <f t="shared" si="0"/>
        <v>7.2688962016506764</v>
      </c>
      <c r="AH75" s="30">
        <f t="shared" si="1"/>
        <v>7.9170338952627075</v>
      </c>
    </row>
    <row r="76" spans="1:34" x14ac:dyDescent="0.25">
      <c r="A76" s="2">
        <f>'Peak Areas'!A72</f>
        <v>62</v>
      </c>
      <c r="B76" s="62">
        <f>'Peak Areas'!B72</f>
        <v>45841</v>
      </c>
      <c r="C76" s="2" t="str">
        <f>'Peak Areas'!C72</f>
        <v>C+P high nut</v>
      </c>
      <c r="D76" s="2">
        <f>'Peak Areas'!D72</f>
        <v>0</v>
      </c>
      <c r="E76" s="2">
        <f>'Peak Areas'!E72</f>
        <v>0</v>
      </c>
      <c r="F76" s="30">
        <f>'Peak Areas'!F72</f>
        <v>0.1</v>
      </c>
      <c r="G76" s="30">
        <f>((1/'Peak Areas'!$G72)*(('Peak Areas'!$H72+('Internal Standard'!$E$10/1000))/'Peak Areas'!$F72)*'Peak Areas'!$J72)*H76</f>
        <v>6.4758129216850008E-2</v>
      </c>
      <c r="H76" s="30">
        <f>(('Internal Standard'!$F$13*('Peak Areas'!G72/'Internal Standard'!$C$10))/'Peak Areas'!AB72)</f>
        <v>1.5237206874552942</v>
      </c>
      <c r="I76" s="30">
        <f>IF('Peak Areas'!L72=0,0,((('Peak Areas'!L72*Coefficients!$G$21+Coefficients!$H$21)*$G76)))</f>
        <v>0.19079508718641783</v>
      </c>
      <c r="J76" s="30">
        <f>IF('Peak Areas'!M72=0,0,((('Peak Areas'!M72*Coefficients!$G$20+Coefficients!$H$20)*$G76)))</f>
        <v>0.49377304650487219</v>
      </c>
      <c r="K76" s="30">
        <f>IF('Peak Areas'!N72=0,0,((('Peak Areas'!N72*Coefficients!$G$41+Coefficients!$H$41)*$G76)))</f>
        <v>8.4146399675029487E-2</v>
      </c>
      <c r="L76" s="30">
        <f>IF('Peak Areas'!O72=0,0,((('Peak Areas'!O72*Coefficients!$G$10+Coefficients!$H$10)*$G76)))</f>
        <v>0</v>
      </c>
      <c r="M76" s="30">
        <f>IF('Peak Areas'!P72=0,0,((('Peak Areas'!P72*Coefficients!$G$32+Coefficients!$H$32)*$G76)))</f>
        <v>1.8015203575648375</v>
      </c>
      <c r="N76" s="30">
        <f>IF('Peak Areas'!Q72=0,0,((('Peak Areas'!Q72*Coefficients!$G$11+Coefficients!$H$11)*$G76)))</f>
        <v>9.147956547320249E-2</v>
      </c>
      <c r="O76" s="30">
        <f>IF('Peak Areas'!R72=0,0,((('Peak Areas'!R72*Coefficients!$G$39+Coefficients!$H$39)*$G76)))</f>
        <v>0.33657678015566855</v>
      </c>
      <c r="P76" s="30">
        <f>IF('Peak Areas'!S72=0,0,((('Peak Areas'!S72*Coefficients!$G$46+Coefficients!$H$46)*$G76)))</f>
        <v>0</v>
      </c>
      <c r="Q76" s="30">
        <f>IF('Peak Areas'!T72=0,0,((('Peak Areas'!T72*Coefficients!$G$51+Coefficients!$H$51)*$G76)))</f>
        <v>0.72507534795853135</v>
      </c>
      <c r="R76" s="30">
        <f>IF('Peak Areas'!U72=0,0,((('Peak Areas'!U72*Coefficients!$G$26+Coefficients!$H$26)*$G76)))</f>
        <v>0.39092714836734177</v>
      </c>
      <c r="S76" s="30">
        <f>IF('Peak Areas'!V72=0,0,((('Peak Areas'!V72*Coefficients!$G$13+Coefficients!$H$13)*$G76)))</f>
        <v>0.17592745174116906</v>
      </c>
      <c r="T76" s="30">
        <f>IF('Peak Areas'!W72=0,0,((('Peak Areas'!W72*Coefficients!$G$12+Coefficients!$H$12)*$G76)))</f>
        <v>0.20163705978417804</v>
      </c>
      <c r="U76" s="30">
        <f>IF('Peak Areas'!X72=0,0,((('Peak Areas'!X72*Coefficients!$G$27+Coefficients!$H$27)*$G76)))</f>
        <v>0</v>
      </c>
      <c r="V76" s="30">
        <f>IF('Peak Areas'!Y72=0,0,((('Peak Areas'!Y72*Coefficients!$G$34+Coefficients!$H$34)*$G76)))</f>
        <v>4.1638341623872678E-2</v>
      </c>
      <c r="W76" s="30">
        <f>IF('Peak Areas'!Z72=0,0,((('Peak Areas'!Z72*Coefficients!$G$52+Coefficients!$H$52)*$G76)))</f>
        <v>0.39297695778026015</v>
      </c>
      <c r="X76" s="30">
        <f>IF('Peak Areas'!AA72=0,0,((('Peak Areas'!AA72*Coefficients!$G$33+Coefficients!$H$33)*$G76)))</f>
        <v>0.13860747082377076</v>
      </c>
      <c r="Y76" s="30">
        <f>IF('Peak Areas'!AC72=0,0,((('Peak Areas'!AC72*Coefficients!$G$19+Coefficients!$H$19)*$G76)))</f>
        <v>1.1771170434203004</v>
      </c>
      <c r="Z76" s="30">
        <f>IF('Peak Areas'!AD72=0,0,((('Peak Areas'!AD72*Coefficients!$G$18+Coefficients!$H$18)*$G76)))</f>
        <v>0.26247564183973077</v>
      </c>
      <c r="AA76" s="30">
        <f>IF('Peak Areas'!AE72=0,0,((('Peak Areas'!AE72*Coefficients!$G$18+Coefficients!$H$18)*$G76)))</f>
        <v>9.5404118897930008</v>
      </c>
      <c r="AB76" s="30">
        <f>IF('Peak Areas'!AF72=0,0,((('Peak Areas'!AF72*Coefficients!$G$18+Coefficients!$H$18)*$G76)))</f>
        <v>0.6339106179615579</v>
      </c>
      <c r="AC76" s="30">
        <f>IF('Peak Areas'!AG72=0,0,((('Peak Areas'!AG72*Coefficients!$G$7+Coefficients!$H$7)*$G76)))</f>
        <v>0</v>
      </c>
      <c r="AD76" s="30">
        <f>IF('Peak Areas'!AH72=0,0,((('Peak Areas'!AH72*Coefficients!$G$6+Coefficients!$H$6)*$G76)))</f>
        <v>0.77432177941801861</v>
      </c>
      <c r="AF76" s="30">
        <f>IF('Peak Areas'!K72=0,0,((('Peak Areas'!K72*Coefficients!$G$22+Coefficients!$H$22)*$G76)))</f>
        <v>0.3633743317740189</v>
      </c>
      <c r="AG76" s="30">
        <f t="shared" si="0"/>
        <v>9.9037862215670192</v>
      </c>
      <c r="AH76" s="30">
        <f t="shared" si="1"/>
        <v>10.800172481368307</v>
      </c>
    </row>
    <row r="77" spans="1:34" x14ac:dyDescent="0.25">
      <c r="A77" s="2">
        <f>'Peak Areas'!A73</f>
        <v>63</v>
      </c>
      <c r="B77" s="62">
        <f>'Peak Areas'!B73</f>
        <v>45841</v>
      </c>
      <c r="C77" s="2" t="str">
        <f>'Peak Areas'!C73</f>
        <v>C+Q low</v>
      </c>
      <c r="D77" s="2">
        <f>'Peak Areas'!D73</f>
        <v>0</v>
      </c>
      <c r="E77" s="2">
        <f>'Peak Areas'!E73</f>
        <v>0</v>
      </c>
      <c r="F77" s="30">
        <f>'Peak Areas'!F73</f>
        <v>7.6999999999999999E-2</v>
      </c>
      <c r="G77" s="30">
        <f>((1/'Peak Areas'!$G73)*(('Peak Areas'!$H73+('Internal Standard'!$E$10/1000))/'Peak Areas'!$F73)*'Peak Areas'!$J73)*H77</f>
        <v>6.9408943025651676E-2</v>
      </c>
      <c r="H77" s="30">
        <f>(('Internal Standard'!$F$13*('Peak Areas'!G73/'Internal Standard'!$C$10))/'Peak Areas'!AB73)</f>
        <v>1.2575267324647477</v>
      </c>
      <c r="I77" s="30">
        <f>IF('Peak Areas'!L73=0,0,((('Peak Areas'!L73*Coefficients!$G$21+Coefficients!$H$21)*$G77)))</f>
        <v>3.7312796593396778E-2</v>
      </c>
      <c r="J77" s="30">
        <f>IF('Peak Areas'!M73=0,0,((('Peak Areas'!M73*Coefficients!$G$20+Coefficients!$H$20)*$G77)))</f>
        <v>0.19529223413051353</v>
      </c>
      <c r="K77" s="30">
        <f>IF('Peak Areas'!N73=0,0,((('Peak Areas'!N73*Coefficients!$G$41+Coefficients!$H$41)*$G77)))</f>
        <v>0.10997356800931707</v>
      </c>
      <c r="L77" s="30">
        <f>IF('Peak Areas'!O73=0,0,((('Peak Areas'!O73*Coefficients!$G$10+Coefficients!$H$10)*$G77)))</f>
        <v>0</v>
      </c>
      <c r="M77" s="30">
        <f>IF('Peak Areas'!P73=0,0,((('Peak Areas'!P73*Coefficients!$G$32+Coefficients!$H$32)*$G77)))</f>
        <v>0.86899631188385507</v>
      </c>
      <c r="N77" s="30">
        <f>IF('Peak Areas'!Q73=0,0,((('Peak Areas'!Q73*Coefficients!$G$11+Coefficients!$H$11)*$G77)))</f>
        <v>7.9879207863476631E-2</v>
      </c>
      <c r="O77" s="30">
        <f>IF('Peak Areas'!R73=0,0,((('Peak Areas'!R73*Coefficients!$G$39+Coefficients!$H$39)*$G77)))</f>
        <v>0.26782432471657275</v>
      </c>
      <c r="P77" s="30">
        <f>IF('Peak Areas'!S73=0,0,((('Peak Areas'!S73*Coefficients!$G$46+Coefficients!$H$46)*$G77)))</f>
        <v>0</v>
      </c>
      <c r="Q77" s="30">
        <f>IF('Peak Areas'!T73=0,0,((('Peak Areas'!T73*Coefficients!$G$51+Coefficients!$H$51)*$G77)))</f>
        <v>0.67770614851431987</v>
      </c>
      <c r="R77" s="30">
        <f>IF('Peak Areas'!U73=0,0,((('Peak Areas'!U73*Coefficients!$G$26+Coefficients!$H$26)*$G77)))</f>
        <v>0.38543809749130331</v>
      </c>
      <c r="S77" s="30">
        <f>IF('Peak Areas'!V73=0,0,((('Peak Areas'!V73*Coefficients!$G$13+Coefficients!$H$13)*$G77)))</f>
        <v>0.18238435408960332</v>
      </c>
      <c r="T77" s="30">
        <f>IF('Peak Areas'!W73=0,0,((('Peak Areas'!W73*Coefficients!$G$12+Coefficients!$H$12)*$G77)))</f>
        <v>0.17300170850753674</v>
      </c>
      <c r="U77" s="30">
        <f>IF('Peak Areas'!X73=0,0,((('Peak Areas'!X73*Coefficients!$G$27+Coefficients!$H$27)*$G77)))</f>
        <v>3.9316767942746633E-2</v>
      </c>
      <c r="V77" s="30">
        <f>IF('Peak Areas'!Y73=0,0,((('Peak Areas'!Y73*Coefficients!$G$34+Coefficients!$H$34)*$G77)))</f>
        <v>1.1740308967837878</v>
      </c>
      <c r="W77" s="30">
        <f>IF('Peak Areas'!Z73=0,0,((('Peak Areas'!Z73*Coefficients!$G$52+Coefficients!$H$52)*$G77)))</f>
        <v>0.45225834878566995</v>
      </c>
      <c r="X77" s="30">
        <f>IF('Peak Areas'!AA73=0,0,((('Peak Areas'!AA73*Coefficients!$G$33+Coefficients!$H$33)*$G77)))</f>
        <v>0.12138164985265266</v>
      </c>
      <c r="Y77" s="30">
        <f>IF('Peak Areas'!AC73=0,0,((('Peak Areas'!AC73*Coefficients!$G$19+Coefficients!$H$19)*$G77)))</f>
        <v>0.93454908046742247</v>
      </c>
      <c r="Z77" s="30">
        <f>IF('Peak Areas'!AD73=0,0,((('Peak Areas'!AD73*Coefficients!$G$18+Coefficients!$H$18)*$G77)))</f>
        <v>0.15230366887289515</v>
      </c>
      <c r="AA77" s="30">
        <f>IF('Peak Areas'!AE73=0,0,((('Peak Areas'!AE73*Coefficients!$G$18+Coefficients!$H$18)*$G77)))</f>
        <v>6.7982157245213148</v>
      </c>
      <c r="AB77" s="30">
        <f>IF('Peak Areas'!AF73=0,0,((('Peak Areas'!AF73*Coefficients!$G$18+Coefficients!$H$18)*$G77)))</f>
        <v>0.53500050969489721</v>
      </c>
      <c r="AC77" s="30">
        <f>IF('Peak Areas'!AG73=0,0,((('Peak Areas'!AG73*Coefficients!$G$7+Coefficients!$H$7)*$G77)))</f>
        <v>0</v>
      </c>
      <c r="AD77" s="30">
        <f>IF('Peak Areas'!AH73=0,0,((('Peak Areas'!AH73*Coefficients!$G$6+Coefficients!$H$6)*$G77)))</f>
        <v>0.85587421185065127</v>
      </c>
      <c r="AF77" s="30">
        <f>IF('Peak Areas'!K73=0,0,((('Peak Areas'!K73*Coefficients!$G$22+Coefficients!$H$22)*$G77)))</f>
        <v>6.1633494438062278E-2</v>
      </c>
      <c r="AG77" s="30">
        <f t="shared" si="0"/>
        <v>6.8598492189593774</v>
      </c>
      <c r="AH77" s="30">
        <f t="shared" si="1"/>
        <v>7.5471533975271692</v>
      </c>
    </row>
    <row r="78" spans="1:34" x14ac:dyDescent="0.25">
      <c r="A78" s="2">
        <f>'Peak Areas'!A74</f>
        <v>64</v>
      </c>
      <c r="B78" s="62">
        <f>'Peak Areas'!B74</f>
        <v>45841</v>
      </c>
      <c r="C78" s="2" t="str">
        <f>'Peak Areas'!C74</f>
        <v>C+Q low</v>
      </c>
      <c r="D78" s="2">
        <f>'Peak Areas'!D74</f>
        <v>0</v>
      </c>
      <c r="E78" s="2">
        <f>'Peak Areas'!E74</f>
        <v>0</v>
      </c>
      <c r="F78" s="30">
        <f>'Peak Areas'!F74</f>
        <v>0.1</v>
      </c>
      <c r="G78" s="30">
        <f>((1/'Peak Areas'!$G74)*(('Peak Areas'!$H74+('Internal Standard'!$E$10/1000))/'Peak Areas'!$F74)*'Peak Areas'!$J74)*H78</f>
        <v>4.3943167954453036E-2</v>
      </c>
      <c r="H78" s="30">
        <f>(('Internal Standard'!$F$13*('Peak Areas'!G74/'Internal Standard'!$C$10))/'Peak Areas'!AB74)</f>
        <v>1.0339568930459537</v>
      </c>
      <c r="I78" s="30">
        <f>IF('Peak Areas'!L74=0,0,((('Peak Areas'!L74*Coefficients!$G$21+Coefficients!$H$21)*$G78)))</f>
        <v>1.9937170889631255E-2</v>
      </c>
      <c r="J78" s="30">
        <f>IF('Peak Areas'!M74=0,0,((('Peak Areas'!M74*Coefficients!$G$20+Coefficients!$H$20)*$G78)))</f>
        <v>0.10243486642299304</v>
      </c>
      <c r="K78" s="30">
        <f>IF('Peak Areas'!N74=0,0,((('Peak Areas'!N74*Coefficients!$G$41+Coefficients!$H$41)*$G78)))</f>
        <v>8.7578039079625872E-2</v>
      </c>
      <c r="L78" s="30">
        <f>IF('Peak Areas'!O74=0,0,((('Peak Areas'!O74*Coefficients!$G$10+Coefficients!$H$10)*$G78)))</f>
        <v>0</v>
      </c>
      <c r="M78" s="30">
        <f>IF('Peak Areas'!P74=0,0,((('Peak Areas'!P74*Coefficients!$G$32+Coefficients!$H$32)*$G78)))</f>
        <v>0.60000874416492733</v>
      </c>
      <c r="N78" s="30">
        <f>IF('Peak Areas'!Q74=0,0,((('Peak Areas'!Q74*Coefficients!$G$11+Coefficients!$H$11)*$G78)))</f>
        <v>0</v>
      </c>
      <c r="O78" s="30">
        <f>IF('Peak Areas'!R74=0,0,((('Peak Areas'!R74*Coefficients!$G$39+Coefficients!$H$39)*$G78)))</f>
        <v>0.14492859096354413</v>
      </c>
      <c r="P78" s="30">
        <f>IF('Peak Areas'!S74=0,0,((('Peak Areas'!S74*Coefficients!$G$46+Coefficients!$H$46)*$G78)))</f>
        <v>0</v>
      </c>
      <c r="Q78" s="30">
        <f>IF('Peak Areas'!T74=0,0,((('Peak Areas'!T74*Coefficients!$G$51+Coefficients!$H$51)*$G78)))</f>
        <v>0.48213867903692081</v>
      </c>
      <c r="R78" s="30">
        <f>IF('Peak Areas'!U74=0,0,((('Peak Areas'!U74*Coefficients!$G$26+Coefficients!$H$26)*$G78)))</f>
        <v>0.29814477943396828</v>
      </c>
      <c r="S78" s="30">
        <f>IF('Peak Areas'!V74=0,0,((('Peak Areas'!V74*Coefficients!$G$13+Coefficients!$H$13)*$G78)))</f>
        <v>0.15565968060527061</v>
      </c>
      <c r="T78" s="30">
        <f>IF('Peak Areas'!W74=0,0,((('Peak Areas'!W74*Coefficients!$G$12+Coefficients!$H$12)*$G78)))</f>
        <v>0.12940548645509525</v>
      </c>
      <c r="U78" s="30">
        <f>IF('Peak Areas'!X74=0,0,((('Peak Areas'!X74*Coefficients!$G$27+Coefficients!$H$27)*$G78)))</f>
        <v>2.8829997596982924E-2</v>
      </c>
      <c r="V78" s="30">
        <f>IF('Peak Areas'!Y74=0,0,((('Peak Areas'!Y74*Coefficients!$G$34+Coefficients!$H$34)*$G78)))</f>
        <v>0.8407583250468732</v>
      </c>
      <c r="W78" s="30">
        <f>IF('Peak Areas'!Z74=0,0,((('Peak Areas'!Z74*Coefficients!$G$52+Coefficients!$H$52)*$G78)))</f>
        <v>0.35694495382120278</v>
      </c>
      <c r="X78" s="30">
        <f>IF('Peak Areas'!AA74=0,0,((('Peak Areas'!AA74*Coefficients!$G$33+Coefficients!$H$33)*$G78)))</f>
        <v>4.7698904520982716E-2</v>
      </c>
      <c r="Y78" s="30">
        <f>IF('Peak Areas'!AC74=0,0,((('Peak Areas'!AC74*Coefficients!$G$19+Coefficients!$H$19)*$G78)))</f>
        <v>0.64051116070630865</v>
      </c>
      <c r="Z78" s="30">
        <f>IF('Peak Areas'!AD74=0,0,((('Peak Areas'!AD74*Coefficients!$G$18+Coefficients!$H$18)*$G78)))</f>
        <v>7.3936946364375769E-2</v>
      </c>
      <c r="AA78" s="30">
        <f>IF('Peak Areas'!AE74=0,0,((('Peak Areas'!AE74*Coefficients!$G$18+Coefficients!$H$18)*$G78)))</f>
        <v>4.8705041050437181</v>
      </c>
      <c r="AB78" s="30">
        <f>IF('Peak Areas'!AF74=0,0,((('Peak Areas'!AF74*Coefficients!$G$18+Coefficients!$H$18)*$G78)))</f>
        <v>0.37874237669835303</v>
      </c>
      <c r="AC78" s="30">
        <f>IF('Peak Areas'!AG74=0,0,((('Peak Areas'!AG74*Coefficients!$G$7+Coefficients!$H$7)*$G78)))</f>
        <v>0</v>
      </c>
      <c r="AD78" s="30">
        <f>IF('Peak Areas'!AH74=0,0,((('Peak Areas'!AH74*Coefficients!$G$6+Coefficients!$H$6)*$G78)))</f>
        <v>0.44139058755975097</v>
      </c>
      <c r="AF78" s="30">
        <f>IF('Peak Areas'!K74=0,0,((('Peak Areas'!K74*Coefficients!$G$22+Coefficients!$H$22)*$G78)))</f>
        <v>4.3730410520599533E-2</v>
      </c>
      <c r="AG78" s="30">
        <f t="shared" si="0"/>
        <v>4.9142345155643179</v>
      </c>
      <c r="AH78" s="30">
        <f t="shared" si="1"/>
        <v>5.3669138386270472</v>
      </c>
    </row>
    <row r="79" spans="1:34" x14ac:dyDescent="0.25">
      <c r="A79" s="2">
        <f>'Peak Areas'!A75</f>
        <v>65</v>
      </c>
      <c r="B79" s="62">
        <f>'Peak Areas'!B75</f>
        <v>45841</v>
      </c>
      <c r="C79" s="2" t="str">
        <f>'Peak Areas'!C75</f>
        <v>C+Q high</v>
      </c>
      <c r="D79" s="2">
        <f>'Peak Areas'!D75</f>
        <v>0</v>
      </c>
      <c r="E79" s="2">
        <f>'Peak Areas'!E75</f>
        <v>0</v>
      </c>
      <c r="F79" s="30">
        <f>'Peak Areas'!F75</f>
        <v>0.1</v>
      </c>
      <c r="G79" s="30">
        <f>((1/'Peak Areas'!$G75)*(('Peak Areas'!$H75+('Internal Standard'!$E$10/1000))/'Peak Areas'!$F75)*'Peak Areas'!$J75)*H79</f>
        <v>4.4031428357357495E-2</v>
      </c>
      <c r="H79" s="30">
        <f>(('Internal Standard'!$F$13*('Peak Areas'!G75/'Internal Standard'!$C$10))/'Peak Areas'!AB75)</f>
        <v>1.0360336084084116</v>
      </c>
      <c r="I79" s="30">
        <f>IF('Peak Areas'!L75=0,0,((('Peak Areas'!L75*Coefficients!$G$21+Coefficients!$H$21)*$G79)))</f>
        <v>2.1241995886907481E-2</v>
      </c>
      <c r="J79" s="30">
        <f>IF('Peak Areas'!M75=0,0,((('Peak Areas'!M75*Coefficients!$G$20+Coefficients!$H$20)*$G79)))</f>
        <v>0.1076267466125736</v>
      </c>
      <c r="K79" s="30">
        <f>IF('Peak Areas'!N75=0,0,((('Peak Areas'!N75*Coefficients!$G$41+Coefficients!$H$41)*$G79)))</f>
        <v>9.3567028136743516E-2</v>
      </c>
      <c r="L79" s="30">
        <f>IF('Peak Areas'!O75=0,0,((('Peak Areas'!O75*Coefficients!$G$10+Coefficients!$H$10)*$G79)))</f>
        <v>0</v>
      </c>
      <c r="M79" s="30">
        <f>IF('Peak Areas'!P75=0,0,((('Peak Areas'!P75*Coefficients!$G$32+Coefficients!$H$32)*$G79)))</f>
        <v>0.68929134689704064</v>
      </c>
      <c r="N79" s="30">
        <f>IF('Peak Areas'!Q75=0,0,((('Peak Areas'!Q75*Coefficients!$G$11+Coefficients!$H$11)*$G79)))</f>
        <v>5.2095616456450743E-2</v>
      </c>
      <c r="O79" s="30">
        <f>IF('Peak Areas'!R75=0,0,((('Peak Areas'!R75*Coefficients!$G$39+Coefficients!$H$39)*$G79)))</f>
        <v>0.17974696025925913</v>
      </c>
      <c r="P79" s="30">
        <f>IF('Peak Areas'!S75=0,0,((('Peak Areas'!S75*Coefficients!$G$46+Coefficients!$H$46)*$G79)))</f>
        <v>0</v>
      </c>
      <c r="Q79" s="30">
        <f>IF('Peak Areas'!T75=0,0,((('Peak Areas'!T75*Coefficients!$G$51+Coefficients!$H$51)*$G79)))</f>
        <v>0.42566304277278189</v>
      </c>
      <c r="R79" s="30">
        <f>IF('Peak Areas'!U75=0,0,((('Peak Areas'!U75*Coefficients!$G$26+Coefficients!$H$26)*$G79)))</f>
        <v>0.3234580586689671</v>
      </c>
      <c r="S79" s="30">
        <f>IF('Peak Areas'!V75=0,0,((('Peak Areas'!V75*Coefficients!$G$13+Coefficients!$H$13)*$G79)))</f>
        <v>0.1573836256186901</v>
      </c>
      <c r="T79" s="30">
        <f>IF('Peak Areas'!W75=0,0,((('Peak Areas'!W75*Coefficients!$G$12+Coefficients!$H$12)*$G79)))</f>
        <v>0.12916103792199379</v>
      </c>
      <c r="U79" s="30">
        <f>IF('Peak Areas'!X75=0,0,((('Peak Areas'!X75*Coefficients!$G$27+Coefficients!$H$27)*$G79)))</f>
        <v>2.5573708656092049E-2</v>
      </c>
      <c r="V79" s="30">
        <f>IF('Peak Areas'!Y75=0,0,((('Peak Areas'!Y75*Coefficients!$G$34+Coefficients!$H$34)*$G79)))</f>
        <v>0.76849943627483641</v>
      </c>
      <c r="W79" s="30">
        <f>IF('Peak Areas'!Z75=0,0,((('Peak Areas'!Z75*Coefficients!$G$52+Coefficients!$H$52)*$G79)))</f>
        <v>0.3837123777561483</v>
      </c>
      <c r="X79" s="30">
        <f>IF('Peak Areas'!AA75=0,0,((('Peak Areas'!AA75*Coefficients!$G$33+Coefficients!$H$33)*$G79)))</f>
        <v>4.4160548514943561E-2</v>
      </c>
      <c r="Y79" s="30">
        <f>IF('Peak Areas'!AC75=0,0,((('Peak Areas'!AC75*Coefficients!$G$19+Coefficients!$H$19)*$G79)))</f>
        <v>0.5699313961517195</v>
      </c>
      <c r="Z79" s="30">
        <f>IF('Peak Areas'!AD75=0,0,((('Peak Areas'!AD75*Coefficients!$G$18+Coefficients!$H$18)*$G79)))</f>
        <v>0.11029637675690625</v>
      </c>
      <c r="AA79" s="30">
        <f>IF('Peak Areas'!AE75=0,0,((('Peak Areas'!AE75*Coefficients!$G$18+Coefficients!$H$18)*$G79)))</f>
        <v>4.7993064450376899</v>
      </c>
      <c r="AB79" s="30">
        <f>IF('Peak Areas'!AF75=0,0,((('Peak Areas'!AF75*Coefficients!$G$18+Coefficients!$H$18)*$G79)))</f>
        <v>0.37996519534355033</v>
      </c>
      <c r="AC79" s="30">
        <f>IF('Peak Areas'!AG75=0,0,((('Peak Areas'!AG75*Coefficients!$G$7+Coefficients!$H$7)*$G79)))</f>
        <v>0</v>
      </c>
      <c r="AD79" s="30">
        <f>IF('Peak Areas'!AH75=0,0,((('Peak Areas'!AH75*Coefficients!$G$6+Coefficients!$H$6)*$G79)))</f>
        <v>0.66081966737341791</v>
      </c>
      <c r="AF79" s="30">
        <f>IF('Peak Areas'!K75=0,0,((('Peak Areas'!K75*Coefficients!$G$22+Coefficients!$H$22)*$G79)))</f>
        <v>1.6789794324794757E-2</v>
      </c>
      <c r="AG79" s="30">
        <f t="shared" si="0"/>
        <v>4.8160962393624844</v>
      </c>
      <c r="AH79" s="30">
        <f t="shared" si="1"/>
        <v>5.3063578114629415</v>
      </c>
    </row>
    <row r="80" spans="1:34" x14ac:dyDescent="0.25">
      <c r="A80" s="2">
        <f>'Peak Areas'!A76</f>
        <v>66</v>
      </c>
      <c r="B80" s="62">
        <f>'Peak Areas'!B76</f>
        <v>45841</v>
      </c>
      <c r="C80" s="2" t="str">
        <f>'Peak Areas'!C76</f>
        <v>C+Q high</v>
      </c>
      <c r="D80" s="2">
        <f>'Peak Areas'!D76</f>
        <v>0</v>
      </c>
      <c r="E80" s="2">
        <f>'Peak Areas'!E76</f>
        <v>0</v>
      </c>
      <c r="F80" s="30">
        <f>'Peak Areas'!F76</f>
        <v>0.1</v>
      </c>
      <c r="G80" s="30">
        <f>((1/'Peak Areas'!$G76)*(('Peak Areas'!$H76+('Internal Standard'!$E$10/1000))/'Peak Areas'!$F76)*'Peak Areas'!$J76)*H80</f>
        <v>4.3227743106905879E-2</v>
      </c>
      <c r="H80" s="30">
        <f>(('Internal Standard'!$F$13*('Peak Areas'!G76/'Internal Standard'!$C$10))/'Peak Areas'!AB76)</f>
        <v>1.0171233672213147</v>
      </c>
      <c r="I80" s="30">
        <f>IF('Peak Areas'!L76=0,0,((('Peak Areas'!L76*Coefficients!$G$21+Coefficients!$H$21)*$G80)))</f>
        <v>2.2735444234868667E-2</v>
      </c>
      <c r="J80" s="30">
        <f>IF('Peak Areas'!M76=0,0,((('Peak Areas'!M76*Coefficients!$G$20+Coefficients!$H$20)*$G80)))</f>
        <v>0.11159353920643172</v>
      </c>
      <c r="K80" s="30">
        <f>IF('Peak Areas'!N76=0,0,((('Peak Areas'!N76*Coefficients!$G$41+Coefficients!$H$41)*$G80)))</f>
        <v>9.1056765115394026E-2</v>
      </c>
      <c r="L80" s="30">
        <f>IF('Peak Areas'!O76=0,0,((('Peak Areas'!O76*Coefficients!$G$10+Coefficients!$H$10)*$G80)))</f>
        <v>0</v>
      </c>
      <c r="M80" s="30">
        <f>IF('Peak Areas'!P76=0,0,((('Peak Areas'!P76*Coefficients!$G$32+Coefficients!$H$32)*$G80)))</f>
        <v>0.71670043713999965</v>
      </c>
      <c r="N80" s="30">
        <f>IF('Peak Areas'!Q76=0,0,((('Peak Areas'!Q76*Coefficients!$G$11+Coefficients!$H$11)*$G80)))</f>
        <v>5.3367031397983399E-2</v>
      </c>
      <c r="O80" s="30">
        <f>IF('Peak Areas'!R76=0,0,((('Peak Areas'!R76*Coefficients!$G$39+Coefficients!$H$39)*$G80)))</f>
        <v>0.18189636548834429</v>
      </c>
      <c r="P80" s="30">
        <f>IF('Peak Areas'!S76=0,0,((('Peak Areas'!S76*Coefficients!$G$46+Coefficients!$H$46)*$G80)))</f>
        <v>0</v>
      </c>
      <c r="Q80" s="30">
        <f>IF('Peak Areas'!T76=0,0,((('Peak Areas'!T76*Coefficients!$G$51+Coefficients!$H$51)*$G80)))</f>
        <v>0.49169418924137398</v>
      </c>
      <c r="R80" s="30">
        <f>IF('Peak Areas'!U76=0,0,((('Peak Areas'!U76*Coefficients!$G$26+Coefficients!$H$26)*$G80)))</f>
        <v>0.34860696375607503</v>
      </c>
      <c r="S80" s="30">
        <f>IF('Peak Areas'!V76=0,0,((('Peak Areas'!V76*Coefficients!$G$13+Coefficients!$H$13)*$G80)))</f>
        <v>0.16926260647088343</v>
      </c>
      <c r="T80" s="30">
        <f>IF('Peak Areas'!W76=0,0,((('Peak Areas'!W76*Coefficients!$G$12+Coefficients!$H$12)*$G80)))</f>
        <v>0.12882119461594499</v>
      </c>
      <c r="U80" s="30">
        <f>IF('Peak Areas'!X76=0,0,((('Peak Areas'!X76*Coefficients!$G$27+Coefficients!$H$27)*$G80)))</f>
        <v>3.0060320527560816E-2</v>
      </c>
      <c r="V80" s="30">
        <f>IF('Peak Areas'!Y76=0,0,((('Peak Areas'!Y76*Coefficients!$G$34+Coefficients!$H$34)*$G80)))</f>
        <v>0.77517237977534303</v>
      </c>
      <c r="W80" s="30">
        <f>IF('Peak Areas'!Z76=0,0,((('Peak Areas'!Z76*Coefficients!$G$52+Coefficients!$H$52)*$G80)))</f>
        <v>0.44300902137370063</v>
      </c>
      <c r="X80" s="30">
        <f>IF('Peak Areas'!AA76=0,0,((('Peak Areas'!AA76*Coefficients!$G$33+Coefficients!$H$33)*$G80)))</f>
        <v>4.0713387644629971E-2</v>
      </c>
      <c r="Y80" s="30">
        <f>IF('Peak Areas'!AC76=0,0,((('Peak Areas'!AC76*Coefficients!$G$19+Coefficients!$H$19)*$G80)))</f>
        <v>0.58721838688267047</v>
      </c>
      <c r="Z80" s="30">
        <f>IF('Peak Areas'!AD76=0,0,((('Peak Areas'!AD76*Coefficients!$G$18+Coefficients!$H$18)*$G80)))</f>
        <v>0.10162323671516289</v>
      </c>
      <c r="AA80" s="30">
        <f>IF('Peak Areas'!AE76=0,0,((('Peak Areas'!AE76*Coefficients!$G$18+Coefficients!$H$18)*$G80)))</f>
        <v>4.939052627415923</v>
      </c>
      <c r="AB80" s="30">
        <f>IF('Peak Areas'!AF76=0,0,((('Peak Areas'!AF76*Coefficients!$G$18+Coefficients!$H$18)*$G80)))</f>
        <v>0.3887270274420544</v>
      </c>
      <c r="AC80" s="30">
        <f>IF('Peak Areas'!AG76=0,0,((('Peak Areas'!AG76*Coefficients!$G$7+Coefficients!$H$7)*$G80)))</f>
        <v>0</v>
      </c>
      <c r="AD80" s="30">
        <f>IF('Peak Areas'!AH76=0,0,((('Peak Areas'!AH76*Coefficients!$G$6+Coefficients!$H$6)*$G80)))</f>
        <v>0.65684652342759253</v>
      </c>
      <c r="AF80" s="30">
        <f>IF('Peak Areas'!K76=0,0,((('Peak Areas'!K76*Coefficients!$G$22+Coefficients!$H$22)*$G80)))</f>
        <v>1.905910495801251E-2</v>
      </c>
      <c r="AG80" s="30">
        <f t="shared" ref="AG80:AG143" si="2">AA80+AF80</f>
        <v>4.9581117323739354</v>
      </c>
      <c r="AH80" s="30">
        <f t="shared" ref="AH80:AH143" si="3">Z80+AA80+AB80+AF80</f>
        <v>5.4484619965311527</v>
      </c>
    </row>
    <row r="81" spans="1:34" x14ac:dyDescent="0.25">
      <c r="A81" s="2">
        <f>'Peak Areas'!A77</f>
        <v>67</v>
      </c>
      <c r="B81" s="62">
        <f>'Peak Areas'!B77</f>
        <v>45841</v>
      </c>
      <c r="C81" s="2" t="str">
        <f>'Peak Areas'!C77</f>
        <v>C+Q low nut</v>
      </c>
      <c r="D81" s="2">
        <f>'Peak Areas'!D77</f>
        <v>0</v>
      </c>
      <c r="E81" s="2">
        <f>'Peak Areas'!E77</f>
        <v>0</v>
      </c>
      <c r="F81" s="30">
        <f>'Peak Areas'!F77</f>
        <v>0.1</v>
      </c>
      <c r="G81" s="30">
        <f>((1/'Peak Areas'!$G77)*(('Peak Areas'!$H77+('Internal Standard'!$E$10/1000))/'Peak Areas'!$F77)*'Peak Areas'!$J77)*H81</f>
        <v>4.1264283461734615E-2</v>
      </c>
      <c r="H81" s="30">
        <f>(('Internal Standard'!$F$13*('Peak Areas'!G77/'Internal Standard'!$C$10))/'Peak Areas'!AB77)</f>
        <v>0.97092431674669677</v>
      </c>
      <c r="I81" s="30">
        <f>IF('Peak Areas'!L77=0,0,((('Peak Areas'!L77*Coefficients!$G$21+Coefficients!$H$21)*$G81)))</f>
        <v>0.13449554567038771</v>
      </c>
      <c r="J81" s="30">
        <f>IF('Peak Areas'!M77=0,0,((('Peak Areas'!M77*Coefficients!$G$20+Coefficients!$H$20)*$G81)))</f>
        <v>0.36742610514733764</v>
      </c>
      <c r="K81" s="30">
        <f>IF('Peak Areas'!N77=0,0,((('Peak Areas'!N77*Coefficients!$G$41+Coefficients!$H$41)*$G81)))</f>
        <v>0.11561289117602043</v>
      </c>
      <c r="L81" s="30">
        <f>IF('Peak Areas'!O77=0,0,((('Peak Areas'!O77*Coefficients!$G$10+Coefficients!$H$10)*$G81)))</f>
        <v>0</v>
      </c>
      <c r="M81" s="30">
        <f>IF('Peak Areas'!P77=0,0,((('Peak Areas'!P77*Coefficients!$G$32+Coefficients!$H$32)*$G81)))</f>
        <v>1.8589205795146406</v>
      </c>
      <c r="N81" s="30">
        <f>IF('Peak Areas'!Q77=0,0,((('Peak Areas'!Q77*Coefficients!$G$11+Coefficients!$H$11)*$G81)))</f>
        <v>8.9683701318014772E-2</v>
      </c>
      <c r="O81" s="30">
        <f>IF('Peak Areas'!R77=0,0,((('Peak Areas'!R77*Coefficients!$G$39+Coefficients!$H$39)*$G81)))</f>
        <v>0.52973260715914239</v>
      </c>
      <c r="P81" s="30">
        <f>IF('Peak Areas'!S77=0,0,((('Peak Areas'!S77*Coefficients!$G$46+Coefficients!$H$46)*$G81)))</f>
        <v>0</v>
      </c>
      <c r="Q81" s="30">
        <f>IF('Peak Areas'!T77=0,0,((('Peak Areas'!T77*Coefficients!$G$51+Coefficients!$H$51)*$G81)))</f>
        <v>0.70113180560739174</v>
      </c>
      <c r="R81" s="30">
        <f>IF('Peak Areas'!U77=0,0,((('Peak Areas'!U77*Coefficients!$G$26+Coefficients!$H$26)*$G81)))</f>
        <v>0.43266966023130315</v>
      </c>
      <c r="S81" s="30">
        <f>IF('Peak Areas'!V77=0,0,((('Peak Areas'!V77*Coefficients!$G$13+Coefficients!$H$13)*$G81)))</f>
        <v>0.18375889070568438</v>
      </c>
      <c r="T81" s="30">
        <f>IF('Peak Areas'!W77=0,0,((('Peak Areas'!W77*Coefficients!$G$12+Coefficients!$H$12)*$G81)))</f>
        <v>0.25000421344248619</v>
      </c>
      <c r="U81" s="30">
        <f>IF('Peak Areas'!X77=0,0,((('Peak Areas'!X77*Coefficients!$G$27+Coefficients!$H$27)*$G81)))</f>
        <v>4.2694736201782921E-2</v>
      </c>
      <c r="V81" s="30">
        <f>IF('Peak Areas'!Y77=0,0,((('Peak Areas'!Y77*Coefficients!$G$34+Coefficients!$H$34)*$G81)))</f>
        <v>1.70404241904533</v>
      </c>
      <c r="W81" s="30">
        <f>IF('Peak Areas'!Z77=0,0,((('Peak Areas'!Z77*Coefficients!$G$52+Coefficients!$H$52)*$G81)))</f>
        <v>0.53954192763814235</v>
      </c>
      <c r="X81" s="30">
        <f>IF('Peak Areas'!AA77=0,0,((('Peak Areas'!AA77*Coefficients!$G$33+Coefficients!$H$33)*$G81)))</f>
        <v>4.9818629086283442E-2</v>
      </c>
      <c r="Y81" s="30">
        <f>IF('Peak Areas'!AC77=0,0,((('Peak Areas'!AC77*Coefficients!$G$19+Coefficients!$H$19)*$G81)))</f>
        <v>1.8587798391341877</v>
      </c>
      <c r="Z81" s="30">
        <f>IF('Peak Areas'!AD77=0,0,((('Peak Areas'!AD77*Coefficients!$G$18+Coefficients!$H$18)*$G81)))</f>
        <v>0.24658929211765718</v>
      </c>
      <c r="AA81" s="30">
        <f>IF('Peak Areas'!AE77=0,0,((('Peak Areas'!AE77*Coefficients!$G$18+Coefficients!$H$18)*$G81)))</f>
        <v>11.69271510116485</v>
      </c>
      <c r="AB81" s="30">
        <f>IF('Peak Areas'!AF77=0,0,((('Peak Areas'!AF77*Coefficients!$G$18+Coefficients!$H$18)*$G81)))</f>
        <v>0.74829066748201178</v>
      </c>
      <c r="AC81" s="30">
        <f>IF('Peak Areas'!AG77=0,0,((('Peak Areas'!AG77*Coefficients!$G$7+Coefficients!$H$7)*$G81)))</f>
        <v>0</v>
      </c>
      <c r="AD81" s="30">
        <f>IF('Peak Areas'!AH77=0,0,((('Peak Areas'!AH77*Coefficients!$G$6+Coefficients!$H$6)*$G81)))</f>
        <v>1.300146075477655</v>
      </c>
      <c r="AF81" s="30">
        <f>IF('Peak Areas'!K77=0,0,((('Peak Areas'!K77*Coefficients!$G$22+Coefficients!$H$22)*$G81)))</f>
        <v>9.7271431785808993E-2</v>
      </c>
      <c r="AG81" s="30">
        <f t="shared" si="2"/>
        <v>11.78998653295066</v>
      </c>
      <c r="AH81" s="30">
        <f t="shared" si="3"/>
        <v>12.784866492550329</v>
      </c>
    </row>
    <row r="82" spans="1:34" x14ac:dyDescent="0.25">
      <c r="A82" s="2">
        <f>'Peak Areas'!A78</f>
        <v>68</v>
      </c>
      <c r="B82" s="62">
        <f>'Peak Areas'!B78</f>
        <v>45841</v>
      </c>
      <c r="C82" s="2" t="str">
        <f>'Peak Areas'!C78</f>
        <v>C+Q low nut</v>
      </c>
      <c r="D82" s="2">
        <f>'Peak Areas'!D78</f>
        <v>0</v>
      </c>
      <c r="E82" s="2">
        <f>'Peak Areas'!E78</f>
        <v>0</v>
      </c>
      <c r="F82" s="30">
        <f>'Peak Areas'!F78</f>
        <v>0.1</v>
      </c>
      <c r="G82" s="30">
        <f>((1/'Peak Areas'!$G78)*(('Peak Areas'!$H78+('Internal Standard'!$E$10/1000))/'Peak Areas'!$F78)*'Peak Areas'!$J78)*H82</f>
        <v>4.3711390754920851E-2</v>
      </c>
      <c r="H82" s="30">
        <f>(('Internal Standard'!$F$13*('Peak Areas'!G78/'Internal Standard'!$C$10))/'Peak Areas'!AB78)</f>
        <v>1.0285033118804905</v>
      </c>
      <c r="I82" s="30">
        <f>IF('Peak Areas'!L78=0,0,((('Peak Areas'!L78*Coefficients!$G$21+Coefficients!$H$21)*$G82)))</f>
        <v>0.16431252605216359</v>
      </c>
      <c r="J82" s="30">
        <f>IF('Peak Areas'!M78=0,0,((('Peak Areas'!M78*Coefficients!$G$20+Coefficients!$H$20)*$G82)))</f>
        <v>0.43849732217395404</v>
      </c>
      <c r="K82" s="30">
        <f>IF('Peak Areas'!N78=0,0,((('Peak Areas'!N78*Coefficients!$G$41+Coefficients!$H$41)*$G82)))</f>
        <v>0.13840147440242581</v>
      </c>
      <c r="L82" s="30">
        <f>IF('Peak Areas'!O78=0,0,((('Peak Areas'!O78*Coefficients!$G$10+Coefficients!$H$10)*$G82)))</f>
        <v>0</v>
      </c>
      <c r="M82" s="30">
        <f>IF('Peak Areas'!P78=0,0,((('Peak Areas'!P78*Coefficients!$G$32+Coefficients!$H$32)*$G82)))</f>
        <v>2.201789237815821</v>
      </c>
      <c r="N82" s="30">
        <f>IF('Peak Areas'!Q78=0,0,((('Peak Areas'!Q78*Coefficients!$G$11+Coefficients!$H$11)*$G82)))</f>
        <v>0.10869240467312753</v>
      </c>
      <c r="O82" s="30">
        <f>IF('Peak Areas'!R78=0,0,((('Peak Areas'!R78*Coefficients!$G$39+Coefficients!$H$39)*$G82)))</f>
        <v>0.6551256926388862</v>
      </c>
      <c r="P82" s="30">
        <f>IF('Peak Areas'!S78=0,0,((('Peak Areas'!S78*Coefficients!$G$46+Coefficients!$H$46)*$G82)))</f>
        <v>0</v>
      </c>
      <c r="Q82" s="30">
        <f>IF('Peak Areas'!T78=0,0,((('Peak Areas'!T78*Coefficients!$G$51+Coefficients!$H$51)*$G82)))</f>
        <v>0.80781197999432308</v>
      </c>
      <c r="R82" s="30">
        <f>IF('Peak Areas'!U78=0,0,((('Peak Areas'!U78*Coefficients!$G$26+Coefficients!$H$26)*$G82)))</f>
        <v>0.49616003470693532</v>
      </c>
      <c r="S82" s="30">
        <f>IF('Peak Areas'!V78=0,0,((('Peak Areas'!V78*Coefficients!$G$13+Coefficients!$H$13)*$G82)))</f>
        <v>0.20531265333169985</v>
      </c>
      <c r="T82" s="30">
        <f>IF('Peak Areas'!W78=0,0,((('Peak Areas'!W78*Coefficients!$G$12+Coefficients!$H$12)*$G82)))</f>
        <v>0.29960305223003386</v>
      </c>
      <c r="U82" s="30">
        <f>IF('Peak Areas'!X78=0,0,((('Peak Areas'!X78*Coefficients!$G$27+Coefficients!$H$27)*$G82)))</f>
        <v>5.3405559829503284E-2</v>
      </c>
      <c r="V82" s="30">
        <f>IF('Peak Areas'!Y78=0,0,((('Peak Areas'!Y78*Coefficients!$G$34+Coefficients!$H$34)*$G82)))</f>
        <v>1.9257880089944079</v>
      </c>
      <c r="W82" s="30">
        <f>IF('Peak Areas'!Z78=0,0,((('Peak Areas'!Z78*Coefficients!$G$52+Coefficients!$H$52)*$G82)))</f>
        <v>0.62655007550015396</v>
      </c>
      <c r="X82" s="30">
        <f>IF('Peak Areas'!AA78=0,0,((('Peak Areas'!AA78*Coefficients!$G$33+Coefficients!$H$33)*$G82)))</f>
        <v>5.0110177449007046E-2</v>
      </c>
      <c r="Y82" s="30">
        <f>IF('Peak Areas'!AC78=0,0,((('Peak Areas'!AC78*Coefficients!$G$19+Coefficients!$H$19)*$G82)))</f>
        <v>1.9878240439475097</v>
      </c>
      <c r="Z82" s="30">
        <f>IF('Peak Areas'!AD78=0,0,((('Peak Areas'!AD78*Coefficients!$G$18+Coefficients!$H$18)*$G82)))</f>
        <v>0.27976473787610989</v>
      </c>
      <c r="AA82" s="30">
        <f>IF('Peak Areas'!AE78=0,0,((('Peak Areas'!AE78*Coefficients!$G$18+Coefficients!$H$18)*$G82)))</f>
        <v>12.511865927613686</v>
      </c>
      <c r="AB82" s="30">
        <f>IF('Peak Areas'!AF78=0,0,((('Peak Areas'!AF78*Coefficients!$G$18+Coefficients!$H$18)*$G82)))</f>
        <v>0.72300999849512049</v>
      </c>
      <c r="AC82" s="30">
        <f>IF('Peak Areas'!AG78=0,0,((('Peak Areas'!AG78*Coefficients!$G$7+Coefficients!$H$7)*$G82)))</f>
        <v>0</v>
      </c>
      <c r="AD82" s="30">
        <f>IF('Peak Areas'!AH78=0,0,((('Peak Areas'!AH78*Coefficients!$G$6+Coefficients!$H$6)*$G82)))</f>
        <v>0.68500825570971458</v>
      </c>
      <c r="AF82" s="30">
        <f>IF('Peak Areas'!K78=0,0,((('Peak Areas'!K78*Coefficients!$G$22+Coefficients!$H$22)*$G82)))</f>
        <v>0.12575860312788395</v>
      </c>
      <c r="AG82" s="30">
        <f t="shared" si="2"/>
        <v>12.63762453074157</v>
      </c>
      <c r="AH82" s="30">
        <f t="shared" si="3"/>
        <v>13.640399267112802</v>
      </c>
    </row>
    <row r="83" spans="1:34" x14ac:dyDescent="0.25">
      <c r="A83" s="2">
        <f>'Peak Areas'!A79</f>
        <v>69</v>
      </c>
      <c r="B83" s="62">
        <f>'Peak Areas'!B79</f>
        <v>45841</v>
      </c>
      <c r="C83" s="2" t="str">
        <f>'Peak Areas'!C79</f>
        <v>C+Q high nut</v>
      </c>
      <c r="D83" s="2">
        <f>'Peak Areas'!D79</f>
        <v>0</v>
      </c>
      <c r="E83" s="2">
        <f>'Peak Areas'!E79</f>
        <v>0</v>
      </c>
      <c r="F83" s="30">
        <f>'Peak Areas'!F79</f>
        <v>0.1</v>
      </c>
      <c r="G83" s="30">
        <f>((1/'Peak Areas'!$G79)*(('Peak Areas'!$H79+('Internal Standard'!$E$10/1000))/'Peak Areas'!$F79)*'Peak Areas'!$J79)*H83</f>
        <v>4.7553892619355213E-2</v>
      </c>
      <c r="H83" s="30">
        <f>(('Internal Standard'!$F$13*('Peak Areas'!G79/'Internal Standard'!$C$10))/'Peak Areas'!AB79)</f>
        <v>1.1189151204554166</v>
      </c>
      <c r="I83" s="30">
        <f>IF('Peak Areas'!L79=0,0,((('Peak Areas'!L79*Coefficients!$G$21+Coefficients!$H$21)*$G83)))</f>
        <v>0.14828200260431779</v>
      </c>
      <c r="J83" s="30">
        <f>IF('Peak Areas'!M79=0,0,((('Peak Areas'!M79*Coefficients!$G$20+Coefficients!$H$20)*$G83)))</f>
        <v>0.38735472002147803</v>
      </c>
      <c r="K83" s="30">
        <f>IF('Peak Areas'!N79=0,0,((('Peak Areas'!N79*Coefficients!$G$41+Coefficients!$H$41)*$G83)))</f>
        <v>0.11080359442088382</v>
      </c>
      <c r="L83" s="30">
        <f>IF('Peak Areas'!O79=0,0,((('Peak Areas'!O79*Coefficients!$G$10+Coefficients!$H$10)*$G83)))</f>
        <v>0</v>
      </c>
      <c r="M83" s="30">
        <f>IF('Peak Areas'!P79=0,0,((('Peak Areas'!P79*Coefficients!$G$32+Coefficients!$H$32)*$G83)))</f>
        <v>1.7593978818378446</v>
      </c>
      <c r="N83" s="30">
        <f>IF('Peak Areas'!Q79=0,0,((('Peak Areas'!Q79*Coefficients!$G$11+Coefficients!$H$11)*$G83)))</f>
        <v>3.3908691886254477E-2</v>
      </c>
      <c r="O83" s="30">
        <f>IF('Peak Areas'!R79=0,0,((('Peak Areas'!R79*Coefficients!$G$39+Coefficients!$H$39)*$G83)))</f>
        <v>0.4145180698732483</v>
      </c>
      <c r="P83" s="30">
        <f>IF('Peak Areas'!S79=0,0,((('Peak Areas'!S79*Coefficients!$G$46+Coefficients!$H$46)*$G83)))</f>
        <v>0</v>
      </c>
      <c r="Q83" s="30">
        <f>IF('Peak Areas'!T79=0,0,((('Peak Areas'!T79*Coefficients!$G$51+Coefficients!$H$51)*$G83)))</f>
        <v>0.77753155349355607</v>
      </c>
      <c r="R83" s="30">
        <f>IF('Peak Areas'!U79=0,0,((('Peak Areas'!U79*Coefficients!$G$26+Coefficients!$H$26)*$G83)))</f>
        <v>0.45100581699233344</v>
      </c>
      <c r="S83" s="30">
        <f>IF('Peak Areas'!V79=0,0,((('Peak Areas'!V79*Coefficients!$G$13+Coefficients!$H$13)*$G83)))</f>
        <v>0.18612842269229007</v>
      </c>
      <c r="T83" s="30">
        <f>IF('Peak Areas'!W79=0,0,((('Peak Areas'!W79*Coefficients!$G$12+Coefficients!$H$12)*$G83)))</f>
        <v>0.27762392231778055</v>
      </c>
      <c r="U83" s="30">
        <f>IF('Peak Areas'!X79=0,0,((('Peak Areas'!X79*Coefficients!$G$27+Coefficients!$H$27)*$G83)))</f>
        <v>4.3598922836078129E-2</v>
      </c>
      <c r="V83" s="30">
        <f>IF('Peak Areas'!Y79=0,0,((('Peak Areas'!Y79*Coefficients!$G$34+Coefficients!$H$34)*$G83)))</f>
        <v>1.8685977826212645</v>
      </c>
      <c r="W83" s="30">
        <f>IF('Peak Areas'!Z79=0,0,((('Peak Areas'!Z79*Coefficients!$G$52+Coefficients!$H$52)*$G83)))</f>
        <v>0.42044618755183988</v>
      </c>
      <c r="X83" s="30">
        <f>IF('Peak Areas'!AA79=0,0,((('Peak Areas'!AA79*Coefficients!$G$33+Coefficients!$H$33)*$G83)))</f>
        <v>0.10799390213605675</v>
      </c>
      <c r="Y83" s="30">
        <f>IF('Peak Areas'!AC79=0,0,((('Peak Areas'!AC79*Coefficients!$G$19+Coefficients!$H$19)*$G83)))</f>
        <v>1.8893510041127277</v>
      </c>
      <c r="Z83" s="30">
        <f>IF('Peak Areas'!AD79=0,0,((('Peak Areas'!AD79*Coefficients!$G$18+Coefficients!$H$18)*$G83)))</f>
        <v>0.26479087834897297</v>
      </c>
      <c r="AA83" s="30">
        <f>IF('Peak Areas'!AE79=0,0,((('Peak Areas'!AE79*Coefficients!$G$18+Coefficients!$H$18)*$G83)))</f>
        <v>11.170905106595539</v>
      </c>
      <c r="AB83" s="30">
        <f>IF('Peak Areas'!AF79=0,0,((('Peak Areas'!AF79*Coefficients!$G$18+Coefficients!$H$18)*$G83)))</f>
        <v>0.73637975947365542</v>
      </c>
      <c r="AC83" s="30">
        <f>IF('Peak Areas'!AG79=0,0,((('Peak Areas'!AG79*Coefficients!$G$7+Coefficients!$H$7)*$G83)))</f>
        <v>0</v>
      </c>
      <c r="AD83" s="30">
        <f>IF('Peak Areas'!AH79=0,0,((('Peak Areas'!AH79*Coefficients!$G$6+Coefficients!$H$6)*$G83)))</f>
        <v>1.336251511153723</v>
      </c>
      <c r="AF83" s="30">
        <f>IF('Peak Areas'!K79=0,0,((('Peak Areas'!K79*Coefficients!$G$22+Coefficients!$H$22)*$G83)))</f>
        <v>0.13874866666417512</v>
      </c>
      <c r="AG83" s="30">
        <f t="shared" si="2"/>
        <v>11.309653773259715</v>
      </c>
      <c r="AH83" s="30">
        <f t="shared" si="3"/>
        <v>12.310824411082343</v>
      </c>
    </row>
    <row r="84" spans="1:34" x14ac:dyDescent="0.25">
      <c r="A84" s="2">
        <f>'Peak Areas'!A80</f>
        <v>70</v>
      </c>
      <c r="B84" s="62">
        <f>'Peak Areas'!B80</f>
        <v>45841</v>
      </c>
      <c r="C84" s="2" t="str">
        <f>'Peak Areas'!C80</f>
        <v>C+Q high nut</v>
      </c>
      <c r="D84" s="2">
        <f>'Peak Areas'!D80</f>
        <v>0</v>
      </c>
      <c r="E84" s="2">
        <f>'Peak Areas'!E80</f>
        <v>0</v>
      </c>
      <c r="F84" s="30">
        <f>'Peak Areas'!F80</f>
        <v>0.1</v>
      </c>
      <c r="G84" s="30">
        <f>((1/'Peak Areas'!$G80)*(('Peak Areas'!$H80+('Internal Standard'!$E$10/1000))/'Peak Areas'!$F80)*'Peak Areas'!$J80)*H84</f>
        <v>4.6186543796465841E-2</v>
      </c>
      <c r="H84" s="30">
        <f>(('Internal Standard'!$F$13*('Peak Areas'!G80/'Internal Standard'!$C$10))/'Peak Areas'!AB80)</f>
        <v>1.0867422069756667</v>
      </c>
      <c r="I84" s="30">
        <f>IF('Peak Areas'!L80=0,0,((('Peak Areas'!L80*Coefficients!$G$21+Coefficients!$H$21)*$G84)))</f>
        <v>0.10881474979751672</v>
      </c>
      <c r="J84" s="30">
        <f>IF('Peak Areas'!M80=0,0,((('Peak Areas'!M80*Coefficients!$G$20+Coefficients!$H$20)*$G84)))</f>
        <v>0.33111250597274461</v>
      </c>
      <c r="K84" s="30">
        <f>IF('Peak Areas'!N80=0,0,((('Peak Areas'!N80*Coefficients!$G$41+Coefficients!$H$41)*$G84)))</f>
        <v>9.8851771452496268E-2</v>
      </c>
      <c r="L84" s="30">
        <f>IF('Peak Areas'!O80=0,0,((('Peak Areas'!O80*Coefficients!$G$10+Coefficients!$H$10)*$G84)))</f>
        <v>0</v>
      </c>
      <c r="M84" s="30">
        <f>IF('Peak Areas'!P80=0,0,((('Peak Areas'!P80*Coefficients!$G$32+Coefficients!$H$32)*$G84)))</f>
        <v>1.8012362714663375</v>
      </c>
      <c r="N84" s="30">
        <f>IF('Peak Areas'!Q80=0,0,((('Peak Areas'!Q80*Coefficients!$G$11+Coefficients!$H$11)*$G84)))</f>
        <v>8.875606214493878E-2</v>
      </c>
      <c r="O84" s="30">
        <f>IF('Peak Areas'!R80=0,0,((('Peak Areas'!R80*Coefficients!$G$39+Coefficients!$H$39)*$G84)))</f>
        <v>0.59301563913381405</v>
      </c>
      <c r="P84" s="30">
        <f>IF('Peak Areas'!S80=0,0,((('Peak Areas'!S80*Coefficients!$G$46+Coefficients!$H$46)*$G84)))</f>
        <v>0</v>
      </c>
      <c r="Q84" s="30">
        <f>IF('Peak Areas'!T80=0,0,((('Peak Areas'!T80*Coefficients!$G$51+Coefficients!$H$51)*$G84)))</f>
        <v>0.78195122404130879</v>
      </c>
      <c r="R84" s="30">
        <f>IF('Peak Areas'!U80=0,0,((('Peak Areas'!U80*Coefficients!$G$26+Coefficients!$H$26)*$G84)))</f>
        <v>0.44177004165231176</v>
      </c>
      <c r="S84" s="30">
        <f>IF('Peak Areas'!V80=0,0,((('Peak Areas'!V80*Coefficients!$G$13+Coefficients!$H$13)*$G84)))</f>
        <v>0.18177263773012331</v>
      </c>
      <c r="T84" s="30">
        <f>IF('Peak Areas'!W80=0,0,((('Peak Areas'!W80*Coefficients!$G$12+Coefficients!$H$12)*$G84)))</f>
        <v>0.26480061629244228</v>
      </c>
      <c r="U84" s="30">
        <f>IF('Peak Areas'!X80=0,0,((('Peak Areas'!X80*Coefficients!$G$27+Coefficients!$H$27)*$G84)))</f>
        <v>4.7268763061219216E-2</v>
      </c>
      <c r="V84" s="30">
        <f>IF('Peak Areas'!Y80=0,0,((('Peak Areas'!Y80*Coefficients!$G$34+Coefficients!$H$34)*$G84)))</f>
        <v>1.8782457476979528</v>
      </c>
      <c r="W84" s="30">
        <f>IF('Peak Areas'!Z80=0,0,((('Peak Areas'!Z80*Coefficients!$G$52+Coefficients!$H$52)*$G84)))</f>
        <v>0.44031634624319566</v>
      </c>
      <c r="X84" s="30">
        <f>IF('Peak Areas'!AA80=0,0,((('Peak Areas'!AA80*Coefficients!$G$33+Coefficients!$H$33)*$G84)))</f>
        <v>9.1365038450876082E-2</v>
      </c>
      <c r="Y84" s="30">
        <f>IF('Peak Areas'!AC80=0,0,((('Peak Areas'!AC80*Coefficients!$G$19+Coefficients!$H$19)*$G84)))</f>
        <v>1.8943004270220991</v>
      </c>
      <c r="Z84" s="30">
        <f>IF('Peak Areas'!AD80=0,0,((('Peak Areas'!AD80*Coefficients!$G$18+Coefficients!$H$18)*$G84)))</f>
        <v>0.23831156435503142</v>
      </c>
      <c r="AA84" s="30">
        <f>IF('Peak Areas'!AE80=0,0,((('Peak Areas'!AE80*Coefficients!$G$18+Coefficients!$H$18)*$G84)))</f>
        <v>10.910931426843105</v>
      </c>
      <c r="AB84" s="30">
        <f>IF('Peak Areas'!AF80=0,0,((('Peak Areas'!AF80*Coefficients!$G$18+Coefficients!$H$18)*$G84)))</f>
        <v>0.71444996528795035</v>
      </c>
      <c r="AC84" s="30">
        <f>IF('Peak Areas'!AG80=0,0,((('Peak Areas'!AG80*Coefficients!$G$7+Coefficients!$H$7)*$G84)))</f>
        <v>0.18525790797652039</v>
      </c>
      <c r="AD84" s="30">
        <f>IF('Peak Areas'!AH80=0,0,((('Peak Areas'!AH80*Coefficients!$G$6+Coefficients!$H$6)*$G84)))</f>
        <v>1.3129395053675912</v>
      </c>
      <c r="AF84" s="30">
        <f>IF('Peak Areas'!K80=0,0,((('Peak Areas'!K80*Coefficients!$G$22+Coefficients!$H$22)*$G84)))</f>
        <v>8.5028893598966829E-2</v>
      </c>
      <c r="AG84" s="30">
        <f t="shared" si="2"/>
        <v>10.995960320442071</v>
      </c>
      <c r="AH84" s="30">
        <f t="shared" si="3"/>
        <v>11.948721850085054</v>
      </c>
    </row>
    <row r="85" spans="1:34" x14ac:dyDescent="0.25">
      <c r="A85" s="2">
        <f>'Peak Areas'!A81</f>
        <v>71</v>
      </c>
      <c r="B85" s="62">
        <f>'Peak Areas'!B81</f>
        <v>45841</v>
      </c>
      <c r="C85" s="2" t="str">
        <f>'Peak Areas'!C81</f>
        <v>C+D low</v>
      </c>
      <c r="D85" s="2">
        <f>'Peak Areas'!D81</f>
        <v>0</v>
      </c>
      <c r="E85" s="2">
        <f>'Peak Areas'!E81</f>
        <v>0</v>
      </c>
      <c r="F85" s="30">
        <f>'Peak Areas'!F81</f>
        <v>0.1</v>
      </c>
      <c r="G85" s="30">
        <f>((1/'Peak Areas'!$G81)*(('Peak Areas'!$H81+('Internal Standard'!$E$10/1000))/'Peak Areas'!$F81)*'Peak Areas'!$J81)*H85</f>
        <v>5.2370022513015341E-2</v>
      </c>
      <c r="H85" s="30">
        <f>(('Internal Standard'!$F$13*('Peak Areas'!G81/'Internal Standard'!$C$10))/'Peak Areas'!AB81)</f>
        <v>1.232235823835655</v>
      </c>
      <c r="I85" s="30">
        <f>IF('Peak Areas'!L81=0,0,((('Peak Areas'!L81*Coefficients!$G$21+Coefficients!$H$21)*$G85)))</f>
        <v>9.9667590041137719E-2</v>
      </c>
      <c r="J85" s="30">
        <f>IF('Peak Areas'!M81=0,0,((('Peak Areas'!M81*Coefficients!$G$20+Coefficients!$H$20)*$G85)))</f>
        <v>0.19825661179536419</v>
      </c>
      <c r="K85" s="30">
        <f>IF('Peak Areas'!N81=0,0,((('Peak Areas'!N81*Coefficients!$G$41+Coefficients!$H$41)*$G85)))</f>
        <v>0.10478146824747785</v>
      </c>
      <c r="L85" s="30">
        <f>IF('Peak Areas'!O81=0,0,((('Peak Areas'!O81*Coefficients!$G$10+Coefficients!$H$10)*$G85)))</f>
        <v>0</v>
      </c>
      <c r="M85" s="30">
        <f>IF('Peak Areas'!P81=0,0,((('Peak Areas'!P81*Coefficients!$G$32+Coefficients!$H$32)*$G85)))</f>
        <v>0.93843328036447426</v>
      </c>
      <c r="N85" s="30">
        <f>IF('Peak Areas'!Q81=0,0,((('Peak Areas'!Q81*Coefficients!$G$11+Coefficients!$H$11)*$G85)))</f>
        <v>4.9384455558095987E-2</v>
      </c>
      <c r="O85" s="30">
        <f>IF('Peak Areas'!R81=0,0,((('Peak Areas'!R81*Coefficients!$G$39+Coefficients!$H$39)*$G85)))</f>
        <v>0.19725501040348395</v>
      </c>
      <c r="P85" s="30">
        <f>IF('Peak Areas'!S81=0,0,((('Peak Areas'!S81*Coefficients!$G$46+Coefficients!$H$46)*$G85)))</f>
        <v>0</v>
      </c>
      <c r="Q85" s="30">
        <f>IF('Peak Areas'!T81=0,0,((('Peak Areas'!T81*Coefficients!$G$51+Coefficients!$H$51)*$G85)))</f>
        <v>0.49449524254241339</v>
      </c>
      <c r="R85" s="30">
        <f>IF('Peak Areas'!U81=0,0,((('Peak Areas'!U81*Coefficients!$G$26+Coefficients!$H$26)*$G85)))</f>
        <v>0.39916090669287885</v>
      </c>
      <c r="S85" s="30">
        <f>IF('Peak Areas'!V81=0,0,((('Peak Areas'!V81*Coefficients!$G$13+Coefficients!$H$13)*$G85)))</f>
        <v>0.18278319194453632</v>
      </c>
      <c r="T85" s="30">
        <f>IF('Peak Areas'!W81=0,0,((('Peak Areas'!W81*Coefficients!$G$12+Coefficients!$H$12)*$G85)))</f>
        <v>0.15675945448113113</v>
      </c>
      <c r="U85" s="30">
        <f>IF('Peak Areas'!X81=0,0,((('Peak Areas'!X81*Coefficients!$G$27+Coefficients!$H$27)*$G85)))</f>
        <v>3.4901216773575931E-2</v>
      </c>
      <c r="V85" s="30">
        <f>IF('Peak Areas'!Y81=0,0,((('Peak Areas'!Y81*Coefficients!$G$34+Coefficients!$H$34)*$G85)))</f>
        <v>0.87894844394392191</v>
      </c>
      <c r="W85" s="30">
        <f>IF('Peak Areas'!Z81=0,0,((('Peak Areas'!Z81*Coefficients!$G$52+Coefficients!$H$52)*$G85)))</f>
        <v>0.51395781184771738</v>
      </c>
      <c r="X85" s="30">
        <f>IF('Peak Areas'!AA81=0,0,((('Peak Areas'!AA81*Coefficients!$G$33+Coefficients!$H$33)*$G85)))</f>
        <v>5.1438319648891125E-2</v>
      </c>
      <c r="Y85" s="30">
        <f>IF('Peak Areas'!AC81=0,0,((('Peak Areas'!AC81*Coefficients!$G$19+Coefficients!$H$19)*$G85)))</f>
        <v>0.74942042046317026</v>
      </c>
      <c r="Z85" s="30">
        <f>IF('Peak Areas'!AD81=0,0,((('Peak Areas'!AD81*Coefficients!$G$18+Coefficients!$H$18)*$G85)))</f>
        <v>0.12790835445370763</v>
      </c>
      <c r="AA85" s="30">
        <f>IF('Peak Areas'!AE81=0,0,((('Peak Areas'!AE81*Coefficients!$G$18+Coefficients!$H$18)*$G85)))</f>
        <v>6.0398773465723945</v>
      </c>
      <c r="AB85" s="30">
        <f>IF('Peak Areas'!AF81=0,0,((('Peak Areas'!AF81*Coefficients!$G$18+Coefficients!$H$18)*$G85)))</f>
        <v>0.49371569542229493</v>
      </c>
      <c r="AC85" s="30">
        <f>IF('Peak Areas'!AG81=0,0,((('Peak Areas'!AG81*Coefficients!$G$7+Coefficients!$H$7)*$G85)))</f>
        <v>0</v>
      </c>
      <c r="AD85" s="30">
        <f>IF('Peak Areas'!AH81=0,0,((('Peak Areas'!AH81*Coefficients!$G$6+Coefficients!$H$6)*$G85)))</f>
        <v>0.87665890704714056</v>
      </c>
      <c r="AF85" s="30">
        <f>IF('Peak Areas'!K81=0,0,((('Peak Areas'!K81*Coefficients!$G$22+Coefficients!$H$22)*$G85)))</f>
        <v>5.5056221999131121E-2</v>
      </c>
      <c r="AG85" s="30">
        <f t="shared" si="2"/>
        <v>6.094933568571526</v>
      </c>
      <c r="AH85" s="30">
        <f t="shared" si="3"/>
        <v>6.7165576184475286</v>
      </c>
    </row>
    <row r="86" spans="1:34" x14ac:dyDescent="0.25">
      <c r="A86" s="2">
        <f>'Peak Areas'!A82</f>
        <v>72</v>
      </c>
      <c r="B86" s="62">
        <f>'Peak Areas'!B82</f>
        <v>45841</v>
      </c>
      <c r="C86" s="2" t="str">
        <f>'Peak Areas'!C82</f>
        <v>C+D low</v>
      </c>
      <c r="D86" s="2">
        <f>'Peak Areas'!D82</f>
        <v>0</v>
      </c>
      <c r="E86" s="2">
        <f>'Peak Areas'!E82</f>
        <v>0</v>
      </c>
      <c r="F86" s="30">
        <f>'Peak Areas'!F82</f>
        <v>0.1</v>
      </c>
      <c r="G86" s="30">
        <f>((1/'Peak Areas'!$G82)*(('Peak Areas'!$H82+('Internal Standard'!$E$10/1000))/'Peak Areas'!$F82)*'Peak Areas'!$J82)*H86</f>
        <v>5.4706485419198064E-2</v>
      </c>
      <c r="H86" s="30">
        <f>(('Internal Standard'!$F$13*('Peak Areas'!G82/'Internal Standard'!$C$10))/'Peak Areas'!AB82)</f>
        <v>1.2872114216281896</v>
      </c>
      <c r="I86" s="30">
        <f>IF('Peak Areas'!L82=0,0,((('Peak Areas'!L82*Coefficients!$G$21+Coefficients!$H$21)*$G86)))</f>
        <v>0.12968901688787746</v>
      </c>
      <c r="J86" s="30">
        <f>IF('Peak Areas'!M82=0,0,((('Peak Areas'!M82*Coefficients!$G$20+Coefficients!$H$20)*$G86)))</f>
        <v>0.19004319214472959</v>
      </c>
      <c r="K86" s="30">
        <f>IF('Peak Areas'!N82=0,0,((('Peak Areas'!N82*Coefficients!$G$41+Coefficients!$H$41)*$G86)))</f>
        <v>8.602370404283112E-2</v>
      </c>
      <c r="L86" s="30">
        <f>IF('Peak Areas'!O82=0,0,((('Peak Areas'!O82*Coefficients!$G$10+Coefficients!$H$10)*$G86)))</f>
        <v>0</v>
      </c>
      <c r="M86" s="30">
        <f>IF('Peak Areas'!P82=0,0,((('Peak Areas'!P82*Coefficients!$G$32+Coefficients!$H$32)*$G86)))</f>
        <v>0.84460561821560798</v>
      </c>
      <c r="N86" s="30">
        <f>IF('Peak Areas'!Q82=0,0,((('Peak Areas'!Q82*Coefficients!$G$11+Coefficients!$H$11)*$G86)))</f>
        <v>4.576029232762114E-2</v>
      </c>
      <c r="O86" s="30">
        <f>IF('Peak Areas'!R82=0,0,((('Peak Areas'!R82*Coefficients!$G$39+Coefficients!$H$39)*$G86)))</f>
        <v>0.14925152276651543</v>
      </c>
      <c r="P86" s="30">
        <f>IF('Peak Areas'!S82=0,0,((('Peak Areas'!S82*Coefficients!$G$46+Coefficients!$H$46)*$G86)))</f>
        <v>0</v>
      </c>
      <c r="Q86" s="30">
        <f>IF('Peak Areas'!T82=0,0,((('Peak Areas'!T82*Coefficients!$G$51+Coefficients!$H$51)*$G86)))</f>
        <v>0.47988737562659561</v>
      </c>
      <c r="R86" s="30">
        <f>IF('Peak Areas'!U82=0,0,((('Peak Areas'!U82*Coefficients!$G$26+Coefficients!$H$26)*$G86)))</f>
        <v>0.38347696638071349</v>
      </c>
      <c r="S86" s="30">
        <f>IF('Peak Areas'!V82=0,0,((('Peak Areas'!V82*Coefficients!$G$13+Coefficients!$H$13)*$G86)))</f>
        <v>0.16929025456264035</v>
      </c>
      <c r="T86" s="30">
        <f>IF('Peak Areas'!W82=0,0,((('Peak Areas'!W82*Coefficients!$G$12+Coefficients!$H$12)*$G86)))</f>
        <v>0.14155652985794737</v>
      </c>
      <c r="U86" s="30">
        <f>IF('Peak Areas'!X82=0,0,((('Peak Areas'!X82*Coefficients!$G$27+Coefficients!$H$27)*$G86)))</f>
        <v>3.2306480602472099E-2</v>
      </c>
      <c r="V86" s="30">
        <f>IF('Peak Areas'!Y82=0,0,((('Peak Areas'!Y82*Coefficients!$G$34+Coefficients!$H$34)*$G86)))</f>
        <v>0.72793275698776216</v>
      </c>
      <c r="W86" s="30">
        <f>IF('Peak Areas'!Z82=0,0,((('Peak Areas'!Z82*Coefficients!$G$52+Coefficients!$H$52)*$G86)))</f>
        <v>0.51495593652844773</v>
      </c>
      <c r="X86" s="30">
        <f>IF('Peak Areas'!AA82=0,0,((('Peak Areas'!AA82*Coefficients!$G$33+Coefficients!$H$33)*$G86)))</f>
        <v>0</v>
      </c>
      <c r="Y86" s="30">
        <f>IF('Peak Areas'!AC82=0,0,((('Peak Areas'!AC82*Coefficients!$G$19+Coefficients!$H$19)*$G86)))</f>
        <v>0.5796841552234584</v>
      </c>
      <c r="Z86" s="30">
        <f>IF('Peak Areas'!AD82=0,0,((('Peak Areas'!AD82*Coefficients!$G$18+Coefficients!$H$18)*$G86)))</f>
        <v>0.11248640307184085</v>
      </c>
      <c r="AA86" s="30">
        <f>IF('Peak Areas'!AE82=0,0,((('Peak Areas'!AE82*Coefficients!$G$18+Coefficients!$H$18)*$G86)))</f>
        <v>5.3518541090750311</v>
      </c>
      <c r="AB86" s="30">
        <f>IF('Peak Areas'!AF82=0,0,((('Peak Areas'!AF82*Coefficients!$G$18+Coefficients!$H$18)*$G86)))</f>
        <v>0.4762873649054527</v>
      </c>
      <c r="AC86" s="30">
        <f>IF('Peak Areas'!AG82=0,0,((('Peak Areas'!AG82*Coefficients!$G$7+Coefficients!$H$7)*$G86)))</f>
        <v>0</v>
      </c>
      <c r="AD86" s="30">
        <f>IF('Peak Areas'!AH82=0,0,((('Peak Areas'!AH82*Coefficients!$G$6+Coefficients!$H$6)*$G86)))</f>
        <v>0.52811674898866956</v>
      </c>
      <c r="AF86" s="30">
        <f>IF('Peak Areas'!K82=0,0,((('Peak Areas'!K82*Coefficients!$G$22+Coefficients!$H$22)*$G86)))</f>
        <v>5.4352171714054723E-2</v>
      </c>
      <c r="AG86" s="30">
        <f t="shared" si="2"/>
        <v>5.4062062807890863</v>
      </c>
      <c r="AH86" s="30">
        <f t="shared" si="3"/>
        <v>5.9949800487663794</v>
      </c>
    </row>
    <row r="87" spans="1:34" x14ac:dyDescent="0.25">
      <c r="A87" s="2">
        <f>'Peak Areas'!A83</f>
        <v>73</v>
      </c>
      <c r="B87" s="62">
        <f>'Peak Areas'!B83</f>
        <v>45841</v>
      </c>
      <c r="C87" s="2" t="str">
        <f>'Peak Areas'!C83</f>
        <v>C+D high</v>
      </c>
      <c r="D87" s="2">
        <f>'Peak Areas'!D83</f>
        <v>0</v>
      </c>
      <c r="E87" s="2">
        <f>'Peak Areas'!E83</f>
        <v>0</v>
      </c>
      <c r="F87" s="30">
        <f>'Peak Areas'!F83</f>
        <v>0.1</v>
      </c>
      <c r="G87" s="30">
        <f>((1/'Peak Areas'!$G83)*(('Peak Areas'!$H83+('Internal Standard'!$E$10/1000))/'Peak Areas'!$F83)*'Peak Areas'!$J83)*H87</f>
        <v>4.2947194628497581E-2</v>
      </c>
      <c r="H87" s="30">
        <f>(('Internal Standard'!$F$13*('Peak Areas'!G83/'Internal Standard'!$C$10))/'Peak Areas'!AB83)</f>
        <v>1.0105222265528842</v>
      </c>
      <c r="I87" s="30">
        <f>IF('Peak Areas'!L83=0,0,((('Peak Areas'!L83*Coefficients!$G$21+Coefficients!$H$21)*$G87)))</f>
        <v>4.938865184603862E-2</v>
      </c>
      <c r="J87" s="30">
        <f>IF('Peak Areas'!M83=0,0,((('Peak Areas'!M83*Coefficients!$G$20+Coefficients!$H$20)*$G87)))</f>
        <v>0.12420050982820262</v>
      </c>
      <c r="K87" s="30">
        <f>IF('Peak Areas'!N83=0,0,((('Peak Areas'!N83*Coefficients!$G$41+Coefficients!$H$41)*$G87)))</f>
        <v>6.2823890184228071E-2</v>
      </c>
      <c r="L87" s="30">
        <f>IF('Peak Areas'!O83=0,0,((('Peak Areas'!O83*Coefficients!$G$10+Coefficients!$H$10)*$G87)))</f>
        <v>0</v>
      </c>
      <c r="M87" s="30">
        <f>IF('Peak Areas'!P83=0,0,((('Peak Areas'!P83*Coefficients!$G$32+Coefficients!$H$32)*$G87)))</f>
        <v>1.0505250738801448</v>
      </c>
      <c r="N87" s="30">
        <f>IF('Peak Areas'!Q83=0,0,((('Peak Areas'!Q83*Coefficients!$G$11+Coefficients!$H$11)*$G87)))</f>
        <v>0.11744974327182252</v>
      </c>
      <c r="O87" s="30">
        <f>IF('Peak Areas'!R83=0,0,((('Peak Areas'!R83*Coefficients!$G$39+Coefficients!$H$39)*$G87)))</f>
        <v>0.19500694008981587</v>
      </c>
      <c r="P87" s="30">
        <f>IF('Peak Areas'!S83=0,0,((('Peak Areas'!S83*Coefficients!$G$46+Coefficients!$H$46)*$G87)))</f>
        <v>0</v>
      </c>
      <c r="Q87" s="30">
        <f>IF('Peak Areas'!T83=0,0,((('Peak Areas'!T83*Coefficients!$G$51+Coefficients!$H$51)*$G87)))</f>
        <v>0.47463829979923594</v>
      </c>
      <c r="R87" s="30">
        <f>IF('Peak Areas'!U83=0,0,((('Peak Areas'!U83*Coefficients!$G$26+Coefficients!$H$26)*$G87)))</f>
        <v>0.36784455234599833</v>
      </c>
      <c r="S87" s="30">
        <f>IF('Peak Areas'!V83=0,0,((('Peak Areas'!V83*Coefficients!$G$13+Coefficients!$H$13)*$G87)))</f>
        <v>0.18143320030005214</v>
      </c>
      <c r="T87" s="30">
        <f>IF('Peak Areas'!W83=0,0,((('Peak Areas'!W83*Coefficients!$G$12+Coefficients!$H$12)*$G87)))</f>
        <v>0.14423929721483764</v>
      </c>
      <c r="U87" s="30">
        <f>IF('Peak Areas'!X83=0,0,((('Peak Areas'!X83*Coefficients!$G$27+Coefficients!$H$27)*$G87)))</f>
        <v>3.2524204421902306E-2</v>
      </c>
      <c r="V87" s="30">
        <f>IF('Peak Areas'!Y83=0,0,((('Peak Areas'!Y83*Coefficients!$G$34+Coefficients!$H$34)*$G87)))</f>
        <v>0.7792244926764057</v>
      </c>
      <c r="W87" s="30">
        <f>IF('Peak Areas'!Z83=0,0,((('Peak Areas'!Z83*Coefficients!$G$52+Coefficients!$H$52)*$G87)))</f>
        <v>0.5219861736042849</v>
      </c>
      <c r="X87" s="30">
        <f>IF('Peak Areas'!AA83=0,0,((('Peak Areas'!AA83*Coefficients!$G$33+Coefficients!$H$33)*$G87)))</f>
        <v>5.0799292653044725E-2</v>
      </c>
      <c r="Y87" s="30">
        <f>IF('Peak Areas'!AC83=0,0,((('Peak Areas'!AC83*Coefficients!$G$19+Coefficients!$H$19)*$G87)))</f>
        <v>0.61671300818045827</v>
      </c>
      <c r="Z87" s="30">
        <f>IF('Peak Areas'!AD83=0,0,((('Peak Areas'!AD83*Coefficients!$G$18+Coefficients!$H$18)*$G87)))</f>
        <v>0.12303148124961538</v>
      </c>
      <c r="AA87" s="30">
        <f>IF('Peak Areas'!AE83=0,0,((('Peak Areas'!AE83*Coefficients!$G$18+Coefficients!$H$18)*$G87)))</f>
        <v>5.6280953025038363</v>
      </c>
      <c r="AB87" s="30">
        <f>IF('Peak Areas'!AF83=0,0,((('Peak Areas'!AF83*Coefficients!$G$18+Coefficients!$H$18)*$G87)))</f>
        <v>0.43814640347716188</v>
      </c>
      <c r="AC87" s="30">
        <f>IF('Peak Areas'!AG83=0,0,((('Peak Areas'!AG83*Coefficients!$G$7+Coefficients!$H$7)*$G87)))</f>
        <v>0</v>
      </c>
      <c r="AD87" s="30">
        <f>IF('Peak Areas'!AH83=0,0,((('Peak Areas'!AH83*Coefficients!$G$6+Coefficients!$H$6)*$G87)))</f>
        <v>0.39838327407213997</v>
      </c>
      <c r="AF87" s="30">
        <f>IF('Peak Areas'!K83=0,0,((('Peak Areas'!K83*Coefficients!$G$22+Coefficients!$H$22)*$G87)))</f>
        <v>1.8116203031738394E-2</v>
      </c>
      <c r="AG87" s="30">
        <f t="shared" si="2"/>
        <v>5.6462115055355744</v>
      </c>
      <c r="AH87" s="30">
        <f t="shared" si="3"/>
        <v>6.2073893902623514</v>
      </c>
    </row>
    <row r="88" spans="1:34" x14ac:dyDescent="0.25">
      <c r="A88" s="2">
        <f>'Peak Areas'!A84</f>
        <v>74</v>
      </c>
      <c r="B88" s="62">
        <f>'Peak Areas'!B84</f>
        <v>45841</v>
      </c>
      <c r="C88" s="2" t="str">
        <f>'Peak Areas'!C84</f>
        <v>C+D high</v>
      </c>
      <c r="D88" s="2">
        <f>'Peak Areas'!D84</f>
        <v>0</v>
      </c>
      <c r="E88" s="2">
        <f>'Peak Areas'!E84</f>
        <v>0</v>
      </c>
      <c r="F88" s="30">
        <f>'Peak Areas'!F84</f>
        <v>0.1</v>
      </c>
      <c r="G88" s="30">
        <f>((1/'Peak Areas'!$G84)*(('Peak Areas'!$H84+('Internal Standard'!$E$10/1000))/'Peak Areas'!$F84)*'Peak Areas'!$J84)*H88</f>
        <v>4.485354865576352E-2</v>
      </c>
      <c r="H88" s="30">
        <f>(('Internal Standard'!$F$13*('Peak Areas'!G84/'Internal Standard'!$C$10))/'Peak Areas'!AB84)</f>
        <v>1.0553776154297299</v>
      </c>
      <c r="I88" s="30">
        <f>IF('Peak Areas'!L84=0,0,((('Peak Areas'!L84*Coefficients!$G$21+Coefficients!$H$21)*$G88)))</f>
        <v>5.0814335785912011E-2</v>
      </c>
      <c r="J88" s="30">
        <f>IF('Peak Areas'!M84=0,0,((('Peak Areas'!M84*Coefficients!$G$20+Coefficients!$H$20)*$G88)))</f>
        <v>0.13729913138717115</v>
      </c>
      <c r="K88" s="30">
        <f>IF('Peak Areas'!N84=0,0,((('Peak Areas'!N84*Coefficients!$G$41+Coefficients!$H$41)*$G88)))</f>
        <v>7.0662648530803021E-2</v>
      </c>
      <c r="L88" s="30">
        <f>IF('Peak Areas'!O84=0,0,((('Peak Areas'!O84*Coefficients!$G$10+Coefficients!$H$10)*$G88)))</f>
        <v>0</v>
      </c>
      <c r="M88" s="30">
        <f>IF('Peak Areas'!P84=0,0,((('Peak Areas'!P84*Coefficients!$G$32+Coefficients!$H$32)*$G88)))</f>
        <v>1.0864949554952934</v>
      </c>
      <c r="N88" s="30">
        <f>IF('Peak Areas'!Q84=0,0,((('Peak Areas'!Q84*Coefficients!$G$11+Coefficients!$H$11)*$G88)))</f>
        <v>8.1449813896850215E-2</v>
      </c>
      <c r="O88" s="30">
        <f>IF('Peak Areas'!R84=0,0,((('Peak Areas'!R84*Coefficients!$G$39+Coefficients!$H$39)*$G88)))</f>
        <v>0.18586109217521959</v>
      </c>
      <c r="P88" s="30">
        <f>IF('Peak Areas'!S84=0,0,((('Peak Areas'!S84*Coefficients!$G$46+Coefficients!$H$46)*$G88)))</f>
        <v>0</v>
      </c>
      <c r="Q88" s="30">
        <f>IF('Peak Areas'!T84=0,0,((('Peak Areas'!T84*Coefficients!$G$51+Coefficients!$H$51)*$G88)))</f>
        <v>0.52173211281289777</v>
      </c>
      <c r="R88" s="30">
        <f>IF('Peak Areas'!U84=0,0,((('Peak Areas'!U84*Coefficients!$G$26+Coefficients!$H$26)*$G88)))</f>
        <v>0.39824588834267677</v>
      </c>
      <c r="S88" s="30">
        <f>IF('Peak Areas'!V84=0,0,((('Peak Areas'!V84*Coefficients!$G$13+Coefficients!$H$13)*$G88)))</f>
        <v>0.19996179619933063</v>
      </c>
      <c r="T88" s="30">
        <f>IF('Peak Areas'!W84=0,0,((('Peak Areas'!W84*Coefficients!$G$12+Coefficients!$H$12)*$G88)))</f>
        <v>0.17729189286307617</v>
      </c>
      <c r="U88" s="30">
        <f>IF('Peak Areas'!X84=0,0,((('Peak Areas'!X84*Coefficients!$G$27+Coefficients!$H$27)*$G88)))</f>
        <v>3.1325267347356023E-2</v>
      </c>
      <c r="V88" s="30">
        <f>IF('Peak Areas'!Y84=0,0,((('Peak Areas'!Y84*Coefficients!$G$34+Coefficients!$H$34)*$G88)))</f>
        <v>0.87443316682754668</v>
      </c>
      <c r="W88" s="30">
        <f>IF('Peak Areas'!Z84=0,0,((('Peak Areas'!Z84*Coefficients!$G$52+Coefficients!$H$52)*$G88)))</f>
        <v>0.51599294912274407</v>
      </c>
      <c r="X88" s="30">
        <f>IF('Peak Areas'!AA84=0,0,((('Peak Areas'!AA84*Coefficients!$G$33+Coefficients!$H$33)*$G88)))</f>
        <v>5.9841213890081769E-2</v>
      </c>
      <c r="Y88" s="30">
        <f>IF('Peak Areas'!AC84=0,0,((('Peak Areas'!AC84*Coefficients!$G$19+Coefficients!$H$19)*$G88)))</f>
        <v>0.68842169074190851</v>
      </c>
      <c r="Z88" s="30">
        <f>IF('Peak Areas'!AD84=0,0,((('Peak Areas'!AD84*Coefficients!$G$18+Coefficients!$H$18)*$G88)))</f>
        <v>7.991248171582635E-2</v>
      </c>
      <c r="AA88" s="30">
        <f>IF('Peak Areas'!AE84=0,0,((('Peak Areas'!AE84*Coefficients!$G$18+Coefficients!$H$18)*$G88)))</f>
        <v>6.0387964417061628</v>
      </c>
      <c r="AB88" s="30">
        <f>IF('Peak Areas'!AF84=0,0,((('Peak Areas'!AF84*Coefficients!$G$18+Coefficients!$H$18)*$G88)))</f>
        <v>0.46712272535490573</v>
      </c>
      <c r="AC88" s="30">
        <f>IF('Peak Areas'!AG84=0,0,((('Peak Areas'!AG84*Coefficients!$G$7+Coefficients!$H$7)*$G88)))</f>
        <v>0</v>
      </c>
      <c r="AD88" s="30">
        <f>IF('Peak Areas'!AH84=0,0,((('Peak Areas'!AH84*Coefficients!$G$6+Coefficients!$H$6)*$G88)))</f>
        <v>0.32699863942821994</v>
      </c>
      <c r="AF88" s="30">
        <f>IF('Peak Areas'!K84=0,0,((('Peak Areas'!K84*Coefficients!$G$22+Coefficients!$H$22)*$G88)))</f>
        <v>2.0272968618385241E-2</v>
      </c>
      <c r="AG88" s="30">
        <f t="shared" si="2"/>
        <v>6.0590694103245477</v>
      </c>
      <c r="AH88" s="30">
        <f t="shared" si="3"/>
        <v>6.60610461739528</v>
      </c>
    </row>
    <row r="89" spans="1:34" x14ac:dyDescent="0.25">
      <c r="A89" s="2">
        <f>'Peak Areas'!A85</f>
        <v>75</v>
      </c>
      <c r="B89" s="62">
        <f>'Peak Areas'!B85</f>
        <v>45841</v>
      </c>
      <c r="C89" s="2" t="str">
        <f>'Peak Areas'!C85</f>
        <v>C+D low nut</v>
      </c>
      <c r="D89" s="2">
        <f>'Peak Areas'!D85</f>
        <v>0</v>
      </c>
      <c r="E89" s="2">
        <f>'Peak Areas'!E85</f>
        <v>0</v>
      </c>
      <c r="F89" s="30">
        <f>'Peak Areas'!F85</f>
        <v>0.1</v>
      </c>
      <c r="G89" s="30">
        <f>((1/'Peak Areas'!$G85)*(('Peak Areas'!$H85+('Internal Standard'!$E$10/1000))/'Peak Areas'!$F85)*'Peak Areas'!$J85)*H89</f>
        <v>4.3858705898988944E-2</v>
      </c>
      <c r="H89" s="30">
        <f>(('Internal Standard'!$F$13*('Peak Areas'!G85/'Internal Standard'!$C$10))/'Peak Areas'!AB85)</f>
        <v>1.0319695505644457</v>
      </c>
      <c r="I89" s="30">
        <f>IF('Peak Areas'!L85=0,0,((('Peak Areas'!L85*Coefficients!$G$21+Coefficients!$H$21)*$G89)))</f>
        <v>0.30720700288344632</v>
      </c>
      <c r="J89" s="30">
        <f>IF('Peak Areas'!M85=0,0,((('Peak Areas'!M85*Coefficients!$G$20+Coefficients!$H$20)*$G89)))</f>
        <v>0.69247003956809772</v>
      </c>
      <c r="K89" s="30">
        <f>IF('Peak Areas'!N85=0,0,((('Peak Areas'!N85*Coefficients!$G$41+Coefficients!$H$41)*$G89)))</f>
        <v>0.15937358409613844</v>
      </c>
      <c r="L89" s="30">
        <f>IF('Peak Areas'!O85=0,0,((('Peak Areas'!O85*Coefficients!$G$10+Coefficients!$H$10)*$G89)))</f>
        <v>0</v>
      </c>
      <c r="M89" s="30">
        <f>IF('Peak Areas'!P85=0,0,((('Peak Areas'!P85*Coefficients!$G$32+Coefficients!$H$32)*$G89)))</f>
        <v>3.4956499749089112</v>
      </c>
      <c r="N89" s="30">
        <f>IF('Peak Areas'!Q85=0,0,((('Peak Areas'!Q85*Coefficients!$G$11+Coefficients!$H$11)*$G89)))</f>
        <v>0.17360765077352772</v>
      </c>
      <c r="O89" s="30">
        <f>IF('Peak Areas'!R85=0,0,((('Peak Areas'!R85*Coefficients!$G$39+Coefficients!$H$39)*$G89)))</f>
        <v>0.57114286937639103</v>
      </c>
      <c r="P89" s="30">
        <f>IF('Peak Areas'!S85=0,0,((('Peak Areas'!S85*Coefficients!$G$46+Coefficients!$H$46)*$G89)))</f>
        <v>0</v>
      </c>
      <c r="Q89" s="30">
        <f>IF('Peak Areas'!T85=0,0,((('Peak Areas'!T85*Coefficients!$G$51+Coefficients!$H$51)*$G89)))</f>
        <v>0.76829556170773261</v>
      </c>
      <c r="R89" s="30">
        <f>IF('Peak Areas'!U85=0,0,((('Peak Areas'!U85*Coefficients!$G$26+Coefficients!$H$26)*$G89)))</f>
        <v>0.666151020121304</v>
      </c>
      <c r="S89" s="30">
        <f>IF('Peak Areas'!V85=0,0,((('Peak Areas'!V85*Coefficients!$G$13+Coefficients!$H$13)*$G89)))</f>
        <v>0.20368429814092243</v>
      </c>
      <c r="T89" s="30">
        <f>IF('Peak Areas'!W85=0,0,((('Peak Areas'!W85*Coefficients!$G$12+Coefficients!$H$12)*$G89)))</f>
        <v>0.38945246818828544</v>
      </c>
      <c r="U89" s="30">
        <f>IF('Peak Areas'!X85=0,0,((('Peak Areas'!X85*Coefficients!$G$27+Coefficients!$H$27)*$G89)))</f>
        <v>0</v>
      </c>
      <c r="V89" s="30">
        <f>IF('Peak Areas'!Y85=0,0,((('Peak Areas'!Y85*Coefficients!$G$34+Coefficients!$H$34)*$G89)))</f>
        <v>1.8558409647990242</v>
      </c>
      <c r="W89" s="30">
        <f>IF('Peak Areas'!Z85=0,0,((('Peak Areas'!Z85*Coefficients!$G$52+Coefficients!$H$52)*$G89)))</f>
        <v>0.65498167668838048</v>
      </c>
      <c r="X89" s="30">
        <f>IF('Peak Areas'!AA85=0,0,((('Peak Areas'!AA85*Coefficients!$G$33+Coefficients!$H$33)*$G89)))</f>
        <v>4.9707081450341604E-2</v>
      </c>
      <c r="Y89" s="30">
        <f>IF('Peak Areas'!AC85=0,0,((('Peak Areas'!AC85*Coefficients!$G$19+Coefficients!$H$19)*$G89)))</f>
        <v>1.837657704396719</v>
      </c>
      <c r="Z89" s="30">
        <f>IF('Peak Areas'!AD85=0,0,((('Peak Areas'!AD85*Coefficients!$G$18+Coefficients!$H$18)*$G89)))</f>
        <v>0.32270510377480499</v>
      </c>
      <c r="AA89" s="30">
        <f>IF('Peak Areas'!AE85=0,0,((('Peak Areas'!AE85*Coefficients!$G$18+Coefficients!$H$18)*$G89)))</f>
        <v>14.802713442828356</v>
      </c>
      <c r="AB89" s="30">
        <f>IF('Peak Areas'!AF85=0,0,((('Peak Areas'!AF85*Coefficients!$G$18+Coefficients!$H$18)*$G89)))</f>
        <v>1.0127088961559649</v>
      </c>
      <c r="AC89" s="30">
        <f>IF('Peak Areas'!AG85=0,0,((('Peak Areas'!AG85*Coefficients!$G$7+Coefficients!$H$7)*$G89)))</f>
        <v>0.18295530136959176</v>
      </c>
      <c r="AD89" s="30">
        <f>IF('Peak Areas'!AH85=0,0,((('Peak Areas'!AH85*Coefficients!$G$6+Coefficients!$H$6)*$G89)))</f>
        <v>1.0341391925925374</v>
      </c>
      <c r="AF89" s="30">
        <f>IF('Peak Areas'!K85=0,0,((('Peak Areas'!K85*Coefficients!$G$22+Coefficients!$H$22)*$G89)))</f>
        <v>0.10861393648926586</v>
      </c>
      <c r="AG89" s="30">
        <f t="shared" si="2"/>
        <v>14.911327379317623</v>
      </c>
      <c r="AH89" s="30">
        <f t="shared" si="3"/>
        <v>16.246741379248391</v>
      </c>
    </row>
    <row r="90" spans="1:34" x14ac:dyDescent="0.25">
      <c r="A90" s="2">
        <f>'Peak Areas'!A86</f>
        <v>76</v>
      </c>
      <c r="B90" s="62">
        <f>'Peak Areas'!B86</f>
        <v>45841</v>
      </c>
      <c r="C90" s="2" t="str">
        <f>'Peak Areas'!C86</f>
        <v>C+D low nut</v>
      </c>
      <c r="D90" s="2">
        <f>'Peak Areas'!D86</f>
        <v>0</v>
      </c>
      <c r="E90" s="2">
        <f>'Peak Areas'!E86</f>
        <v>0</v>
      </c>
      <c r="F90" s="30">
        <f>'Peak Areas'!F86</f>
        <v>0.1</v>
      </c>
      <c r="G90" s="30">
        <f>((1/'Peak Areas'!$G86)*(('Peak Areas'!$H86+('Internal Standard'!$E$10/1000))/'Peak Areas'!$F86)*'Peak Areas'!$J86)*H90</f>
        <v>4.3801241565981489E-2</v>
      </c>
      <c r="H90" s="30">
        <f>(('Internal Standard'!$F$13*('Peak Areas'!G86/'Internal Standard'!$C$10))/'Peak Areas'!AB86)</f>
        <v>1.0306174486113291</v>
      </c>
      <c r="I90" s="30">
        <f>IF('Peak Areas'!L86=0,0,((('Peak Areas'!L86*Coefficients!$G$21+Coefficients!$H$21)*$G90)))</f>
        <v>0.32983527809003232</v>
      </c>
      <c r="J90" s="30">
        <f>IF('Peak Areas'!M86=0,0,((('Peak Areas'!M86*Coefficients!$G$20+Coefficients!$H$20)*$G90)))</f>
        <v>0.74165103142176347</v>
      </c>
      <c r="K90" s="30">
        <f>IF('Peak Areas'!N86=0,0,((('Peak Areas'!N86*Coefficients!$G$41+Coefficients!$H$41)*$G90)))</f>
        <v>0.17534264670654032</v>
      </c>
      <c r="L90" s="30">
        <f>IF('Peak Areas'!O86=0,0,((('Peak Areas'!O86*Coefficients!$G$10+Coefficients!$H$10)*$G90)))</f>
        <v>0</v>
      </c>
      <c r="M90" s="30">
        <f>IF('Peak Areas'!P86=0,0,((('Peak Areas'!P86*Coefficients!$G$32+Coefficients!$H$32)*$G90)))</f>
        <v>3.7730105707642658</v>
      </c>
      <c r="N90" s="30">
        <f>IF('Peak Areas'!Q86=0,0,((('Peak Areas'!Q86*Coefficients!$G$11+Coefficients!$H$11)*$G90)))</f>
        <v>0.18544373142475429</v>
      </c>
      <c r="O90" s="30">
        <f>IF('Peak Areas'!R86=0,0,((('Peak Areas'!R86*Coefficients!$G$39+Coefficients!$H$39)*$G90)))</f>
        <v>0.65170459342121922</v>
      </c>
      <c r="P90" s="30">
        <f>IF('Peak Areas'!S86=0,0,((('Peak Areas'!S86*Coefficients!$G$46+Coefficients!$H$46)*$G90)))</f>
        <v>0</v>
      </c>
      <c r="Q90" s="30">
        <f>IF('Peak Areas'!T86=0,0,((('Peak Areas'!T86*Coefficients!$G$51+Coefficients!$H$51)*$G90)))</f>
        <v>0.82766898805026912</v>
      </c>
      <c r="R90" s="30">
        <f>IF('Peak Areas'!U86=0,0,((('Peak Areas'!U86*Coefficients!$G$26+Coefficients!$H$26)*$G90)))</f>
        <v>0.70192265177921165</v>
      </c>
      <c r="S90" s="30">
        <f>IF('Peak Areas'!V86=0,0,((('Peak Areas'!V86*Coefficients!$G$13+Coefficients!$H$13)*$G90)))</f>
        <v>0.18041188548062764</v>
      </c>
      <c r="T90" s="30">
        <f>IF('Peak Areas'!W86=0,0,((('Peak Areas'!W86*Coefficients!$G$12+Coefficients!$H$12)*$G90)))</f>
        <v>0.46934780028547018</v>
      </c>
      <c r="U90" s="30">
        <f>IF('Peak Areas'!X86=0,0,((('Peak Areas'!X86*Coefficients!$G$27+Coefficients!$H$27)*$G90)))</f>
        <v>7.0180105396986686E-2</v>
      </c>
      <c r="V90" s="30">
        <f>IF('Peak Areas'!Y86=0,0,((('Peak Areas'!Y86*Coefficients!$G$34+Coefficients!$H$34)*$G90)))</f>
        <v>2.199677146194674</v>
      </c>
      <c r="W90" s="30">
        <f>IF('Peak Areas'!Z86=0,0,((('Peak Areas'!Z86*Coefficients!$G$52+Coefficients!$H$52)*$G90)))</f>
        <v>0.6928168619801659</v>
      </c>
      <c r="X90" s="30">
        <f>IF('Peak Areas'!AA86=0,0,((('Peak Areas'!AA86*Coefficients!$G$33+Coefficients!$H$33)*$G90)))</f>
        <v>0.1004028874585948</v>
      </c>
      <c r="Y90" s="30">
        <f>IF('Peak Areas'!AC86=0,0,((('Peak Areas'!AC86*Coefficients!$G$19+Coefficients!$H$19)*$G90)))</f>
        <v>2.1197144232470091</v>
      </c>
      <c r="Z90" s="30">
        <f>IF('Peak Areas'!AD86=0,0,((('Peak Areas'!AD86*Coefficients!$G$18+Coefficients!$H$18)*$G90)))</f>
        <v>0.37652618628486395</v>
      </c>
      <c r="AA90" s="30">
        <f>IF('Peak Areas'!AE86=0,0,((('Peak Areas'!AE86*Coefficients!$G$18+Coefficients!$H$18)*$G90)))</f>
        <v>16.046116594904483</v>
      </c>
      <c r="AB90" s="30">
        <f>IF('Peak Areas'!AF86=0,0,((('Peak Areas'!AF86*Coefficients!$G$18+Coefficients!$H$18)*$G90)))</f>
        <v>1.0990364874857801</v>
      </c>
      <c r="AC90" s="30">
        <f>IF('Peak Areas'!AG86=0,0,((('Peak Areas'!AG86*Coefficients!$G$7+Coefficients!$H$7)*$G90)))</f>
        <v>0.19283357858114661</v>
      </c>
      <c r="AD90" s="30">
        <f>IF('Peak Areas'!AH86=0,0,((('Peak Areas'!AH86*Coefficients!$G$6+Coefficients!$H$6)*$G90)))</f>
        <v>0.99507325704576266</v>
      </c>
      <c r="AF90" s="30">
        <f>IF('Peak Areas'!K86=0,0,((('Peak Areas'!K86*Coefficients!$G$22+Coefficients!$H$22)*$G90)))</f>
        <v>0.15307931312106729</v>
      </c>
      <c r="AG90" s="30">
        <f t="shared" si="2"/>
        <v>16.199195908025551</v>
      </c>
      <c r="AH90" s="30">
        <f t="shared" si="3"/>
        <v>17.674758581796194</v>
      </c>
    </row>
    <row r="91" spans="1:34" x14ac:dyDescent="0.25">
      <c r="A91" s="2">
        <f>'Peak Areas'!A87</f>
        <v>77</v>
      </c>
      <c r="B91" s="62">
        <f>'Peak Areas'!B87</f>
        <v>45841</v>
      </c>
      <c r="C91" s="2" t="str">
        <f>'Peak Areas'!C87</f>
        <v>C+D high nut</v>
      </c>
      <c r="D91" s="2">
        <f>'Peak Areas'!D87</f>
        <v>0</v>
      </c>
      <c r="E91" s="2">
        <f>'Peak Areas'!E87</f>
        <v>0</v>
      </c>
      <c r="F91" s="30">
        <f>'Peak Areas'!F87</f>
        <v>0.1</v>
      </c>
      <c r="G91" s="30">
        <f>((1/'Peak Areas'!$G87)*(('Peak Areas'!$H87+('Internal Standard'!$E$10/1000))/'Peak Areas'!$F87)*'Peak Areas'!$J87)*H91</f>
        <v>4.2778268382014893E-2</v>
      </c>
      <c r="H91" s="30">
        <f>(('Internal Standard'!$F$13*('Peak Areas'!G87/'Internal Standard'!$C$10))/'Peak Areas'!AB87)</f>
        <v>1.0065474913415269</v>
      </c>
      <c r="I91" s="30">
        <f>IF('Peak Areas'!L87=0,0,((('Peak Areas'!L87*Coefficients!$G$21+Coefficients!$H$21)*$G91)))</f>
        <v>0.16395057741658284</v>
      </c>
      <c r="J91" s="30">
        <f>IF('Peak Areas'!M87=0,0,((('Peak Areas'!M87*Coefficients!$G$20+Coefficients!$H$20)*$G91)))</f>
        <v>0.40529317683676652</v>
      </c>
      <c r="K91" s="30">
        <f>IF('Peak Areas'!N87=0,0,((('Peak Areas'!N87*Coefficients!$G$41+Coefficients!$H$41)*$G91)))</f>
        <v>0.12706827100741525</v>
      </c>
      <c r="L91" s="30">
        <f>IF('Peak Areas'!O87=0,0,((('Peak Areas'!O87*Coefficients!$G$10+Coefficients!$H$10)*$G91)))</f>
        <v>0</v>
      </c>
      <c r="M91" s="30">
        <f>IF('Peak Areas'!P87=0,0,((('Peak Areas'!P87*Coefficients!$G$32+Coefficients!$H$32)*$G91)))</f>
        <v>2.0528077837349117</v>
      </c>
      <c r="N91" s="30">
        <f>IF('Peak Areas'!Q87=0,0,((('Peak Areas'!Q87*Coefficients!$G$11+Coefficients!$H$11)*$G91)))</f>
        <v>0.10251244497713467</v>
      </c>
      <c r="O91" s="30">
        <f>IF('Peak Areas'!R87=0,0,((('Peak Areas'!R87*Coefficients!$G$39+Coefficients!$H$39)*$G91)))</f>
        <v>0.69734266575225634</v>
      </c>
      <c r="P91" s="30">
        <f>IF('Peak Areas'!S87=0,0,((('Peak Areas'!S87*Coefficients!$G$46+Coefficients!$H$46)*$G91)))</f>
        <v>0</v>
      </c>
      <c r="Q91" s="30">
        <f>IF('Peak Areas'!T87=0,0,((('Peak Areas'!T87*Coefficients!$G$51+Coefficients!$H$51)*$G91)))</f>
        <v>0.84903625335854083</v>
      </c>
      <c r="R91" s="30">
        <f>IF('Peak Areas'!U87=0,0,((('Peak Areas'!U87*Coefficients!$G$26+Coefficients!$H$26)*$G91)))</f>
        <v>0.46845543171778786</v>
      </c>
      <c r="S91" s="30">
        <f>IF('Peak Areas'!V87=0,0,((('Peak Areas'!V87*Coefficients!$G$13+Coefficients!$H$13)*$G91)))</f>
        <v>0.19696418713658509</v>
      </c>
      <c r="T91" s="30">
        <f>IF('Peak Areas'!W87=0,0,((('Peak Areas'!W87*Coefficients!$G$12+Coefficients!$H$12)*$G91)))</f>
        <v>0.26999367187162854</v>
      </c>
      <c r="U91" s="30">
        <f>IF('Peak Areas'!X87=0,0,((('Peak Areas'!X87*Coefficients!$G$27+Coefficients!$H$27)*$G91)))</f>
        <v>4.0304448139933315E-2</v>
      </c>
      <c r="V91" s="30">
        <f>IF('Peak Areas'!Y87=0,0,((('Peak Areas'!Y87*Coefficients!$G$34+Coefficients!$H$34)*$G91)))</f>
        <v>2.0915159438978876</v>
      </c>
      <c r="W91" s="30">
        <f>IF('Peak Areas'!Z87=0,0,((('Peak Areas'!Z87*Coefficients!$G$52+Coefficients!$H$52)*$G91)))</f>
        <v>0.50162962037017256</v>
      </c>
      <c r="X91" s="30">
        <f>IF('Peak Areas'!AA87=0,0,((('Peak Areas'!AA87*Coefficients!$G$33+Coefficients!$H$33)*$G91)))</f>
        <v>0.11028562388276189</v>
      </c>
      <c r="Y91" s="30">
        <f>IF('Peak Areas'!AC87=0,0,((('Peak Areas'!AC87*Coefficients!$G$19+Coefficients!$H$19)*$G91)))</f>
        <v>2.1291664167446465</v>
      </c>
      <c r="Z91" s="30">
        <f>IF('Peak Areas'!AD87=0,0,((('Peak Areas'!AD87*Coefficients!$G$18+Coefficients!$H$18)*$G91)))</f>
        <v>0.15444152677422074</v>
      </c>
      <c r="AA91" s="30">
        <f>IF('Peak Areas'!AE87=0,0,((('Peak Areas'!AE87*Coefficients!$G$18+Coefficients!$H$18)*$G91)))</f>
        <v>12.686114342307558</v>
      </c>
      <c r="AB91" s="30">
        <f>IF('Peak Areas'!AF87=0,0,((('Peak Areas'!AF87*Coefficients!$G$18+Coefficients!$H$18)*$G91)))</f>
        <v>0.87913145368665135</v>
      </c>
      <c r="AC91" s="30">
        <f>IF('Peak Areas'!AG87=0,0,((('Peak Areas'!AG87*Coefficients!$G$7+Coefficients!$H$7)*$G91)))</f>
        <v>0.18752825005103974</v>
      </c>
      <c r="AD91" s="30">
        <f>IF('Peak Areas'!AH87=0,0,((('Peak Areas'!AH87*Coefficients!$G$6+Coefficients!$H$6)*$G91)))</f>
        <v>1.3917365956946879</v>
      </c>
      <c r="AF91" s="30">
        <f>IF('Peak Areas'!K87=0,0,((('Peak Areas'!K87*Coefficients!$G$22+Coefficients!$H$22)*$G91)))</f>
        <v>0.1457195421872341</v>
      </c>
      <c r="AG91" s="30">
        <f t="shared" si="2"/>
        <v>12.831833884494792</v>
      </c>
      <c r="AH91" s="30">
        <f t="shared" si="3"/>
        <v>13.865406864955665</v>
      </c>
    </row>
    <row r="92" spans="1:34" x14ac:dyDescent="0.25">
      <c r="A92" s="2">
        <f>'Peak Areas'!A88</f>
        <v>78</v>
      </c>
      <c r="B92" s="62">
        <f>'Peak Areas'!B88</f>
        <v>45841</v>
      </c>
      <c r="C92" s="2" t="str">
        <f>'Peak Areas'!C88</f>
        <v>C+D high nut</v>
      </c>
      <c r="D92" s="2">
        <f>'Peak Areas'!D88</f>
        <v>0</v>
      </c>
      <c r="E92" s="2">
        <f>'Peak Areas'!E88</f>
        <v>0</v>
      </c>
      <c r="F92" s="30">
        <f>'Peak Areas'!F88</f>
        <v>0.1</v>
      </c>
      <c r="G92" s="30">
        <f>((1/'Peak Areas'!$G88)*(('Peak Areas'!$H88+('Internal Standard'!$E$10/1000))/'Peak Areas'!$F88)*'Peak Areas'!$J88)*H92</f>
        <v>4.2551233699090224E-2</v>
      </c>
      <c r="H92" s="30">
        <f>(('Internal Standard'!$F$13*('Peak Areas'!G88/'Internal Standard'!$C$10))/'Peak Areas'!AB88)</f>
        <v>1.0012054988021228</v>
      </c>
      <c r="I92" s="30">
        <f>IF('Peak Areas'!L88=0,0,((('Peak Areas'!L88*Coefficients!$G$21+Coefficients!$H$21)*$G92)))</f>
        <v>0.12113238280052316</v>
      </c>
      <c r="J92" s="30">
        <f>IF('Peak Areas'!M88=0,0,((('Peak Areas'!M88*Coefficients!$G$20+Coefficients!$H$20)*$G92)))</f>
        <v>0.32835723226245089</v>
      </c>
      <c r="K92" s="30">
        <f>IF('Peak Areas'!N88=0,0,((('Peak Areas'!N88*Coefficients!$G$41+Coefficients!$H$41)*$G92)))</f>
        <v>0.1044399449963454</v>
      </c>
      <c r="L92" s="30">
        <f>IF('Peak Areas'!O88=0,0,((('Peak Areas'!O88*Coefficients!$G$10+Coefficients!$H$10)*$G92)))</f>
        <v>0</v>
      </c>
      <c r="M92" s="30">
        <f>IF('Peak Areas'!P88=0,0,((('Peak Areas'!P88*Coefficients!$G$32+Coefficients!$H$32)*$G92)))</f>
        <v>1.713583365621711</v>
      </c>
      <c r="N92" s="30">
        <f>IF('Peak Areas'!Q88=0,0,((('Peak Areas'!Q88*Coefficients!$G$11+Coefficients!$H$11)*$G92)))</f>
        <v>8.3093990861329903E-2</v>
      </c>
      <c r="O92" s="30">
        <f>IF('Peak Areas'!R88=0,0,((('Peak Areas'!R88*Coefficients!$G$39+Coefficients!$H$39)*$G92)))</f>
        <v>0.64915512406417497</v>
      </c>
      <c r="P92" s="30">
        <f>IF('Peak Areas'!S88=0,0,((('Peak Areas'!S88*Coefficients!$G$46+Coefficients!$H$46)*$G92)))</f>
        <v>0</v>
      </c>
      <c r="Q92" s="30">
        <f>IF('Peak Areas'!T88=0,0,((('Peak Areas'!T88*Coefficients!$G$51+Coefficients!$H$51)*$G92)))</f>
        <v>0.81612131518042297</v>
      </c>
      <c r="R92" s="30">
        <f>IF('Peak Areas'!U88=0,0,((('Peak Areas'!U88*Coefficients!$G$26+Coefficients!$H$26)*$G92)))</f>
        <v>0.39552782420865989</v>
      </c>
      <c r="S92" s="30">
        <f>IF('Peak Areas'!V88=0,0,((('Peak Areas'!V88*Coefficients!$G$13+Coefficients!$H$13)*$G92)))</f>
        <v>0.11740833329793322</v>
      </c>
      <c r="T92" s="30">
        <f>IF('Peak Areas'!W88=0,0,((('Peak Areas'!W88*Coefficients!$G$12+Coefficients!$H$12)*$G92)))</f>
        <v>0.23549008146604916</v>
      </c>
      <c r="U92" s="30">
        <f>IF('Peak Areas'!X88=0,0,((('Peak Areas'!X88*Coefficients!$G$27+Coefficients!$H$27)*$G92)))</f>
        <v>3.5310271245220723E-2</v>
      </c>
      <c r="V92" s="30">
        <f>IF('Peak Areas'!Y88=0,0,((('Peak Areas'!Y88*Coefficients!$G$34+Coefficients!$H$34)*$G92)))</f>
        <v>2.030444390599929</v>
      </c>
      <c r="W92" s="30">
        <f>IF('Peak Areas'!Z88=0,0,((('Peak Areas'!Z88*Coefficients!$G$52+Coefficients!$H$52)*$G92)))</f>
        <v>0.45379047292982178</v>
      </c>
      <c r="X92" s="30">
        <f>IF('Peak Areas'!AA88=0,0,((('Peak Areas'!AA88*Coefficients!$G$33+Coefficients!$H$33)*$G92)))</f>
        <v>0.10589185333419501</v>
      </c>
      <c r="Y92" s="30">
        <f>IF('Peak Areas'!AC88=0,0,((('Peak Areas'!AC88*Coefficients!$G$19+Coefficients!$H$19)*$G92)))</f>
        <v>2.1903236679021605</v>
      </c>
      <c r="Z92" s="30">
        <f>IF('Peak Areas'!AD88=0,0,((('Peak Areas'!AD88*Coefficients!$G$18+Coefficients!$H$18)*$G92)))</f>
        <v>0.28028845706682387</v>
      </c>
      <c r="AA92" s="30">
        <f>IF('Peak Areas'!AE88=0,0,((('Peak Areas'!AE88*Coefficients!$G$18+Coefficients!$H$18)*$G92)))</f>
        <v>11.975824938976642</v>
      </c>
      <c r="AB92" s="30">
        <f>IF('Peak Areas'!AF88=0,0,((('Peak Areas'!AF88*Coefficients!$G$18+Coefficients!$H$18)*$G92)))</f>
        <v>0.86346207620267246</v>
      </c>
      <c r="AC92" s="30">
        <f>IF('Peak Areas'!AG88=0,0,((('Peak Areas'!AG88*Coefficients!$G$7+Coefficients!$H$7)*$G92)))</f>
        <v>0.12654681554868732</v>
      </c>
      <c r="AD92" s="30">
        <f>IF('Peak Areas'!AH88=0,0,((('Peak Areas'!AH88*Coefficients!$G$6+Coefficients!$H$6)*$G92)))</f>
        <v>1.0038913303113655</v>
      </c>
      <c r="AF92" s="30">
        <f>IF('Peak Areas'!K88=0,0,((('Peak Areas'!K88*Coefficients!$G$22+Coefficients!$H$22)*$G92)))</f>
        <v>0.12889858869209853</v>
      </c>
      <c r="AG92" s="30">
        <f t="shared" si="2"/>
        <v>12.104723527668741</v>
      </c>
      <c r="AH92" s="30">
        <f t="shared" si="3"/>
        <v>13.248474060938237</v>
      </c>
    </row>
    <row r="93" spans="1:34" x14ac:dyDescent="0.25">
      <c r="A93" s="2">
        <f>'Peak Areas'!A89</f>
        <v>79</v>
      </c>
      <c r="B93" s="62">
        <f>'Peak Areas'!B89</f>
        <v>45856</v>
      </c>
      <c r="C93" s="2" t="str">
        <f>'Peak Areas'!C89</f>
        <v xml:space="preserve">control </v>
      </c>
      <c r="D93" s="2">
        <f>'Peak Areas'!D89</f>
        <v>0</v>
      </c>
      <c r="E93" s="2">
        <f>'Peak Areas'!E89</f>
        <v>0</v>
      </c>
      <c r="F93" s="30">
        <f>'Peak Areas'!F89</f>
        <v>0.1</v>
      </c>
      <c r="G93" s="30">
        <f>((1/'Peak Areas'!$G89)*(('Peak Areas'!$H89+('Internal Standard'!$E$10/1000))/'Peak Areas'!$F89)*'Peak Areas'!$J89)*H93</f>
        <v>4.6967013314414233E-2</v>
      </c>
      <c r="H93" s="30">
        <f>(('Internal Standard'!$F$13*('Peak Areas'!G89/'Internal Standard'!$C$10))/'Peak Areas'!AB89)</f>
        <v>1.1051061956332759</v>
      </c>
      <c r="I93" s="30">
        <f>IF('Peak Areas'!L89=0,0,((('Peak Areas'!L89*Coefficients!$G$21+Coefficients!$H$21)*$G93)))</f>
        <v>0</v>
      </c>
      <c r="J93" s="30">
        <f>IF('Peak Areas'!M89=0,0,((('Peak Areas'!M89*Coefficients!$G$20+Coefficients!$H$20)*$G93)))</f>
        <v>0.17451237823348456</v>
      </c>
      <c r="K93" s="30">
        <f>IF('Peak Areas'!N89=0,0,((('Peak Areas'!N89*Coefficients!$G$41+Coefficients!$H$41)*$G93)))</f>
        <v>9.5617077339527054E-2</v>
      </c>
      <c r="L93" s="30">
        <f>IF('Peak Areas'!O89=0,0,((('Peak Areas'!O89*Coefficients!$G$10+Coefficients!$H$10)*$G93)))</f>
        <v>0</v>
      </c>
      <c r="M93" s="30">
        <f>IF('Peak Areas'!P89=0,0,((('Peak Areas'!P89*Coefficients!$G$32+Coefficients!$H$32)*$G93)))</f>
        <v>0.86695895691608871</v>
      </c>
      <c r="N93" s="30">
        <f>IF('Peak Areas'!Q89=0,0,((('Peak Areas'!Q89*Coefficients!$G$11+Coefficients!$H$11)*$G93)))</f>
        <v>0</v>
      </c>
      <c r="O93" s="30">
        <f>IF('Peak Areas'!R89=0,0,((('Peak Areas'!R89*Coefficients!$G$39+Coefficients!$H$39)*$G93)))</f>
        <v>0.12775728100895875</v>
      </c>
      <c r="P93" s="30">
        <f>IF('Peak Areas'!S89=0,0,((('Peak Areas'!S89*Coefficients!$G$46+Coefficients!$H$46)*$G93)))</f>
        <v>0</v>
      </c>
      <c r="Q93" s="30">
        <f>IF('Peak Areas'!T89=0,0,((('Peak Areas'!T89*Coefficients!$G$51+Coefficients!$H$51)*$G93)))</f>
        <v>0.66666327762061872</v>
      </c>
      <c r="R93" s="30">
        <f>IF('Peak Areas'!U89=0,0,((('Peak Areas'!U89*Coefficients!$G$26+Coefficients!$H$26)*$G93)))</f>
        <v>0.29566621621894645</v>
      </c>
      <c r="S93" s="30">
        <f>IF('Peak Areas'!V89=0,0,((('Peak Areas'!V89*Coefficients!$G$13+Coefficients!$H$13)*$G93)))</f>
        <v>0.23232288698139622</v>
      </c>
      <c r="T93" s="30">
        <f>IF('Peak Areas'!W89=0,0,((('Peak Areas'!W89*Coefficients!$G$12+Coefficients!$H$12)*$G93)))</f>
        <v>0.22323895980751624</v>
      </c>
      <c r="U93" s="30">
        <f>IF('Peak Areas'!X89=0,0,((('Peak Areas'!X89*Coefficients!$G$27+Coefficients!$H$27)*$G93)))</f>
        <v>2.4042553980596272E-2</v>
      </c>
      <c r="V93" s="30">
        <f>IF('Peak Areas'!Y89=0,0,((('Peak Areas'!Y89*Coefficients!$G$34+Coefficients!$H$34)*$G93)))</f>
        <v>0.55968750405723333</v>
      </c>
      <c r="W93" s="30">
        <f>IF('Peak Areas'!Z89=0,0,((('Peak Areas'!Z89*Coefficients!$G$52+Coefficients!$H$52)*$G93)))</f>
        <v>0.61778164912387301</v>
      </c>
      <c r="X93" s="30">
        <f>IF('Peak Areas'!AA89=0,0,((('Peak Areas'!AA89*Coefficients!$G$33+Coefficients!$H$33)*$G93)))</f>
        <v>4.7364850063723624E-2</v>
      </c>
      <c r="Y93" s="30">
        <f>IF('Peak Areas'!AC89=0,0,((('Peak Areas'!AC89*Coefficients!$G$19+Coefficients!$H$19)*$G93)))</f>
        <v>0.50660380367949076</v>
      </c>
      <c r="Z93" s="30">
        <f>IF('Peak Areas'!AD89=0,0,((('Peak Areas'!AD89*Coefficients!$G$18+Coefficients!$H$18)*$G93)))</f>
        <v>0.1982125097599487</v>
      </c>
      <c r="AA93" s="30">
        <f>IF('Peak Areas'!AE89=0,0,((('Peak Areas'!AE89*Coefficients!$G$18+Coefficients!$H$18)*$G93)))</f>
        <v>6.2712285018708682</v>
      </c>
      <c r="AB93" s="30">
        <f>IF('Peak Areas'!AF89=0,0,((('Peak Areas'!AF89*Coefficients!$G$18+Coefficients!$H$18)*$G93)))</f>
        <v>0.571647796227016</v>
      </c>
      <c r="AC93" s="30">
        <f>IF('Peak Areas'!AG89=0,0,((('Peak Areas'!AG89*Coefficients!$G$7+Coefficients!$H$7)*$G93)))</f>
        <v>0</v>
      </c>
      <c r="AD93" s="30">
        <f>IF('Peak Areas'!AH89=0,0,((('Peak Areas'!AH89*Coefficients!$G$6+Coefficients!$H$6)*$G93)))</f>
        <v>0.39961250257163899</v>
      </c>
      <c r="AF93" s="30">
        <f>IF('Peak Areas'!K89=0,0,((('Peak Areas'!K89*Coefficients!$G$22+Coefficients!$H$22)*$G93)))</f>
        <v>7.2583773072046512E-2</v>
      </c>
      <c r="AG93" s="30">
        <f t="shared" si="2"/>
        <v>6.3438122749429144</v>
      </c>
      <c r="AH93" s="30">
        <f t="shared" si="3"/>
        <v>7.1136725809298795</v>
      </c>
    </row>
    <row r="94" spans="1:34" x14ac:dyDescent="0.25">
      <c r="A94" s="2">
        <f>'Peak Areas'!A90</f>
        <v>80</v>
      </c>
      <c r="B94" s="62">
        <f>'Peak Areas'!B90</f>
        <v>45856</v>
      </c>
      <c r="C94" s="2" t="str">
        <f>'Peak Areas'!C90</f>
        <v>control</v>
      </c>
      <c r="D94" s="2">
        <f>'Peak Areas'!D90</f>
        <v>0</v>
      </c>
      <c r="E94" s="2">
        <f>'Peak Areas'!E90</f>
        <v>0</v>
      </c>
      <c r="F94" s="30">
        <f>'Peak Areas'!F90</f>
        <v>0.1</v>
      </c>
      <c r="G94" s="30">
        <f>((1/'Peak Areas'!$G90)*(('Peak Areas'!$H90+('Internal Standard'!$E$10/1000))/'Peak Areas'!$F90)*'Peak Areas'!$J90)*H94</f>
        <v>4.6772241553124767E-2</v>
      </c>
      <c r="H94" s="30">
        <f>(('Internal Standard'!$F$13*('Peak Areas'!G90/'Internal Standard'!$C$10))/'Peak Areas'!AB90)</f>
        <v>1.1005233306617592</v>
      </c>
      <c r="I94" s="30">
        <f>IF('Peak Areas'!L90=0,0,((('Peak Areas'!L90*Coefficients!$G$21+Coefficients!$H$21)*$G94)))</f>
        <v>0</v>
      </c>
      <c r="J94" s="30">
        <f>IF('Peak Areas'!M90=0,0,((('Peak Areas'!M90*Coefficients!$G$20+Coefficients!$H$20)*$G94)))</f>
        <v>0.1678812989569182</v>
      </c>
      <c r="K94" s="30">
        <f>IF('Peak Areas'!N90=0,0,((('Peak Areas'!N90*Coefficients!$G$41+Coefficients!$H$41)*$G94)))</f>
        <v>0.10473855252589845</v>
      </c>
      <c r="L94" s="30">
        <f>IF('Peak Areas'!O90=0,0,((('Peak Areas'!O90*Coefficients!$G$10+Coefficients!$H$10)*$G94)))</f>
        <v>0</v>
      </c>
      <c r="M94" s="30">
        <f>IF('Peak Areas'!P90=0,0,((('Peak Areas'!P90*Coefficients!$G$32+Coefficients!$H$32)*$G94)))</f>
        <v>0.76914738855638753</v>
      </c>
      <c r="N94" s="30">
        <f>IF('Peak Areas'!Q90=0,0,((('Peak Areas'!Q90*Coefficients!$G$11+Coefficients!$H$11)*$G94)))</f>
        <v>0</v>
      </c>
      <c r="O94" s="30">
        <f>IF('Peak Areas'!R90=0,0,((('Peak Areas'!R90*Coefficients!$G$39+Coefficients!$H$39)*$G94)))</f>
        <v>8.2888865550724569E-2</v>
      </c>
      <c r="P94" s="30">
        <f>IF('Peak Areas'!S90=0,0,((('Peak Areas'!S90*Coefficients!$G$46+Coefficients!$H$46)*$G94)))</f>
        <v>0</v>
      </c>
      <c r="Q94" s="30">
        <f>IF('Peak Areas'!T90=0,0,((('Peak Areas'!T90*Coefficients!$G$51+Coefficients!$H$51)*$G94)))</f>
        <v>0.66632112438733015</v>
      </c>
      <c r="R94" s="30">
        <f>IF('Peak Areas'!U90=0,0,((('Peak Areas'!U90*Coefficients!$G$26+Coefficients!$H$26)*$G94)))</f>
        <v>0.28855546529563375</v>
      </c>
      <c r="S94" s="30">
        <f>IF('Peak Areas'!V90=0,0,((('Peak Areas'!V90*Coefficients!$G$13+Coefficients!$H$13)*$G94)))</f>
        <v>0.23670399760934951</v>
      </c>
      <c r="T94" s="30">
        <f>IF('Peak Areas'!W90=0,0,((('Peak Areas'!W90*Coefficients!$G$12+Coefficients!$H$12)*$G94)))</f>
        <v>0.20065334392115411</v>
      </c>
      <c r="U94" s="30">
        <f>IF('Peak Areas'!X90=0,0,((('Peak Areas'!X90*Coefficients!$G$27+Coefficients!$H$27)*$G94)))</f>
        <v>2.6324874289077024E-2</v>
      </c>
      <c r="V94" s="30">
        <f>IF('Peak Areas'!Y90=0,0,((('Peak Areas'!Y90*Coefficients!$G$34+Coefficients!$H$34)*$G94)))</f>
        <v>0.41062539985357965</v>
      </c>
      <c r="W94" s="30">
        <f>IF('Peak Areas'!Z90=0,0,((('Peak Areas'!Z90*Coefficients!$G$52+Coefficients!$H$52)*$G94)))</f>
        <v>0.68912664185914496</v>
      </c>
      <c r="X94" s="30">
        <f>IF('Peak Areas'!AA90=0,0,((('Peak Areas'!AA90*Coefficients!$G$33+Coefficients!$H$33)*$G94)))</f>
        <v>0</v>
      </c>
      <c r="Y94" s="30">
        <f>IF('Peak Areas'!AC90=0,0,((('Peak Areas'!AC90*Coefficients!$G$19+Coefficients!$H$19)*$G94)))</f>
        <v>0.30815215067435636</v>
      </c>
      <c r="Z94" s="30">
        <f>IF('Peak Areas'!AD90=0,0,((('Peak Areas'!AD90*Coefficients!$G$18+Coefficients!$H$18)*$G94)))</f>
        <v>0.19226579274318542</v>
      </c>
      <c r="AA94" s="30">
        <f>IF('Peak Areas'!AE90=0,0,((('Peak Areas'!AE90*Coefficients!$G$18+Coefficients!$H$18)*$G94)))</f>
        <v>5.6072614136678078</v>
      </c>
      <c r="AB94" s="30">
        <f>IF('Peak Areas'!AF90=0,0,((('Peak Areas'!AF90*Coefficients!$G$18+Coefficients!$H$18)*$G94)))</f>
        <v>0.53381639167779638</v>
      </c>
      <c r="AC94" s="30">
        <f>IF('Peak Areas'!AG90=0,0,((('Peak Areas'!AG90*Coefficients!$G$7+Coefficients!$H$7)*$G94)))</f>
        <v>0</v>
      </c>
      <c r="AD94" s="30">
        <f>IF('Peak Areas'!AH90=0,0,((('Peak Areas'!AH90*Coefficients!$G$6+Coefficients!$H$6)*$G94)))</f>
        <v>0.47061105513789619</v>
      </c>
      <c r="AF94" s="30">
        <f>IF('Peak Areas'!K90=0,0,((('Peak Areas'!K90*Coefficients!$G$22+Coefficients!$H$22)*$G94)))</f>
        <v>5.9639444522804903E-2</v>
      </c>
      <c r="AG94" s="30">
        <f t="shared" si="2"/>
        <v>5.6669008581906128</v>
      </c>
      <c r="AH94" s="30">
        <f t="shared" si="3"/>
        <v>6.3929830426115952</v>
      </c>
    </row>
    <row r="95" spans="1:34" x14ac:dyDescent="0.25">
      <c r="A95" s="2">
        <f>'Peak Areas'!A91</f>
        <v>81</v>
      </c>
      <c r="B95" s="62">
        <f>'Peak Areas'!B91</f>
        <v>45856</v>
      </c>
      <c r="C95" s="2" t="str">
        <f>'Peak Areas'!C91</f>
        <v>solvent</v>
      </c>
      <c r="D95" s="2">
        <f>'Peak Areas'!D91</f>
        <v>0</v>
      </c>
      <c r="E95" s="2">
        <f>'Peak Areas'!E91</f>
        <v>0</v>
      </c>
      <c r="F95" s="30">
        <f>'Peak Areas'!F91</f>
        <v>0.1</v>
      </c>
      <c r="G95" s="30">
        <f>((1/'Peak Areas'!$G91)*(('Peak Areas'!$H91+('Internal Standard'!$E$10/1000))/'Peak Areas'!$F91)*'Peak Areas'!$J91)*H95</f>
        <v>5.1449034680837995E-2</v>
      </c>
      <c r="H95" s="30">
        <f>(('Internal Standard'!$F$13*('Peak Areas'!G91/'Internal Standard'!$C$10))/'Peak Areas'!AB91)</f>
        <v>1.2105655219020703</v>
      </c>
      <c r="I95" s="30">
        <f>IF('Peak Areas'!L91=0,0,((('Peak Areas'!L91*Coefficients!$G$21+Coefficients!$H$21)*$G95)))</f>
        <v>0</v>
      </c>
      <c r="J95" s="30">
        <f>IF('Peak Areas'!M91=0,0,((('Peak Areas'!M91*Coefficients!$G$20+Coefficients!$H$20)*$G95)))</f>
        <v>0.14145691841275126</v>
      </c>
      <c r="K95" s="30">
        <f>IF('Peak Areas'!N91=0,0,((('Peak Areas'!N91*Coefficients!$G$41+Coefficients!$H$41)*$G95)))</f>
        <v>0.10400983422744403</v>
      </c>
      <c r="L95" s="30">
        <f>IF('Peak Areas'!O91=0,0,((('Peak Areas'!O91*Coefficients!$G$10+Coefficients!$H$10)*$G95)))</f>
        <v>0</v>
      </c>
      <c r="M95" s="30">
        <f>IF('Peak Areas'!P91=0,0,((('Peak Areas'!P91*Coefficients!$G$32+Coefficients!$H$32)*$G95)))</f>
        <v>0.66361821762473183</v>
      </c>
      <c r="N95" s="30">
        <f>IF('Peak Areas'!Q91=0,0,((('Peak Areas'!Q91*Coefficients!$G$11+Coefficients!$H$11)*$G95)))</f>
        <v>0</v>
      </c>
      <c r="O95" s="30">
        <f>IF('Peak Areas'!R91=0,0,((('Peak Areas'!R91*Coefficients!$G$39+Coefficients!$H$39)*$G95)))</f>
        <v>0.11902619362935916</v>
      </c>
      <c r="P95" s="30">
        <f>IF('Peak Areas'!S91=0,0,((('Peak Areas'!S91*Coefficients!$G$46+Coefficients!$H$46)*$G95)))</f>
        <v>0</v>
      </c>
      <c r="Q95" s="30">
        <f>IF('Peak Areas'!T91=0,0,((('Peak Areas'!T91*Coefficients!$G$51+Coefficients!$H$51)*$G95)))</f>
        <v>0.61656901861191049</v>
      </c>
      <c r="R95" s="30">
        <f>IF('Peak Areas'!U91=0,0,((('Peak Areas'!U91*Coefficients!$G$26+Coefficients!$H$26)*$G95)))</f>
        <v>0.29780644871766332</v>
      </c>
      <c r="S95" s="30">
        <f>IF('Peak Areas'!V91=0,0,((('Peak Areas'!V91*Coefficients!$G$13+Coefficients!$H$13)*$G95)))</f>
        <v>0.22213140696481559</v>
      </c>
      <c r="T95" s="30">
        <f>IF('Peak Areas'!W91=0,0,((('Peak Areas'!W91*Coefficients!$G$12+Coefficients!$H$12)*$G95)))</f>
        <v>0.22081705480677682</v>
      </c>
      <c r="U95" s="30">
        <f>IF('Peak Areas'!X91=0,0,((('Peak Areas'!X91*Coefficients!$G$27+Coefficients!$H$27)*$G95)))</f>
        <v>2.3498358586877297E-2</v>
      </c>
      <c r="V95" s="30">
        <f>IF('Peak Areas'!Y91=0,0,((('Peak Areas'!Y91*Coefficients!$G$34+Coefficients!$H$34)*$G95)))</f>
        <v>0.41368625617106947</v>
      </c>
      <c r="W95" s="30">
        <f>IF('Peak Areas'!Z91=0,0,((('Peak Areas'!Z91*Coefficients!$G$52+Coefficients!$H$52)*$G95)))</f>
        <v>0.84723143900681708</v>
      </c>
      <c r="X95" s="30">
        <f>IF('Peak Areas'!AA91=0,0,((('Peak Areas'!AA91*Coefficients!$G$33+Coefficients!$H$33)*$G95)))</f>
        <v>6.4715878622911033E-2</v>
      </c>
      <c r="Y95" s="30">
        <f>IF('Peak Areas'!AC91=0,0,((('Peak Areas'!AC91*Coefficients!$G$19+Coefficients!$H$19)*$G95)))</f>
        <v>0.32322546315047695</v>
      </c>
      <c r="Z95" s="30">
        <f>IF('Peak Areas'!AD91=0,0,((('Peak Areas'!AD91*Coefficients!$G$18+Coefficients!$H$18)*$G95)))</f>
        <v>0.13611251659131751</v>
      </c>
      <c r="AA95" s="30">
        <f>IF('Peak Areas'!AE91=0,0,((('Peak Areas'!AE91*Coefficients!$G$18+Coefficients!$H$18)*$G95)))</f>
        <v>5.6072438900118842</v>
      </c>
      <c r="AB95" s="30">
        <f>IF('Peak Areas'!AF91=0,0,((('Peak Areas'!AF91*Coefficients!$G$18+Coefficients!$H$18)*$G95)))</f>
        <v>0.54896411205990436</v>
      </c>
      <c r="AC95" s="30">
        <f>IF('Peak Areas'!AG91=0,0,((('Peak Areas'!AG91*Coefficients!$G$7+Coefficients!$H$7)*$G95)))</f>
        <v>0</v>
      </c>
      <c r="AD95" s="30">
        <f>IF('Peak Areas'!AH91=0,0,((('Peak Areas'!AH91*Coefficients!$G$6+Coefficients!$H$6)*$G95)))</f>
        <v>0.44635681056031867</v>
      </c>
      <c r="AF95" s="30">
        <f>IF('Peak Areas'!K91=0,0,((('Peak Areas'!K91*Coefficients!$G$22+Coefficients!$H$22)*$G95)))</f>
        <v>4.6937948328504647E-2</v>
      </c>
      <c r="AG95" s="30">
        <f t="shared" si="2"/>
        <v>5.6541818383403886</v>
      </c>
      <c r="AH95" s="30">
        <f t="shared" si="3"/>
        <v>6.3392584669916099</v>
      </c>
    </row>
    <row r="96" spans="1:34" x14ac:dyDescent="0.25">
      <c r="A96" s="2">
        <f>'Peak Areas'!A92</f>
        <v>82</v>
      </c>
      <c r="B96" s="62">
        <f>'Peak Areas'!B92</f>
        <v>45856</v>
      </c>
      <c r="C96" s="2" t="str">
        <f>'Peak Areas'!C92</f>
        <v>solvent</v>
      </c>
      <c r="D96" s="2">
        <f>'Peak Areas'!D92</f>
        <v>0</v>
      </c>
      <c r="E96" s="2">
        <f>'Peak Areas'!E92</f>
        <v>0</v>
      </c>
      <c r="F96" s="30">
        <f>'Peak Areas'!F92</f>
        <v>0.1</v>
      </c>
      <c r="G96" s="30">
        <f>((1/'Peak Areas'!$G92)*(('Peak Areas'!$H92+('Internal Standard'!$E$10/1000))/'Peak Areas'!$F92)*'Peak Areas'!$J92)*H96</f>
        <v>4.3533016795932793E-2</v>
      </c>
      <c r="H96" s="30">
        <f>(('Internal Standard'!$F$13*('Peak Areas'!G92/'Internal Standard'!$C$10))/'Peak Areas'!AB92)</f>
        <v>1.0243062775513598</v>
      </c>
      <c r="I96" s="30">
        <f>IF('Peak Areas'!L92=0,0,((('Peak Areas'!L92*Coefficients!$G$21+Coefficients!$H$21)*$G96)))</f>
        <v>0</v>
      </c>
      <c r="J96" s="30">
        <f>IF('Peak Areas'!M92=0,0,((('Peak Areas'!M92*Coefficients!$G$20+Coefficients!$H$20)*$G96)))</f>
        <v>7.7247012928040884E-2</v>
      </c>
      <c r="K96" s="30">
        <f>IF('Peak Areas'!N92=0,0,((('Peak Areas'!N92*Coefficients!$G$41+Coefficients!$H$41)*$G96)))</f>
        <v>7.0878165498473311E-2</v>
      </c>
      <c r="L96" s="30">
        <f>IF('Peak Areas'!O92=0,0,((('Peak Areas'!O92*Coefficients!$G$10+Coefficients!$H$10)*$G96)))</f>
        <v>0</v>
      </c>
      <c r="M96" s="30">
        <f>IF('Peak Areas'!P92=0,0,((('Peak Areas'!P92*Coefficients!$G$32+Coefficients!$H$32)*$G96)))</f>
        <v>0.61942099568575659</v>
      </c>
      <c r="N96" s="30">
        <f>IF('Peak Areas'!Q92=0,0,((('Peak Areas'!Q92*Coefficients!$G$11+Coefficients!$H$11)*$G96)))</f>
        <v>0</v>
      </c>
      <c r="O96" s="30">
        <f>IF('Peak Areas'!R92=0,0,((('Peak Areas'!R92*Coefficients!$G$39+Coefficients!$H$39)*$G96)))</f>
        <v>9.5784846856524775E-2</v>
      </c>
      <c r="P96" s="30">
        <f>IF('Peak Areas'!S92=0,0,((('Peak Areas'!S92*Coefficients!$G$46+Coefficients!$H$46)*$G96)))</f>
        <v>0</v>
      </c>
      <c r="Q96" s="30">
        <f>IF('Peak Areas'!T92=0,0,((('Peak Areas'!T92*Coefficients!$G$51+Coefficients!$H$51)*$G96)))</f>
        <v>0.67295850271024504</v>
      </c>
      <c r="R96" s="30">
        <f>IF('Peak Areas'!U92=0,0,((('Peak Areas'!U92*Coefficients!$G$26+Coefficients!$H$26)*$G96)))</f>
        <v>0.33167097871847173</v>
      </c>
      <c r="S96" s="30">
        <f>IF('Peak Areas'!V92=0,0,((('Peak Areas'!V92*Coefficients!$G$13+Coefficients!$H$13)*$G96)))</f>
        <v>0.24860134877958118</v>
      </c>
      <c r="T96" s="30">
        <f>IF('Peak Areas'!W92=0,0,((('Peak Areas'!W92*Coefficients!$G$12+Coefficients!$H$12)*$G96)))</f>
        <v>0.27590041048231145</v>
      </c>
      <c r="U96" s="30">
        <f>IF('Peak Areas'!X92=0,0,((('Peak Areas'!X92*Coefficients!$G$27+Coefficients!$H$27)*$G96)))</f>
        <v>4.3830342949088649E-2</v>
      </c>
      <c r="V96" s="30">
        <f>IF('Peak Areas'!Y92=0,0,((('Peak Areas'!Y92*Coefficients!$G$34+Coefficients!$H$34)*$G96)))</f>
        <v>0.51536052633004392</v>
      </c>
      <c r="W96" s="30">
        <f>IF('Peak Areas'!Z92=0,0,((('Peak Areas'!Z92*Coefficients!$G$52+Coefficients!$H$52)*$G96)))</f>
        <v>0.97329106154557998</v>
      </c>
      <c r="X96" s="30">
        <f>IF('Peak Areas'!AA92=0,0,((('Peak Areas'!AA92*Coefficients!$G$33+Coefficients!$H$33)*$G96)))</f>
        <v>8.7749091621181344E-2</v>
      </c>
      <c r="Y96" s="30">
        <f>IF('Peak Areas'!AC92=0,0,((('Peak Areas'!AC92*Coefficients!$G$19+Coefficients!$H$19)*$G96)))</f>
        <v>0.37741317026423965</v>
      </c>
      <c r="Z96" s="30">
        <f>IF('Peak Areas'!AD92=0,0,((('Peak Areas'!AD92*Coefficients!$G$18+Coefficients!$H$18)*$G96)))</f>
        <v>0.15903044624401536</v>
      </c>
      <c r="AA96" s="30">
        <f>IF('Peak Areas'!AE92=0,0,((('Peak Areas'!AE92*Coefficients!$G$18+Coefficients!$H$18)*$G96)))</f>
        <v>6.1698586446788992</v>
      </c>
      <c r="AB96" s="30">
        <f>IF('Peak Areas'!AF92=0,0,((('Peak Areas'!AF92*Coefficients!$G$18+Coefficients!$H$18)*$G96)))</f>
        <v>0.58619404662411367</v>
      </c>
      <c r="AC96" s="30">
        <f>IF('Peak Areas'!AG92=0,0,((('Peak Areas'!AG92*Coefficients!$G$7+Coefficients!$H$7)*$G96)))</f>
        <v>0</v>
      </c>
      <c r="AD96" s="30">
        <f>IF('Peak Areas'!AH92=0,0,((('Peak Areas'!AH92*Coefficients!$G$6+Coefficients!$H$6)*$G96)))</f>
        <v>1.2842812328298061</v>
      </c>
      <c r="AF96" s="30">
        <f>IF('Peak Areas'!K92=0,0,((('Peak Areas'!K92*Coefficients!$G$22+Coefficients!$H$22)*$G96)))</f>
        <v>3.1665255506065797E-2</v>
      </c>
      <c r="AG96" s="30">
        <f t="shared" si="2"/>
        <v>6.2015239001849647</v>
      </c>
      <c r="AH96" s="30">
        <f t="shared" si="3"/>
        <v>6.9467483930530936</v>
      </c>
    </row>
    <row r="97" spans="1:34" x14ac:dyDescent="0.25">
      <c r="A97" s="2">
        <f>'Peak Areas'!A93</f>
        <v>83</v>
      </c>
      <c r="B97" s="62">
        <f>'Peak Areas'!B93</f>
        <v>45856</v>
      </c>
      <c r="C97" s="2" t="str">
        <f>'Peak Areas'!C93</f>
        <v>control 25</v>
      </c>
      <c r="D97" s="2">
        <f>'Peak Areas'!D93</f>
        <v>0</v>
      </c>
      <c r="E97" s="2">
        <f>'Peak Areas'!E93</f>
        <v>0</v>
      </c>
      <c r="F97" s="30">
        <f>'Peak Areas'!F93</f>
        <v>0.1</v>
      </c>
      <c r="G97" s="30">
        <f>((1/'Peak Areas'!$G93)*(('Peak Areas'!$H93+('Internal Standard'!$E$10/1000))/'Peak Areas'!$F93)*'Peak Areas'!$J93)*H97</f>
        <v>4.358864461476402E-2</v>
      </c>
      <c r="H97" s="30">
        <f>(('Internal Standard'!$F$13*('Peak Areas'!G93/'Internal Standard'!$C$10))/'Peak Areas'!AB93)</f>
        <v>1.0256151674062122</v>
      </c>
      <c r="I97" s="30">
        <f>IF('Peak Areas'!L93=0,0,((('Peak Areas'!L93*Coefficients!$G$21+Coefficients!$H$21)*$G97)))</f>
        <v>0</v>
      </c>
      <c r="J97" s="30">
        <f>IF('Peak Areas'!M93=0,0,((('Peak Areas'!M93*Coefficients!$G$20+Coefficients!$H$20)*$G97)))</f>
        <v>2.571505880281464E-2</v>
      </c>
      <c r="K97" s="30">
        <f>IF('Peak Areas'!N93=0,0,((('Peak Areas'!N93*Coefficients!$G$41+Coefficients!$H$41)*$G97)))</f>
        <v>2.2398443834993953E-2</v>
      </c>
      <c r="L97" s="30">
        <f>IF('Peak Areas'!O93=0,0,((('Peak Areas'!O93*Coefficients!$G$10+Coefficients!$H$10)*$G97)))</f>
        <v>0</v>
      </c>
      <c r="M97" s="30">
        <f>IF('Peak Areas'!P93=0,0,((('Peak Areas'!P93*Coefficients!$G$32+Coefficients!$H$32)*$G97)))</f>
        <v>0.22512104438310054</v>
      </c>
      <c r="N97" s="30">
        <f>IF('Peak Areas'!Q93=0,0,((('Peak Areas'!Q93*Coefficients!$G$11+Coefficients!$H$11)*$G97)))</f>
        <v>0</v>
      </c>
      <c r="O97" s="30">
        <f>IF('Peak Areas'!R93=0,0,((('Peak Areas'!R93*Coefficients!$G$39+Coefficients!$H$39)*$G97)))</f>
        <v>2.3188300407879486E-2</v>
      </c>
      <c r="P97" s="30">
        <f>IF('Peak Areas'!S93=0,0,((('Peak Areas'!S93*Coefficients!$G$46+Coefficients!$H$46)*$G97)))</f>
        <v>0</v>
      </c>
      <c r="Q97" s="30">
        <f>IF('Peak Areas'!T93=0,0,((('Peak Areas'!T93*Coefficients!$G$51+Coefficients!$H$51)*$G97)))</f>
        <v>0.19955323137812023</v>
      </c>
      <c r="R97" s="30">
        <f>IF('Peak Areas'!U93=0,0,((('Peak Areas'!U93*Coefficients!$G$26+Coefficients!$H$26)*$G97)))</f>
        <v>9.6529396260369285E-2</v>
      </c>
      <c r="S97" s="30">
        <f>IF('Peak Areas'!V93=0,0,((('Peak Areas'!V93*Coefficients!$G$13+Coefficients!$H$13)*$G97)))</f>
        <v>7.5293238070896495E-2</v>
      </c>
      <c r="T97" s="30">
        <f>IF('Peak Areas'!W93=0,0,((('Peak Areas'!W93*Coefficients!$G$12+Coefficients!$H$12)*$G97)))</f>
        <v>7.4723550028620425E-2</v>
      </c>
      <c r="U97" s="30">
        <f>IF('Peak Areas'!X93=0,0,((('Peak Areas'!X93*Coefficients!$G$27+Coefficients!$H$27)*$G97)))</f>
        <v>7.6227098104645523E-3</v>
      </c>
      <c r="V97" s="30">
        <f>IF('Peak Areas'!Y93=0,0,((('Peak Areas'!Y93*Coefficients!$G$34+Coefficients!$H$34)*$G97)))</f>
        <v>0.13849059920492895</v>
      </c>
      <c r="W97" s="30">
        <f>IF('Peak Areas'!Z93=0,0,((('Peak Areas'!Z93*Coefficients!$G$52+Coefficients!$H$52)*$G97)))</f>
        <v>0.25881071233035297</v>
      </c>
      <c r="X97" s="30">
        <f>IF('Peak Areas'!AA93=0,0,((('Peak Areas'!AA93*Coefficients!$G$33+Coefficients!$H$33)*$G97)))</f>
        <v>0</v>
      </c>
      <c r="Y97" s="30">
        <f>IF('Peak Areas'!AC93=0,0,((('Peak Areas'!AC93*Coefficients!$G$19+Coefficients!$H$19)*$G97)))</f>
        <v>9.8984917351225304E-2</v>
      </c>
      <c r="Z97" s="30">
        <f>IF('Peak Areas'!AD93=0,0,((('Peak Areas'!AD93*Coefficients!$G$18+Coefficients!$H$18)*$G97)))</f>
        <v>0</v>
      </c>
      <c r="AA97" s="30">
        <f>IF('Peak Areas'!AE93=0,0,((('Peak Areas'!AE93*Coefficients!$G$18+Coefficients!$H$18)*$G97)))</f>
        <v>1.8022205462837839</v>
      </c>
      <c r="AB97" s="30">
        <f>IF('Peak Areas'!AF93=0,0,((('Peak Areas'!AF93*Coefficients!$G$18+Coefficients!$H$18)*$G97)))</f>
        <v>0.17143876838392499</v>
      </c>
      <c r="AC97" s="30">
        <f>IF('Peak Areas'!AG93=0,0,((('Peak Areas'!AG93*Coefficients!$G$7+Coefficients!$H$7)*$G97)))</f>
        <v>0</v>
      </c>
      <c r="AD97" s="30">
        <f>IF('Peak Areas'!AH93=0,0,((('Peak Areas'!AH93*Coefficients!$G$6+Coefficients!$H$6)*$G97)))</f>
        <v>7.3086152148297695E-2</v>
      </c>
      <c r="AF97" s="30">
        <f>IF('Peak Areas'!K93=0,0,((('Peak Areas'!K93*Coefficients!$G$22+Coefficients!$H$22)*$G97)))</f>
        <v>0</v>
      </c>
      <c r="AG97" s="30">
        <f t="shared" si="2"/>
        <v>1.8022205462837839</v>
      </c>
      <c r="AH97" s="30">
        <f t="shared" si="3"/>
        <v>1.9736593146677088</v>
      </c>
    </row>
    <row r="98" spans="1:34" x14ac:dyDescent="0.25">
      <c r="A98" s="2">
        <f>'Peak Areas'!A94</f>
        <v>84</v>
      </c>
      <c r="B98" s="62">
        <f>'Peak Areas'!B94</f>
        <v>45856</v>
      </c>
      <c r="C98" s="2" t="str">
        <f>'Peak Areas'!C94</f>
        <v>control 25</v>
      </c>
      <c r="D98" s="2">
        <f>'Peak Areas'!D94</f>
        <v>0</v>
      </c>
      <c r="E98" s="2">
        <f>'Peak Areas'!E94</f>
        <v>0</v>
      </c>
      <c r="F98" s="30">
        <f>'Peak Areas'!F94</f>
        <v>0.1</v>
      </c>
      <c r="G98" s="30">
        <f>((1/'Peak Areas'!$G94)*(('Peak Areas'!$H94+('Internal Standard'!$E$10/1000))/'Peak Areas'!$F94)*'Peak Areas'!$J94)*H98</f>
        <v>0.17529774064726156</v>
      </c>
      <c r="H98" s="30">
        <f>(('Internal Standard'!$F$13*('Peak Areas'!G94/'Internal Standard'!$C$10))/'Peak Areas'!AB94)</f>
        <v>2.5970035651446155</v>
      </c>
      <c r="I98" s="30">
        <f>IF('Peak Areas'!L94=0,0,((('Peak Areas'!L94*Coefficients!$G$21+Coefficients!$H$21)*$G98)))</f>
        <v>0</v>
      </c>
      <c r="J98" s="30">
        <f>IF('Peak Areas'!M94=0,0,((('Peak Areas'!M94*Coefficients!$G$20+Coefficients!$H$20)*$G98)))</f>
        <v>0.35332071645997176</v>
      </c>
      <c r="K98" s="30">
        <f>IF('Peak Areas'!N94=0,0,((('Peak Areas'!N94*Coefficients!$G$41+Coefficients!$H$41)*$G98)))</f>
        <v>0.1254468321086043</v>
      </c>
      <c r="L98" s="30">
        <f>IF('Peak Areas'!O94=0,0,((('Peak Areas'!O94*Coefficients!$G$10+Coefficients!$H$10)*$G98)))</f>
        <v>0</v>
      </c>
      <c r="M98" s="30">
        <f>IF('Peak Areas'!P94=0,0,((('Peak Areas'!P94*Coefficients!$G$32+Coefficients!$H$32)*$G98)))</f>
        <v>1.1243521750911314</v>
      </c>
      <c r="N98" s="30">
        <f>IF('Peak Areas'!Q94=0,0,((('Peak Areas'!Q94*Coefficients!$G$11+Coefficients!$H$11)*$G98)))</f>
        <v>0</v>
      </c>
      <c r="O98" s="30">
        <f>IF('Peak Areas'!R94=0,0,((('Peak Areas'!R94*Coefficients!$G$39+Coefficients!$H$39)*$G98)))</f>
        <v>0.34103654703806963</v>
      </c>
      <c r="P98" s="30">
        <f>IF('Peak Areas'!S94=0,0,((('Peak Areas'!S94*Coefficients!$G$46+Coefficients!$H$46)*$G98)))</f>
        <v>0</v>
      </c>
      <c r="Q98" s="30">
        <f>IF('Peak Areas'!T94=0,0,((('Peak Areas'!T94*Coefficients!$G$51+Coefficients!$H$51)*$G98)))</f>
        <v>0.82638240595060086</v>
      </c>
      <c r="R98" s="30">
        <f>IF('Peak Areas'!U94=0,0,((('Peak Areas'!U94*Coefficients!$G$26+Coefficients!$H$26)*$G98)))</f>
        <v>0.34053489637490919</v>
      </c>
      <c r="S98" s="30">
        <f>IF('Peak Areas'!V94=0,0,((('Peak Areas'!V94*Coefficients!$G$13+Coefficients!$H$13)*$G98)))</f>
        <v>0.16218931881710577</v>
      </c>
      <c r="T98" s="30">
        <f>IF('Peak Areas'!W94=0,0,((('Peak Areas'!W94*Coefficients!$G$12+Coefficients!$H$12)*$G98)))</f>
        <v>0.53728644362388855</v>
      </c>
      <c r="U98" s="30">
        <f>IF('Peak Areas'!X94=0,0,((('Peak Areas'!X94*Coefficients!$G$27+Coefficients!$H$27)*$G98)))</f>
        <v>0</v>
      </c>
      <c r="V98" s="30">
        <f>IF('Peak Areas'!Y94=0,0,((('Peak Areas'!Y94*Coefficients!$G$34+Coefficients!$H$34)*$G98)))</f>
        <v>1.2596413905858879</v>
      </c>
      <c r="W98" s="30">
        <f>IF('Peak Areas'!Z94=0,0,((('Peak Areas'!Z94*Coefficients!$G$52+Coefficients!$H$52)*$G98)))</f>
        <v>0.66465200740836639</v>
      </c>
      <c r="X98" s="30">
        <f>IF('Peak Areas'!AA94=0,0,((('Peak Areas'!AA94*Coefficients!$G$33+Coefficients!$H$33)*$G98)))</f>
        <v>0</v>
      </c>
      <c r="Y98" s="30">
        <f>IF('Peak Areas'!AC94=0,0,((('Peak Areas'!AC94*Coefficients!$G$19+Coefficients!$H$19)*$G98)))</f>
        <v>1.1301486201432298</v>
      </c>
      <c r="Z98" s="30">
        <f>IF('Peak Areas'!AD94=0,0,((('Peak Areas'!AD94*Coefficients!$G$18+Coefficients!$H$18)*$G98)))</f>
        <v>0</v>
      </c>
      <c r="AA98" s="30">
        <f>IF('Peak Areas'!AE94=0,0,((('Peak Areas'!AE94*Coefficients!$G$18+Coefficients!$H$18)*$G98)))</f>
        <v>9.965188702184598</v>
      </c>
      <c r="AB98" s="30">
        <f>IF('Peak Areas'!AF94=0,0,((('Peak Areas'!AF94*Coefficients!$G$18+Coefficients!$H$18)*$G98)))</f>
        <v>0.7177967773223688</v>
      </c>
      <c r="AC98" s="30">
        <f>IF('Peak Areas'!AG94=0,0,((('Peak Areas'!AG94*Coefficients!$G$7+Coefficients!$H$7)*$G98)))</f>
        <v>0</v>
      </c>
      <c r="AD98" s="30">
        <f>IF('Peak Areas'!AH94=0,0,((('Peak Areas'!AH94*Coefficients!$G$6+Coefficients!$H$6)*$G98)))</f>
        <v>0.28237363304359658</v>
      </c>
      <c r="AF98" s="30">
        <f>IF('Peak Areas'!K94=0,0,((('Peak Areas'!K94*Coefficients!$G$22+Coefficients!$H$22)*$G98)))</f>
        <v>0.12133091082152872</v>
      </c>
      <c r="AG98" s="30">
        <f t="shared" si="2"/>
        <v>10.086519613006127</v>
      </c>
      <c r="AH98" s="30">
        <f t="shared" si="3"/>
        <v>10.804316390328495</v>
      </c>
    </row>
    <row r="99" spans="1:34" x14ac:dyDescent="0.25">
      <c r="A99" s="2">
        <f>'Peak Areas'!A95</f>
        <v>85</v>
      </c>
      <c r="B99" s="62">
        <f>'Peak Areas'!B95</f>
        <v>45856</v>
      </c>
      <c r="C99" s="2" t="str">
        <f>'Peak Areas'!C95</f>
        <v>control 50</v>
      </c>
      <c r="D99" s="2">
        <f>'Peak Areas'!D95</f>
        <v>0</v>
      </c>
      <c r="E99" s="2">
        <f>'Peak Areas'!E95</f>
        <v>0</v>
      </c>
      <c r="F99" s="30">
        <f>'Peak Areas'!F95</f>
        <v>0.1</v>
      </c>
      <c r="G99" s="30">
        <f>((1/'Peak Areas'!$G95)*(('Peak Areas'!$H95+('Internal Standard'!$E$10/1000))/'Peak Areas'!$F95)*'Peak Areas'!$J95)*H99</f>
        <v>4.4254106038307178E-2</v>
      </c>
      <c r="H99" s="30">
        <f>(('Internal Standard'!$F$13*('Peak Areas'!G95/'Internal Standard'!$C$10))/'Peak Areas'!AB95)</f>
        <v>1.0412730832542865</v>
      </c>
      <c r="I99" s="30">
        <f>IF('Peak Areas'!L95=0,0,((('Peak Areas'!L95*Coefficients!$G$21+Coefficients!$H$21)*$G99)))</f>
        <v>0</v>
      </c>
      <c r="J99" s="30">
        <f>IF('Peak Areas'!M95=0,0,((('Peak Areas'!M95*Coefficients!$G$20+Coefficients!$H$20)*$G99)))</f>
        <v>3.6153343881843172E-2</v>
      </c>
      <c r="K99" s="30">
        <f>IF('Peak Areas'!N95=0,0,((('Peak Areas'!N95*Coefficients!$G$41+Coefficients!$H$41)*$G99)))</f>
        <v>2.7346825180404769E-2</v>
      </c>
      <c r="L99" s="30">
        <f>IF('Peak Areas'!O95=0,0,((('Peak Areas'!O95*Coefficients!$G$10+Coefficients!$H$10)*$G99)))</f>
        <v>0</v>
      </c>
      <c r="M99" s="30">
        <f>IF('Peak Areas'!P95=0,0,((('Peak Areas'!P95*Coefficients!$G$32+Coefficients!$H$32)*$G99)))</f>
        <v>0.33096122445173337</v>
      </c>
      <c r="N99" s="30">
        <f>IF('Peak Areas'!Q95=0,0,((('Peak Areas'!Q95*Coefficients!$G$11+Coefficients!$H$11)*$G99)))</f>
        <v>0</v>
      </c>
      <c r="O99" s="30">
        <f>IF('Peak Areas'!R95=0,0,((('Peak Areas'!R95*Coefficients!$G$39+Coefficients!$H$39)*$G99)))</f>
        <v>3.0132236290832223E-2</v>
      </c>
      <c r="P99" s="30">
        <f>IF('Peak Areas'!S95=0,0,((('Peak Areas'!S95*Coefficients!$G$46+Coefficients!$H$46)*$G99)))</f>
        <v>0</v>
      </c>
      <c r="Q99" s="30">
        <f>IF('Peak Areas'!T95=0,0,((('Peak Areas'!T95*Coefficients!$G$51+Coefficients!$H$51)*$G99)))</f>
        <v>0.30555060355923042</v>
      </c>
      <c r="R99" s="30">
        <f>IF('Peak Areas'!U95=0,0,((('Peak Areas'!U95*Coefficients!$G$26+Coefficients!$H$26)*$G99)))</f>
        <v>0.12766044276810803</v>
      </c>
      <c r="S99" s="30">
        <f>IF('Peak Areas'!V95=0,0,((('Peak Areas'!V95*Coefficients!$G$13+Coefficients!$H$13)*$G99)))</f>
        <v>0.10856059196526145</v>
      </c>
      <c r="T99" s="30">
        <f>IF('Peak Areas'!W95=0,0,((('Peak Areas'!W95*Coefficients!$G$12+Coefficients!$H$12)*$G99)))</f>
        <v>9.6789108753040559E-2</v>
      </c>
      <c r="U99" s="30">
        <f>IF('Peak Areas'!X95=0,0,((('Peak Areas'!X95*Coefficients!$G$27+Coefficients!$H$27)*$G99)))</f>
        <v>1.100927595062043E-2</v>
      </c>
      <c r="V99" s="30">
        <f>IF('Peak Areas'!Y95=0,0,((('Peak Areas'!Y95*Coefficients!$G$34+Coefficients!$H$34)*$G99)))</f>
        <v>0.18237525513158423</v>
      </c>
      <c r="W99" s="30">
        <f>IF('Peak Areas'!Z95=0,0,((('Peak Areas'!Z95*Coefficients!$G$52+Coefficients!$H$52)*$G99)))</f>
        <v>0.34693834800099871</v>
      </c>
      <c r="X99" s="30">
        <f>IF('Peak Areas'!AA95=0,0,((('Peak Areas'!AA95*Coefficients!$G$33+Coefficients!$H$33)*$G99)))</f>
        <v>2.5243627760497947E-2</v>
      </c>
      <c r="Y99" s="30">
        <f>IF('Peak Areas'!AC95=0,0,((('Peak Areas'!AC95*Coefficients!$G$19+Coefficients!$H$19)*$G99)))</f>
        <v>0.14684012366400342</v>
      </c>
      <c r="Z99" s="30">
        <f>IF('Peak Areas'!AD95=0,0,((('Peak Areas'!AD95*Coefficients!$G$18+Coefficients!$H$18)*$G99)))</f>
        <v>6.3053303388307322E-2</v>
      </c>
      <c r="AA99" s="30">
        <f>IF('Peak Areas'!AE95=0,0,((('Peak Areas'!AE95*Coefficients!$G$18+Coefficients!$H$18)*$G99)))</f>
        <v>2.4530596010603638</v>
      </c>
      <c r="AB99" s="30">
        <f>IF('Peak Areas'!AF95=0,0,((('Peak Areas'!AF95*Coefficients!$G$18+Coefficients!$H$18)*$G99)))</f>
        <v>0.23012412170623531</v>
      </c>
      <c r="AC99" s="30">
        <f>IF('Peak Areas'!AG95=0,0,((('Peak Areas'!AG95*Coefficients!$G$7+Coefficients!$H$7)*$G99)))</f>
        <v>0</v>
      </c>
      <c r="AD99" s="30">
        <f>IF('Peak Areas'!AH95=0,0,((('Peak Areas'!AH95*Coefficients!$G$6+Coefficients!$H$6)*$G99)))</f>
        <v>0.10259533754042791</v>
      </c>
      <c r="AF99" s="30">
        <f>IF('Peak Areas'!K95=0,0,((('Peak Areas'!K95*Coefficients!$G$22+Coefficients!$H$22)*$G99)))</f>
        <v>0</v>
      </c>
      <c r="AG99" s="30">
        <f t="shared" si="2"/>
        <v>2.4530596010603638</v>
      </c>
      <c r="AH99" s="30">
        <f t="shared" si="3"/>
        <v>2.7462370261549065</v>
      </c>
    </row>
    <row r="100" spans="1:34" x14ac:dyDescent="0.25">
      <c r="A100" s="2">
        <f>'Peak Areas'!A96</f>
        <v>86</v>
      </c>
      <c r="B100" s="62">
        <f>'Peak Areas'!B96</f>
        <v>45856</v>
      </c>
      <c r="C100" s="2" t="str">
        <f>'Peak Areas'!C96</f>
        <v>control 50</v>
      </c>
      <c r="D100" s="2">
        <f>'Peak Areas'!D96</f>
        <v>0</v>
      </c>
      <c r="E100" s="2">
        <f>'Peak Areas'!E96</f>
        <v>0</v>
      </c>
      <c r="F100" s="30">
        <f>'Peak Areas'!F96</f>
        <v>0.1</v>
      </c>
      <c r="G100" s="30">
        <f>((1/'Peak Areas'!$G96)*(('Peak Areas'!$H96+('Internal Standard'!$E$10/1000))/'Peak Areas'!$F96)*'Peak Areas'!$J96)*H100</f>
        <v>4.3248728261009908E-2</v>
      </c>
      <c r="H100" s="30">
        <f>(('Internal Standard'!$F$13*('Peak Areas'!G96/'Internal Standard'!$C$10))/'Peak Areas'!AB96)</f>
        <v>1.0176171355531742</v>
      </c>
      <c r="I100" s="30">
        <f>IF('Peak Areas'!L96=0,0,((('Peak Areas'!L96*Coefficients!$G$21+Coefficients!$H$21)*$G100)))</f>
        <v>0</v>
      </c>
      <c r="J100" s="30">
        <f>IF('Peak Areas'!M96=0,0,((('Peak Areas'!M96*Coefficients!$G$20+Coefficients!$H$20)*$G100)))</f>
        <v>4.1140969069616895E-2</v>
      </c>
      <c r="K100" s="30">
        <f>IF('Peak Areas'!N96=0,0,((('Peak Areas'!N96*Coefficients!$G$41+Coefficients!$H$41)*$G100)))</f>
        <v>2.7738451895321359E-2</v>
      </c>
      <c r="L100" s="30">
        <f>IF('Peak Areas'!O96=0,0,((('Peak Areas'!O96*Coefficients!$G$10+Coefficients!$H$10)*$G100)))</f>
        <v>0</v>
      </c>
      <c r="M100" s="30">
        <f>IF('Peak Areas'!P96=0,0,((('Peak Areas'!P96*Coefficients!$G$32+Coefficients!$H$32)*$G100)))</f>
        <v>0.34933782678458414</v>
      </c>
      <c r="N100" s="30">
        <f>IF('Peak Areas'!Q96=0,0,((('Peak Areas'!Q96*Coefficients!$G$11+Coefficients!$H$11)*$G100)))</f>
        <v>0</v>
      </c>
      <c r="O100" s="30">
        <f>IF('Peak Areas'!R96=0,0,((('Peak Areas'!R96*Coefficients!$G$39+Coefficients!$H$39)*$G100)))</f>
        <v>3.5155900128492741E-2</v>
      </c>
      <c r="P100" s="30">
        <f>IF('Peak Areas'!S96=0,0,((('Peak Areas'!S96*Coefficients!$G$46+Coefficients!$H$46)*$G100)))</f>
        <v>0</v>
      </c>
      <c r="Q100" s="30">
        <f>IF('Peak Areas'!T96=0,0,((('Peak Areas'!T96*Coefficients!$G$51+Coefficients!$H$51)*$G100)))</f>
        <v>0.30448313684886363</v>
      </c>
      <c r="R100" s="30">
        <f>IF('Peak Areas'!U96=0,0,((('Peak Areas'!U96*Coefficients!$G$26+Coefficients!$H$26)*$G100)))</f>
        <v>0.13513457255777092</v>
      </c>
      <c r="S100" s="30">
        <f>IF('Peak Areas'!V96=0,0,((('Peak Areas'!V96*Coefficients!$G$13+Coefficients!$H$13)*$G100)))</f>
        <v>0.11715306849369549</v>
      </c>
      <c r="T100" s="30">
        <f>IF('Peak Areas'!W96=0,0,((('Peak Areas'!W96*Coefficients!$G$12+Coefficients!$H$12)*$G100)))</f>
        <v>9.7822091755897789E-2</v>
      </c>
      <c r="U100" s="30">
        <f>IF('Peak Areas'!X96=0,0,((('Peak Areas'!X96*Coefficients!$G$27+Coefficients!$H$27)*$G100)))</f>
        <v>9.9116031505665191E-3</v>
      </c>
      <c r="V100" s="30">
        <f>IF('Peak Areas'!Y96=0,0,((('Peak Areas'!Y96*Coefficients!$G$34+Coefficients!$H$34)*$G100)))</f>
        <v>0.19244266270217325</v>
      </c>
      <c r="W100" s="30">
        <f>IF('Peak Areas'!Z96=0,0,((('Peak Areas'!Z96*Coefficients!$G$52+Coefficients!$H$52)*$G100)))</f>
        <v>0.37006056437607882</v>
      </c>
      <c r="X100" s="30">
        <f>IF('Peak Areas'!AA96=0,0,((('Peak Areas'!AA96*Coefficients!$G$33+Coefficients!$H$33)*$G100)))</f>
        <v>1.8210933177757075E-2</v>
      </c>
      <c r="Y100" s="30">
        <f>IF('Peak Areas'!AC96=0,0,((('Peak Areas'!AC96*Coefficients!$G$19+Coefficients!$H$19)*$G100)))</f>
        <v>0.15697123803145863</v>
      </c>
      <c r="Z100" s="30">
        <f>IF('Peak Areas'!AD96=0,0,((('Peak Areas'!AD96*Coefficients!$G$18+Coefficients!$H$18)*$G100)))</f>
        <v>7.6472297514169896E-2</v>
      </c>
      <c r="AA100" s="30">
        <f>IF('Peak Areas'!AE96=0,0,((('Peak Areas'!AE96*Coefficients!$G$18+Coefficients!$H$18)*$G100)))</f>
        <v>2.6467185629203844</v>
      </c>
      <c r="AB100" s="30">
        <f>IF('Peak Areas'!AF96=0,0,((('Peak Areas'!AF96*Coefficients!$G$18+Coefficients!$H$18)*$G100)))</f>
        <v>0.25703188886707107</v>
      </c>
      <c r="AC100" s="30">
        <f>IF('Peak Areas'!AG96=0,0,((('Peak Areas'!AG96*Coefficients!$G$7+Coefficients!$H$7)*$G100)))</f>
        <v>0</v>
      </c>
      <c r="AD100" s="30">
        <f>IF('Peak Areas'!AH96=0,0,((('Peak Areas'!AH96*Coefficients!$G$6+Coefficients!$H$6)*$G100)))</f>
        <v>0.19892078866379115</v>
      </c>
      <c r="AF100" s="30">
        <f>IF('Peak Areas'!K96=0,0,((('Peak Areas'!K96*Coefficients!$G$22+Coefficients!$H$22)*$G100)))</f>
        <v>0</v>
      </c>
      <c r="AG100" s="30">
        <f t="shared" si="2"/>
        <v>2.6467185629203844</v>
      </c>
      <c r="AH100" s="30">
        <f t="shared" si="3"/>
        <v>2.9802227493016256</v>
      </c>
    </row>
    <row r="101" spans="1:34" x14ac:dyDescent="0.25">
      <c r="A101" s="2">
        <f>'Peak Areas'!A97</f>
        <v>87</v>
      </c>
      <c r="B101" s="62">
        <f>'Peak Areas'!B97</f>
        <v>45856</v>
      </c>
      <c r="C101" s="2" t="str">
        <f>'Peak Areas'!C97</f>
        <v>control 75</v>
      </c>
      <c r="D101" s="2">
        <f>'Peak Areas'!D97</f>
        <v>0</v>
      </c>
      <c r="E101" s="2">
        <f>'Peak Areas'!E97</f>
        <v>0</v>
      </c>
      <c r="F101" s="30">
        <f>'Peak Areas'!F97</f>
        <v>0.1</v>
      </c>
      <c r="G101" s="30">
        <f>((1/'Peak Areas'!$G97)*(('Peak Areas'!$H97+('Internal Standard'!$E$10/1000))/'Peak Areas'!$F97)*'Peak Areas'!$J97)*H101</f>
        <v>4.2628017912772591E-2</v>
      </c>
      <c r="H101" s="30">
        <f>(('Internal Standard'!$F$13*('Peak Areas'!G97/'Internal Standard'!$C$10))/'Peak Areas'!AB97)</f>
        <v>1.0030121861828845</v>
      </c>
      <c r="I101" s="30">
        <f>IF('Peak Areas'!L97=0,0,((('Peak Areas'!L97*Coefficients!$G$21+Coefficients!$H$21)*$G101)))</f>
        <v>0</v>
      </c>
      <c r="J101" s="30">
        <f>IF('Peak Areas'!M97=0,0,((('Peak Areas'!M97*Coefficients!$G$20+Coefficients!$H$20)*$G101)))</f>
        <v>6.2209713701144663E-2</v>
      </c>
      <c r="K101" s="30">
        <f>IF('Peak Areas'!N97=0,0,((('Peak Areas'!N97*Coefficients!$G$41+Coefficients!$H$41)*$G101)))</f>
        <v>5.0946077441442771E-2</v>
      </c>
      <c r="L101" s="30">
        <f>IF('Peak Areas'!O97=0,0,((('Peak Areas'!O97*Coefficients!$G$10+Coefficients!$H$10)*$G101)))</f>
        <v>0</v>
      </c>
      <c r="M101" s="30">
        <f>IF('Peak Areas'!P97=0,0,((('Peak Areas'!P97*Coefficients!$G$32+Coefficients!$H$32)*$G101)))</f>
        <v>0.5249399389276066</v>
      </c>
      <c r="N101" s="30">
        <f>IF('Peak Areas'!Q97=0,0,((('Peak Areas'!Q97*Coefficients!$G$11+Coefficients!$H$11)*$G101)))</f>
        <v>0</v>
      </c>
      <c r="O101" s="30">
        <f>IF('Peak Areas'!R97=0,0,((('Peak Areas'!R97*Coefficients!$G$39+Coefficients!$H$39)*$G101)))</f>
        <v>5.3926353028312161E-2</v>
      </c>
      <c r="P101" s="30">
        <f>IF('Peak Areas'!S97=0,0,((('Peak Areas'!S97*Coefficients!$G$46+Coefficients!$H$46)*$G101)))</f>
        <v>0</v>
      </c>
      <c r="Q101" s="30">
        <f>IF('Peak Areas'!T97=0,0,((('Peak Areas'!T97*Coefficients!$G$51+Coefficients!$H$51)*$G101)))</f>
        <v>0.47628824527637953</v>
      </c>
      <c r="R101" s="30">
        <f>IF('Peak Areas'!U97=0,0,((('Peak Areas'!U97*Coefficients!$G$26+Coefficients!$H$26)*$G101)))</f>
        <v>0.21501434784100068</v>
      </c>
      <c r="S101" s="30">
        <f>IF('Peak Areas'!V97=0,0,((('Peak Areas'!V97*Coefficients!$G$13+Coefficients!$H$13)*$G101)))</f>
        <v>0.18038449339405813</v>
      </c>
      <c r="T101" s="30">
        <f>IF('Peak Areas'!W97=0,0,((('Peak Areas'!W97*Coefficients!$G$12+Coefficients!$H$12)*$G101)))</f>
        <v>0.17738718642853143</v>
      </c>
      <c r="U101" s="30">
        <f>IF('Peak Areas'!X97=0,0,((('Peak Areas'!X97*Coefficients!$G$27+Coefficients!$H$27)*$G101)))</f>
        <v>2.3380461478254969E-2</v>
      </c>
      <c r="V101" s="30">
        <f>IF('Peak Areas'!Y97=0,0,((('Peak Areas'!Y97*Coefficients!$G$34+Coefficients!$H$34)*$G101)))</f>
        <v>0.28681047921669273</v>
      </c>
      <c r="W101" s="30">
        <f>IF('Peak Areas'!Z97=0,0,((('Peak Areas'!Z97*Coefficients!$G$52+Coefficients!$H$52)*$G101)))</f>
        <v>0.54108638611518689</v>
      </c>
      <c r="X101" s="30">
        <f>IF('Peak Areas'!AA97=0,0,((('Peak Areas'!AA97*Coefficients!$G$33+Coefficients!$H$33)*$G101)))</f>
        <v>3.1824880937658444E-2</v>
      </c>
      <c r="Y101" s="30">
        <f>IF('Peak Areas'!AC97=0,0,((('Peak Areas'!AC97*Coefficients!$G$19+Coefficients!$H$19)*$G101)))</f>
        <v>0.21457675223824477</v>
      </c>
      <c r="Z101" s="30">
        <f>IF('Peak Areas'!AD97=0,0,((('Peak Areas'!AD97*Coefficients!$G$18+Coefficients!$H$18)*$G101)))</f>
        <v>0.12598250311526482</v>
      </c>
      <c r="AA101" s="30">
        <f>IF('Peak Areas'!AE97=0,0,((('Peak Areas'!AE97*Coefficients!$G$18+Coefficients!$H$18)*$G101)))</f>
        <v>3.9722068489339959</v>
      </c>
      <c r="AB101" s="30">
        <f>IF('Peak Areas'!AF97=0,0,((('Peak Areas'!AF97*Coefficients!$G$18+Coefficients!$H$18)*$G101)))</f>
        <v>0.39439323667007409</v>
      </c>
      <c r="AC101" s="30">
        <f>IF('Peak Areas'!AG97=0,0,((('Peak Areas'!AG97*Coefficients!$G$7+Coefficients!$H$7)*$G101)))</f>
        <v>0</v>
      </c>
      <c r="AD101" s="30">
        <f>IF('Peak Areas'!AH97=0,0,((('Peak Areas'!AH97*Coefficients!$G$6+Coefficients!$H$6)*$G101)))</f>
        <v>0.37196528288723718</v>
      </c>
      <c r="AF101" s="30">
        <f>IF('Peak Areas'!K97=0,0,((('Peak Areas'!K97*Coefficients!$G$22+Coefficients!$H$22)*$G101)))</f>
        <v>1.5464766532675478E-2</v>
      </c>
      <c r="AG101" s="30">
        <f t="shared" si="2"/>
        <v>3.9876716154666711</v>
      </c>
      <c r="AH101" s="30">
        <f t="shared" si="3"/>
        <v>4.5080473552520095</v>
      </c>
    </row>
    <row r="102" spans="1:34" x14ac:dyDescent="0.25">
      <c r="A102" s="2">
        <f>'Peak Areas'!A98</f>
        <v>88</v>
      </c>
      <c r="B102" s="62">
        <f>'Peak Areas'!B98</f>
        <v>45856</v>
      </c>
      <c r="C102" s="2" t="str">
        <f>'Peak Areas'!C98</f>
        <v>control 75</v>
      </c>
      <c r="D102" s="2">
        <f>'Peak Areas'!D98</f>
        <v>0</v>
      </c>
      <c r="E102" s="2">
        <f>'Peak Areas'!E98</f>
        <v>0</v>
      </c>
      <c r="F102" s="30">
        <f>'Peak Areas'!F98</f>
        <v>0.1</v>
      </c>
      <c r="G102" s="30">
        <f>((1/'Peak Areas'!$G98)*(('Peak Areas'!$H98+('Internal Standard'!$E$10/1000))/'Peak Areas'!$F98)*'Peak Areas'!$J98)*H102</f>
        <v>5.3022745332058585E-2</v>
      </c>
      <c r="H102" s="30">
        <f>(('Internal Standard'!$F$13*('Peak Areas'!G98/'Internal Standard'!$C$10))/'Peak Areas'!AB98)</f>
        <v>1.2475940078131431</v>
      </c>
      <c r="I102" s="30">
        <f>IF('Peak Areas'!L98=0,0,((('Peak Areas'!L98*Coefficients!$G$21+Coefficients!$H$21)*$G102)))</f>
        <v>0</v>
      </c>
      <c r="J102" s="30">
        <f>IF('Peak Areas'!M98=0,0,((('Peak Areas'!M98*Coefficients!$G$20+Coefficients!$H$20)*$G102)))</f>
        <v>0.21493180624673958</v>
      </c>
      <c r="K102" s="30">
        <f>IF('Peak Areas'!N98=0,0,((('Peak Areas'!N98*Coefficients!$G$41+Coefficients!$H$41)*$G102)))</f>
        <v>7.6145993839924764E-2</v>
      </c>
      <c r="L102" s="30">
        <f>IF('Peak Areas'!O98=0,0,((('Peak Areas'!O98*Coefficients!$G$10+Coefficients!$H$10)*$G102)))</f>
        <v>0</v>
      </c>
      <c r="M102" s="30">
        <f>IF('Peak Areas'!P98=0,0,((('Peak Areas'!P98*Coefficients!$G$32+Coefficients!$H$32)*$G102)))</f>
        <v>0.58530641536132433</v>
      </c>
      <c r="N102" s="30">
        <f>IF('Peak Areas'!Q98=0,0,((('Peak Areas'!Q98*Coefficients!$G$11+Coefficients!$H$11)*$G102)))</f>
        <v>0</v>
      </c>
      <c r="O102" s="30">
        <f>IF('Peak Areas'!R98=0,0,((('Peak Areas'!R98*Coefficients!$G$39+Coefficients!$H$39)*$G102)))</f>
        <v>7.8660307848588962E-2</v>
      </c>
      <c r="P102" s="30">
        <f>IF('Peak Areas'!S98=0,0,((('Peak Areas'!S98*Coefficients!$G$46+Coefficients!$H$46)*$G102)))</f>
        <v>0</v>
      </c>
      <c r="Q102" s="30">
        <f>IF('Peak Areas'!T98=0,0,((('Peak Areas'!T98*Coefficients!$G$51+Coefficients!$H$51)*$G102)))</f>
        <v>0.49296391012298546</v>
      </c>
      <c r="R102" s="30">
        <f>IF('Peak Areas'!U98=0,0,((('Peak Areas'!U98*Coefficients!$G$26+Coefficients!$H$26)*$G102)))</f>
        <v>0.22814825592742538</v>
      </c>
      <c r="S102" s="30">
        <f>IF('Peak Areas'!V98=0,0,((('Peak Areas'!V98*Coefficients!$G$13+Coefficients!$H$13)*$G102)))</f>
        <v>0.18374723697674128</v>
      </c>
      <c r="T102" s="30">
        <f>IF('Peak Areas'!W98=0,0,((('Peak Areas'!W98*Coefficients!$G$12+Coefficients!$H$12)*$G102)))</f>
        <v>0.18162739111786674</v>
      </c>
      <c r="U102" s="30">
        <f>IF('Peak Areas'!X98=0,0,((('Peak Areas'!X98*Coefficients!$G$27+Coefficients!$H$27)*$G102)))</f>
        <v>1.7036039545575751E-2</v>
      </c>
      <c r="V102" s="30">
        <f>IF('Peak Areas'!Y98=0,0,((('Peak Areas'!Y98*Coefficients!$G$34+Coefficients!$H$34)*$G102)))</f>
        <v>0.29477137107056273</v>
      </c>
      <c r="W102" s="30">
        <f>IF('Peak Areas'!Z98=0,0,((('Peak Areas'!Z98*Coefficients!$G$52+Coefficients!$H$52)*$G102)))</f>
        <v>0.54534255609085558</v>
      </c>
      <c r="X102" s="30">
        <f>IF('Peak Areas'!AA98=0,0,((('Peak Areas'!AA98*Coefficients!$G$33+Coefficients!$H$33)*$G102)))</f>
        <v>0</v>
      </c>
      <c r="Y102" s="30">
        <f>IF('Peak Areas'!AC98=0,0,((('Peak Areas'!AC98*Coefficients!$G$19+Coefficients!$H$19)*$G102)))</f>
        <v>0.20431526571531181</v>
      </c>
      <c r="Z102" s="30">
        <f>IF('Peak Areas'!AD98=0,0,((('Peak Areas'!AD98*Coefficients!$G$18+Coefficients!$H$18)*$G102)))</f>
        <v>0</v>
      </c>
      <c r="AA102" s="30">
        <f>IF('Peak Areas'!AE98=0,0,((('Peak Areas'!AE98*Coefficients!$G$18+Coefficients!$H$18)*$G102)))</f>
        <v>3.9901391063887806</v>
      </c>
      <c r="AB102" s="30">
        <f>IF('Peak Areas'!AF98=0,0,((('Peak Areas'!AF98*Coefficients!$G$18+Coefficients!$H$18)*$G102)))</f>
        <v>0.35583155056750554</v>
      </c>
      <c r="AC102" s="30">
        <f>IF('Peak Areas'!AG98=0,0,((('Peak Areas'!AG98*Coefficients!$G$7+Coefficients!$H$7)*$G102)))</f>
        <v>0</v>
      </c>
      <c r="AD102" s="30">
        <f>IF('Peak Areas'!AH98=0,0,((('Peak Areas'!AH98*Coefficients!$G$6+Coefficients!$H$6)*$G102)))</f>
        <v>8.9528519869358669E-2</v>
      </c>
      <c r="AF102" s="30">
        <f>IF('Peak Areas'!K98=0,0,((('Peak Areas'!K98*Coefficients!$G$22+Coefficients!$H$22)*$G102)))</f>
        <v>8.3762938559923311E-2</v>
      </c>
      <c r="AG102" s="30">
        <f t="shared" si="2"/>
        <v>4.0739020449487038</v>
      </c>
      <c r="AH102" s="30">
        <f t="shared" si="3"/>
        <v>4.4297335955162094</v>
      </c>
    </row>
    <row r="103" spans="1:34" x14ac:dyDescent="0.25">
      <c r="A103" s="2">
        <f>'Peak Areas'!A99</f>
        <v>89</v>
      </c>
      <c r="B103" s="62">
        <f>'Peak Areas'!B99</f>
        <v>45856</v>
      </c>
      <c r="C103" s="2" t="str">
        <f>'Peak Areas'!C99</f>
        <v>control 100</v>
      </c>
      <c r="D103" s="2">
        <f>'Peak Areas'!D99</f>
        <v>0</v>
      </c>
      <c r="E103" s="2">
        <f>'Peak Areas'!E99</f>
        <v>0</v>
      </c>
      <c r="F103" s="30">
        <f>'Peak Areas'!F99</f>
        <v>0.1</v>
      </c>
      <c r="G103" s="30">
        <f>((1/'Peak Areas'!$G99)*(('Peak Areas'!$H99+('Internal Standard'!$E$10/1000))/'Peak Areas'!$F99)*'Peak Areas'!$J99)*H103</f>
        <v>4.6824153466370706E-2</v>
      </c>
      <c r="H103" s="30">
        <f>(('Internal Standard'!$F$13*('Peak Areas'!G99/'Internal Standard'!$C$10))/'Peak Areas'!AB99)</f>
        <v>1.1017447874440165</v>
      </c>
      <c r="I103" s="30">
        <f>IF('Peak Areas'!L99=0,0,((('Peak Areas'!L99*Coefficients!$G$21+Coefficients!$H$21)*$G103)))</f>
        <v>0</v>
      </c>
      <c r="J103" s="30">
        <f>IF('Peak Areas'!M99=0,0,((('Peak Areas'!M99*Coefficients!$G$20+Coefficients!$H$20)*$G103)))</f>
        <v>9.0522811130507114E-2</v>
      </c>
      <c r="K103" s="30">
        <f>IF('Peak Areas'!N99=0,0,((('Peak Areas'!N99*Coefficients!$G$41+Coefficients!$H$41)*$G103)))</f>
        <v>6.9169400861258168E-2</v>
      </c>
      <c r="L103" s="30">
        <f>IF('Peak Areas'!O99=0,0,((('Peak Areas'!O99*Coefficients!$G$10+Coefficients!$H$10)*$G103)))</f>
        <v>0</v>
      </c>
      <c r="M103" s="30">
        <f>IF('Peak Areas'!P99=0,0,((('Peak Areas'!P99*Coefficients!$G$32+Coefficients!$H$32)*$G103)))</f>
        <v>0.72679685346625544</v>
      </c>
      <c r="N103" s="30">
        <f>IF('Peak Areas'!Q99=0,0,((('Peak Areas'!Q99*Coefficients!$G$11+Coefficients!$H$11)*$G103)))</f>
        <v>0</v>
      </c>
      <c r="O103" s="30">
        <f>IF('Peak Areas'!R99=0,0,((('Peak Areas'!R99*Coefficients!$G$39+Coefficients!$H$39)*$G103)))</f>
        <v>6.6541738083172E-2</v>
      </c>
      <c r="P103" s="30">
        <f>IF('Peak Areas'!S99=0,0,((('Peak Areas'!S99*Coefficients!$G$46+Coefficients!$H$46)*$G103)))</f>
        <v>0</v>
      </c>
      <c r="Q103" s="30">
        <f>IF('Peak Areas'!T99=0,0,((('Peak Areas'!T99*Coefficients!$G$51+Coefficients!$H$51)*$G103)))</f>
        <v>0.70022742918364911</v>
      </c>
      <c r="R103" s="30">
        <f>IF('Peak Areas'!U99=0,0,((('Peak Areas'!U99*Coefficients!$G$26+Coefficients!$H$26)*$G103)))</f>
        <v>0.29996270797355651</v>
      </c>
      <c r="S103" s="30">
        <f>IF('Peak Areas'!V99=0,0,((('Peak Areas'!V99*Coefficients!$G$13+Coefficients!$H$13)*$G103)))</f>
        <v>0.24293091114867785</v>
      </c>
      <c r="T103" s="30">
        <f>IF('Peak Areas'!W99=0,0,((('Peak Areas'!W99*Coefficients!$G$12+Coefficients!$H$12)*$G103)))</f>
        <v>0.23080221730415451</v>
      </c>
      <c r="U103" s="30">
        <f>IF('Peak Areas'!X99=0,0,((('Peak Areas'!X99*Coefficients!$G$27+Coefficients!$H$27)*$G103)))</f>
        <v>2.4846139897380291E-2</v>
      </c>
      <c r="V103" s="30">
        <f>IF('Peak Areas'!Y99=0,0,((('Peak Areas'!Y99*Coefficients!$G$34+Coefficients!$H$34)*$G103)))</f>
        <v>0.35373315648023579</v>
      </c>
      <c r="W103" s="30">
        <f>IF('Peak Areas'!Z99=0,0,((('Peak Areas'!Z99*Coefficients!$G$52+Coefficients!$H$52)*$G103)))</f>
        <v>0.64130843350182454</v>
      </c>
      <c r="X103" s="30">
        <f>IF('Peak Areas'!AA99=0,0,((('Peak Areas'!AA99*Coefficients!$G$33+Coefficients!$H$33)*$G103)))</f>
        <v>6.3156224952159445E-2</v>
      </c>
      <c r="Y103" s="30">
        <f>IF('Peak Areas'!AC99=0,0,((('Peak Areas'!AC99*Coefficients!$G$19+Coefficients!$H$19)*$G103)))</f>
        <v>0.27649411269836099</v>
      </c>
      <c r="Z103" s="30">
        <f>IF('Peak Areas'!AD99=0,0,((('Peak Areas'!AD99*Coefficients!$G$18+Coefficients!$H$18)*$G103)))</f>
        <v>0.1366539319542682</v>
      </c>
      <c r="AA103" s="30">
        <f>IF('Peak Areas'!AE99=0,0,((('Peak Areas'!AE99*Coefficients!$G$18+Coefficients!$H$18)*$G103)))</f>
        <v>5.332491176719488</v>
      </c>
      <c r="AB103" s="30">
        <f>IF('Peak Areas'!AF99=0,0,((('Peak Areas'!AF99*Coefficients!$G$18+Coefficients!$H$18)*$G103)))</f>
        <v>0.52597610921063132</v>
      </c>
      <c r="AC103" s="30">
        <f>IF('Peak Areas'!AG99=0,0,((('Peak Areas'!AG99*Coefficients!$G$7+Coefficients!$H$7)*$G103)))</f>
        <v>0</v>
      </c>
      <c r="AD103" s="30">
        <f>IF('Peak Areas'!AH99=0,0,((('Peak Areas'!AH99*Coefficients!$G$6+Coefficients!$H$6)*$G103)))</f>
        <v>0.42017383061134095</v>
      </c>
      <c r="AF103" s="30">
        <f>IF('Peak Areas'!K99=0,0,((('Peak Areas'!K99*Coefficients!$G$22+Coefficients!$H$22)*$G103)))</f>
        <v>2.7526348939957319E-2</v>
      </c>
      <c r="AG103" s="30">
        <f t="shared" si="2"/>
        <v>5.3600175256594458</v>
      </c>
      <c r="AH103" s="30">
        <f t="shared" si="3"/>
        <v>6.0226475668243458</v>
      </c>
    </row>
    <row r="104" spans="1:34" x14ac:dyDescent="0.25">
      <c r="A104" s="2">
        <f>'Peak Areas'!A100</f>
        <v>90</v>
      </c>
      <c r="B104" s="62">
        <f>'Peak Areas'!B100</f>
        <v>45856</v>
      </c>
      <c r="C104" s="2" t="str">
        <f>'Peak Areas'!C100</f>
        <v>control 100</v>
      </c>
      <c r="D104" s="2">
        <f>'Peak Areas'!D100</f>
        <v>0</v>
      </c>
      <c r="E104" s="2">
        <f>'Peak Areas'!E100</f>
        <v>0</v>
      </c>
      <c r="F104" s="30">
        <f>'Peak Areas'!F100</f>
        <v>0.1</v>
      </c>
      <c r="G104" s="30">
        <f>((1/'Peak Areas'!$G100)*(('Peak Areas'!$H100+('Internal Standard'!$E$10/1000))/'Peak Areas'!$F100)*'Peak Areas'!$J100)*H104</f>
        <v>4.864147402201377E-2</v>
      </c>
      <c r="H104" s="30">
        <f>(('Internal Standard'!$F$13*('Peak Areas'!G100/'Internal Standard'!$C$10))/'Peak Areas'!AB100)</f>
        <v>1.1445052711062063</v>
      </c>
      <c r="I104" s="30">
        <f>IF('Peak Areas'!L100=0,0,((('Peak Areas'!L100*Coefficients!$G$21+Coefficients!$H$21)*$G104)))</f>
        <v>0</v>
      </c>
      <c r="J104" s="30">
        <f>IF('Peak Areas'!M100=0,0,((('Peak Areas'!M100*Coefficients!$G$20+Coefficients!$H$20)*$G104)))</f>
        <v>0.1036050790600507</v>
      </c>
      <c r="K104" s="30">
        <f>IF('Peak Areas'!N100=0,0,((('Peak Areas'!N100*Coefficients!$G$41+Coefficients!$H$41)*$G104)))</f>
        <v>7.6225128389930091E-2</v>
      </c>
      <c r="L104" s="30">
        <f>IF('Peak Areas'!O100=0,0,((('Peak Areas'!O100*Coefficients!$G$10+Coefficients!$H$10)*$G104)))</f>
        <v>0</v>
      </c>
      <c r="M104" s="30">
        <f>IF('Peak Areas'!P100=0,0,((('Peak Areas'!P100*Coefficients!$G$32+Coefficients!$H$32)*$G104)))</f>
        <v>0.83297608115127808</v>
      </c>
      <c r="N104" s="30">
        <f>IF('Peak Areas'!Q100=0,0,((('Peak Areas'!Q100*Coefficients!$G$11+Coefficients!$H$11)*$G104)))</f>
        <v>0</v>
      </c>
      <c r="O104" s="30">
        <f>IF('Peak Areas'!R100=0,0,((('Peak Areas'!R100*Coefficients!$G$39+Coefficients!$H$39)*$G104)))</f>
        <v>0.10725147316576432</v>
      </c>
      <c r="P104" s="30">
        <f>IF('Peak Areas'!S100=0,0,((('Peak Areas'!S100*Coefficients!$G$46+Coefficients!$H$46)*$G104)))</f>
        <v>0</v>
      </c>
      <c r="Q104" s="30">
        <f>IF('Peak Areas'!T100=0,0,((('Peak Areas'!T100*Coefficients!$G$51+Coefficients!$H$51)*$G104)))</f>
        <v>0.74160410995120829</v>
      </c>
      <c r="R104" s="30">
        <f>IF('Peak Areas'!U100=0,0,((('Peak Areas'!U100*Coefficients!$G$26+Coefficients!$H$26)*$G104)))</f>
        <v>0.32279409855345137</v>
      </c>
      <c r="S104" s="30">
        <f>IF('Peak Areas'!V100=0,0,((('Peak Areas'!V100*Coefficients!$G$13+Coefficients!$H$13)*$G104)))</f>
        <v>0.27098705692229763</v>
      </c>
      <c r="T104" s="30">
        <f>IF('Peak Areas'!W100=0,0,((('Peak Areas'!W100*Coefficients!$G$12+Coefficients!$H$12)*$G104)))</f>
        <v>0.26813764459701495</v>
      </c>
      <c r="U104" s="30">
        <f>IF('Peak Areas'!X100=0,0,((('Peak Areas'!X100*Coefficients!$G$27+Coefficients!$H$27)*$G104)))</f>
        <v>4.9095122836079086E-2</v>
      </c>
      <c r="V104" s="30">
        <f>IF('Peak Areas'!Y100=0,0,((('Peak Areas'!Y100*Coefficients!$G$34+Coefficients!$H$34)*$G104)))</f>
        <v>0.42115394194176292</v>
      </c>
      <c r="W104" s="30">
        <f>IF('Peak Areas'!Z100=0,0,((('Peak Areas'!Z100*Coefficients!$G$52+Coefficients!$H$52)*$G104)))</f>
        <v>0.77732544219647415</v>
      </c>
      <c r="X104" s="30">
        <f>IF('Peak Areas'!AA100=0,0,((('Peak Areas'!AA100*Coefficients!$G$33+Coefficients!$H$33)*$G104)))</f>
        <v>0.10601463799918573</v>
      </c>
      <c r="Y104" s="30">
        <f>IF('Peak Areas'!AC100=0,0,((('Peak Areas'!AC100*Coefficients!$G$19+Coefficients!$H$19)*$G104)))</f>
        <v>0.30795997870965264</v>
      </c>
      <c r="Z104" s="30">
        <f>IF('Peak Areas'!AD100=0,0,((('Peak Areas'!AD100*Coefficients!$G$18+Coefficients!$H$18)*$G104)))</f>
        <v>0.1169027297981769</v>
      </c>
      <c r="AA104" s="30">
        <f>IF('Peak Areas'!AE100=0,0,((('Peak Areas'!AE100*Coefficients!$G$18+Coefficients!$H$18)*$G104)))</f>
        <v>5.8916321258477886</v>
      </c>
      <c r="AB104" s="30">
        <f>IF('Peak Areas'!AF100=0,0,((('Peak Areas'!AF100*Coefficients!$G$18+Coefficients!$H$18)*$G104)))</f>
        <v>0.61712389518960742</v>
      </c>
      <c r="AC104" s="30">
        <f>IF('Peak Areas'!AG100=0,0,((('Peak Areas'!AG100*Coefficients!$G$7+Coefficients!$H$7)*$G104)))</f>
        <v>0</v>
      </c>
      <c r="AD104" s="30">
        <f>IF('Peak Areas'!AH100=0,0,((('Peak Areas'!AH100*Coefficients!$G$6+Coefficients!$H$6)*$G104)))</f>
        <v>0.38868440846367086</v>
      </c>
      <c r="AF104" s="30">
        <f>IF('Peak Areas'!K100=0,0,((('Peak Areas'!K100*Coefficients!$G$22+Coefficients!$H$22)*$G104)))</f>
        <v>3.1899515921303204E-2</v>
      </c>
      <c r="AG104" s="30">
        <f t="shared" si="2"/>
        <v>5.9235316417690917</v>
      </c>
      <c r="AH104" s="30">
        <f t="shared" si="3"/>
        <v>6.657558266756876</v>
      </c>
    </row>
    <row r="105" spans="1:34" x14ac:dyDescent="0.25">
      <c r="A105" s="2">
        <f>'Peak Areas'!A101</f>
        <v>91</v>
      </c>
      <c r="B105" s="62">
        <f>'Peak Areas'!B101</f>
        <v>45856</v>
      </c>
      <c r="C105" s="2" t="str">
        <f>'Peak Areas'!C101</f>
        <v>nut 25</v>
      </c>
      <c r="D105" s="2">
        <f>'Peak Areas'!D101</f>
        <v>0</v>
      </c>
      <c r="E105" s="2">
        <f>'Peak Areas'!E101</f>
        <v>0</v>
      </c>
      <c r="F105" s="30">
        <f>'Peak Areas'!F101</f>
        <v>0.1</v>
      </c>
      <c r="G105" s="30">
        <f>((1/'Peak Areas'!$G101)*(('Peak Areas'!$H101+('Internal Standard'!$E$10/1000))/'Peak Areas'!$F101)*'Peak Areas'!$J101)*H105</f>
        <v>4.3802730753438456E-2</v>
      </c>
      <c r="H105" s="30">
        <f>(('Internal Standard'!$F$13*('Peak Areas'!G101/'Internal Standard'!$C$10))/'Peak Areas'!AB101)</f>
        <v>1.0306524883161989</v>
      </c>
      <c r="I105" s="30">
        <f>IF('Peak Areas'!L101=0,0,((('Peak Areas'!L101*Coefficients!$G$21+Coefficients!$H$21)*$G105)))</f>
        <v>0</v>
      </c>
      <c r="J105" s="30">
        <f>IF('Peak Areas'!M101=0,0,((('Peak Areas'!M101*Coefficients!$G$20+Coefficients!$H$20)*$G105)))</f>
        <v>7.1364406088138002E-2</v>
      </c>
      <c r="K105" s="30">
        <f>IF('Peak Areas'!N101=0,0,((('Peak Areas'!N101*Coefficients!$G$41+Coefficients!$H$41)*$G105)))</f>
        <v>2.7303469080712055E-2</v>
      </c>
      <c r="L105" s="30">
        <f>IF('Peak Areas'!O101=0,0,((('Peak Areas'!O101*Coefficients!$G$10+Coefficients!$H$10)*$G105)))</f>
        <v>0</v>
      </c>
      <c r="M105" s="30">
        <f>IF('Peak Areas'!P101=0,0,((('Peak Areas'!P101*Coefficients!$G$32+Coefficients!$H$32)*$G105)))</f>
        <v>0.57291308483679226</v>
      </c>
      <c r="N105" s="30">
        <f>IF('Peak Areas'!Q101=0,0,((('Peak Areas'!Q101*Coefficients!$G$11+Coefficients!$H$11)*$G105)))</f>
        <v>0</v>
      </c>
      <c r="O105" s="30">
        <f>IF('Peak Areas'!R101=0,0,((('Peak Areas'!R101*Coefficients!$G$39+Coefficients!$H$39)*$G105)))</f>
        <v>0.13762303350955499</v>
      </c>
      <c r="P105" s="30">
        <f>IF('Peak Areas'!S101=0,0,((('Peak Areas'!S101*Coefficients!$G$46+Coefficients!$H$46)*$G105)))</f>
        <v>0</v>
      </c>
      <c r="Q105" s="30">
        <f>IF('Peak Areas'!T101=0,0,((('Peak Areas'!T101*Coefficients!$G$51+Coefficients!$H$51)*$G105)))</f>
        <v>0.33013435599848989</v>
      </c>
      <c r="R105" s="30">
        <f>IF('Peak Areas'!U101=0,0,((('Peak Areas'!U101*Coefficients!$G$26+Coefficients!$H$26)*$G105)))</f>
        <v>0.18065844649314883</v>
      </c>
      <c r="S105" s="30">
        <f>IF('Peak Areas'!V101=0,0,((('Peak Areas'!V101*Coefficients!$G$13+Coefficients!$H$13)*$G105)))</f>
        <v>0.10702533854805452</v>
      </c>
      <c r="T105" s="30">
        <f>IF('Peak Areas'!W101=0,0,((('Peak Areas'!W101*Coefficients!$G$12+Coefficients!$H$12)*$G105)))</f>
        <v>0.10479569678183798</v>
      </c>
      <c r="U105" s="30">
        <f>IF('Peak Areas'!X101=0,0,((('Peak Areas'!X101*Coefficients!$G$27+Coefficients!$H$27)*$G105)))</f>
        <v>1.3395692116738224E-2</v>
      </c>
      <c r="V105" s="30">
        <f>IF('Peak Areas'!Y101=0,0,((('Peak Areas'!Y101*Coefficients!$G$34+Coefficients!$H$34)*$G105)))</f>
        <v>0.52185578706850499</v>
      </c>
      <c r="W105" s="30">
        <f>IF('Peak Areas'!Z101=0,0,((('Peak Areas'!Z101*Coefficients!$G$52+Coefficients!$H$52)*$G105)))</f>
        <v>0.50139574585245106</v>
      </c>
      <c r="X105" s="30">
        <f>IF('Peak Areas'!AA101=0,0,((('Peak Areas'!AA101*Coefficients!$G$33+Coefficients!$H$33)*$G105)))</f>
        <v>5.7210698062465717E-2</v>
      </c>
      <c r="Y105" s="30">
        <f>IF('Peak Areas'!AC101=0,0,((('Peak Areas'!AC101*Coefficients!$G$19+Coefficients!$H$19)*$G105)))</f>
        <v>0.53811439483980217</v>
      </c>
      <c r="Z105" s="30">
        <f>IF('Peak Areas'!AD101=0,0,((('Peak Areas'!AD101*Coefficients!$G$18+Coefficients!$H$18)*$G105)))</f>
        <v>6.060812147648726E-2</v>
      </c>
      <c r="AA105" s="30">
        <f>IF('Peak Areas'!AE101=0,0,((('Peak Areas'!AE101*Coefficients!$G$18+Coefficients!$H$18)*$G105)))</f>
        <v>4.9848341075773739</v>
      </c>
      <c r="AB105" s="30">
        <f>IF('Peak Areas'!AF101=0,0,((('Peak Areas'!AF101*Coefficients!$G$18+Coefficients!$H$18)*$G105)))</f>
        <v>0.37607927804524188</v>
      </c>
      <c r="AC105" s="30">
        <f>IF('Peak Areas'!AG101=0,0,((('Peak Areas'!AG101*Coefficients!$G$7+Coefficients!$H$7)*$G105)))</f>
        <v>0</v>
      </c>
      <c r="AD105" s="30">
        <f>IF('Peak Areas'!AH101=0,0,((('Peak Areas'!AH101*Coefficients!$G$6+Coefficients!$H$6)*$G105)))</f>
        <v>0.21834560698432487</v>
      </c>
      <c r="AF105" s="30">
        <f>IF('Peak Areas'!K101=0,0,((('Peak Areas'!K101*Coefficients!$G$22+Coefficients!$H$22)*$G105)))</f>
        <v>2.5988877979397636E-2</v>
      </c>
      <c r="AG105" s="30">
        <f t="shared" si="2"/>
        <v>5.0108229855567714</v>
      </c>
      <c r="AH105" s="30">
        <f t="shared" si="3"/>
        <v>5.4475103850785001</v>
      </c>
    </row>
    <row r="106" spans="1:34" x14ac:dyDescent="0.25">
      <c r="A106" s="2">
        <f>'Peak Areas'!A102</f>
        <v>92</v>
      </c>
      <c r="B106" s="62">
        <f>'Peak Areas'!B102</f>
        <v>45856</v>
      </c>
      <c r="C106" s="2" t="str">
        <f>'Peak Areas'!C102</f>
        <v>nut 25</v>
      </c>
      <c r="D106" s="2">
        <f>'Peak Areas'!D102</f>
        <v>0</v>
      </c>
      <c r="E106" s="2">
        <f>'Peak Areas'!E102</f>
        <v>0</v>
      </c>
      <c r="F106" s="30">
        <f>'Peak Areas'!F102</f>
        <v>0.1</v>
      </c>
      <c r="G106" s="30">
        <f>((1/'Peak Areas'!$G102)*(('Peak Areas'!$H102+('Internal Standard'!$E$10/1000))/'Peak Areas'!$F102)*'Peak Areas'!$J102)*H106</f>
        <v>4.4846462749151203E-2</v>
      </c>
      <c r="H106" s="30">
        <f>(('Internal Standard'!$F$13*('Peak Areas'!G102/'Internal Standard'!$C$10))/'Peak Areas'!AB102)</f>
        <v>1.0552108882153224</v>
      </c>
      <c r="I106" s="30">
        <f>IF('Peak Areas'!L102=0,0,((('Peak Areas'!L102*Coefficients!$G$21+Coefficients!$H$21)*$G106)))</f>
        <v>0</v>
      </c>
      <c r="J106" s="30">
        <f>IF('Peak Areas'!M102=0,0,((('Peak Areas'!M102*Coefficients!$G$20+Coefficients!$H$20)*$G106)))</f>
        <v>9.0073968953234801E-2</v>
      </c>
      <c r="K106" s="30">
        <f>IF('Peak Areas'!N102=0,0,((('Peak Areas'!N102*Coefficients!$G$41+Coefficients!$H$41)*$G106)))</f>
        <v>3.2357617829523219E-2</v>
      </c>
      <c r="L106" s="30">
        <f>IF('Peak Areas'!O102=0,0,((('Peak Areas'!O102*Coefficients!$G$10+Coefficients!$H$10)*$G106)))</f>
        <v>0</v>
      </c>
      <c r="M106" s="30">
        <f>IF('Peak Areas'!P102=0,0,((('Peak Areas'!P102*Coefficients!$G$32+Coefficients!$H$32)*$G106)))</f>
        <v>0.54157222701820884</v>
      </c>
      <c r="N106" s="30">
        <f>IF('Peak Areas'!Q102=0,0,((('Peak Areas'!Q102*Coefficients!$G$11+Coefficients!$H$11)*$G106)))</f>
        <v>0</v>
      </c>
      <c r="O106" s="30">
        <f>IF('Peak Areas'!R102=0,0,((('Peak Areas'!R102*Coefficients!$G$39+Coefficients!$H$39)*$G106)))</f>
        <v>0.1446000103061521</v>
      </c>
      <c r="P106" s="30">
        <f>IF('Peak Areas'!S102=0,0,((('Peak Areas'!S102*Coefficients!$G$46+Coefficients!$H$46)*$G106)))</f>
        <v>0</v>
      </c>
      <c r="Q106" s="30">
        <f>IF('Peak Areas'!T102=0,0,((('Peak Areas'!T102*Coefficients!$G$51+Coefficients!$H$51)*$G106)))</f>
        <v>0.28270417999733721</v>
      </c>
      <c r="R106" s="30">
        <f>IF('Peak Areas'!U102=0,0,((('Peak Areas'!U102*Coefficients!$G$26+Coefficients!$H$26)*$G106)))</f>
        <v>0.15968094124043444</v>
      </c>
      <c r="S106" s="30">
        <f>IF('Peak Areas'!V102=0,0,((('Peak Areas'!V102*Coefficients!$G$13+Coefficients!$H$13)*$G106)))</f>
        <v>8.5069862015321671E-2</v>
      </c>
      <c r="T106" s="30">
        <f>IF('Peak Areas'!W102=0,0,((('Peak Areas'!W102*Coefficients!$G$12+Coefficients!$H$12)*$G106)))</f>
        <v>8.6486296531674833E-2</v>
      </c>
      <c r="U106" s="30">
        <f>IF('Peak Areas'!X102=0,0,((('Peak Areas'!X102*Coefficients!$G$27+Coefficients!$H$27)*$G106)))</f>
        <v>0</v>
      </c>
      <c r="V106" s="30">
        <f>IF('Peak Areas'!Y102=0,0,((('Peak Areas'!Y102*Coefficients!$G$34+Coefficients!$H$34)*$G106)))</f>
        <v>7.9213445079002274E-3</v>
      </c>
      <c r="W106" s="30">
        <f>IF('Peak Areas'!Z102=0,0,((('Peak Areas'!Z102*Coefficients!$G$52+Coefficients!$H$52)*$G106)))</f>
        <v>0.42975982909508781</v>
      </c>
      <c r="X106" s="30">
        <f>IF('Peak Areas'!AA102=0,0,((('Peak Areas'!AA102*Coefficients!$G$33+Coefficients!$H$33)*$G106)))</f>
        <v>6.9325685786464669E-2</v>
      </c>
      <c r="Y106" s="30">
        <f>IF('Peak Areas'!AC102=0,0,((('Peak Areas'!AC102*Coefficients!$G$19+Coefficients!$H$19)*$G106)))</f>
        <v>0.5779048002655055</v>
      </c>
      <c r="Z106" s="30">
        <f>IF('Peak Areas'!AD102=0,0,((('Peak Areas'!AD102*Coefficients!$G$18+Coefficients!$H$18)*$G106)))</f>
        <v>7.0110053811236847E-2</v>
      </c>
      <c r="AA106" s="30">
        <f>IF('Peak Areas'!AE102=0,0,((('Peak Areas'!AE102*Coefficients!$G$18+Coefficients!$H$18)*$G106)))</f>
        <v>4.9319523568265558</v>
      </c>
      <c r="AB106" s="30">
        <f>IF('Peak Areas'!AF102=0,0,((('Peak Areas'!AF102*Coefficients!$G$18+Coefficients!$H$18)*$G106)))</f>
        <v>0.38586886759267197</v>
      </c>
      <c r="AC106" s="30">
        <f>IF('Peak Areas'!AG102=0,0,((('Peak Areas'!AG102*Coefficients!$G$7+Coefficients!$H$7)*$G106)))</f>
        <v>0</v>
      </c>
      <c r="AD106" s="30">
        <f>IF('Peak Areas'!AH102=0,0,((('Peak Areas'!AH102*Coefficients!$G$6+Coefficients!$H$6)*$G106)))</f>
        <v>0.27578597930860421</v>
      </c>
      <c r="AF106" s="30">
        <f>IF('Peak Areas'!K102=0,0,((('Peak Areas'!K102*Coefficients!$G$22+Coefficients!$H$22)*$G106)))</f>
        <v>1.3190012470015782E-2</v>
      </c>
      <c r="AG106" s="30">
        <f t="shared" si="2"/>
        <v>4.9451423692965717</v>
      </c>
      <c r="AH106" s="30">
        <f t="shared" si="3"/>
        <v>5.4011212907004804</v>
      </c>
    </row>
    <row r="107" spans="1:34" x14ac:dyDescent="0.25">
      <c r="A107" s="2">
        <f>'Peak Areas'!A103</f>
        <v>93</v>
      </c>
      <c r="B107" s="62">
        <f>'Peak Areas'!B103</f>
        <v>45856</v>
      </c>
      <c r="C107" s="2" t="str">
        <f>'Peak Areas'!C103</f>
        <v>nut 75</v>
      </c>
      <c r="D107" s="2">
        <f>'Peak Areas'!D103</f>
        <v>0</v>
      </c>
      <c r="E107" s="2">
        <f>'Peak Areas'!E103</f>
        <v>0</v>
      </c>
      <c r="F107" s="30">
        <f>'Peak Areas'!F103</f>
        <v>0.1</v>
      </c>
      <c r="G107" s="30">
        <f>((1/'Peak Areas'!$G103)*(('Peak Areas'!$H103+('Internal Standard'!$E$10/1000))/'Peak Areas'!$F103)*'Peak Areas'!$J103)*H107</f>
        <v>4.2287909908499642E-2</v>
      </c>
      <c r="H107" s="30">
        <f>(('Internal Standard'!$F$13*('Peak Areas'!G103/'Internal Standard'!$C$10))/'Peak Areas'!AB103)</f>
        <v>0.99500964490587385</v>
      </c>
      <c r="I107" s="30">
        <f>IF('Peak Areas'!L103=0,0,((('Peak Areas'!L103*Coefficients!$G$21+Coefficients!$H$21)*$G107)))</f>
        <v>6.1688500767211774E-2</v>
      </c>
      <c r="J107" s="30">
        <f>IF('Peak Areas'!M103=0,0,((('Peak Areas'!M103*Coefficients!$G$20+Coefficients!$H$20)*$G107)))</f>
        <v>0.2832990890367027</v>
      </c>
      <c r="K107" s="30">
        <f>IF('Peak Areas'!N103=0,0,((('Peak Areas'!N103*Coefficients!$G$41+Coefficients!$H$41)*$G107)))</f>
        <v>0.10437319527402864</v>
      </c>
      <c r="L107" s="30">
        <f>IF('Peak Areas'!O103=0,0,((('Peak Areas'!O103*Coefficients!$G$10+Coefficients!$H$10)*$G107)))</f>
        <v>0</v>
      </c>
      <c r="M107" s="30">
        <f>IF('Peak Areas'!P103=0,0,((('Peak Areas'!P103*Coefficients!$G$32+Coefficients!$H$32)*$G107)))</f>
        <v>1.5269858830843535</v>
      </c>
      <c r="N107" s="30">
        <f>IF('Peak Areas'!Q103=0,0,((('Peak Areas'!Q103*Coefficients!$G$11+Coefficients!$H$11)*$G107)))</f>
        <v>0</v>
      </c>
      <c r="O107" s="30">
        <f>IF('Peak Areas'!R103=0,0,((('Peak Areas'!R103*Coefficients!$G$39+Coefficients!$H$39)*$G107)))</f>
        <v>0.48444603600787417</v>
      </c>
      <c r="P107" s="30">
        <f>IF('Peak Areas'!S103=0,0,((('Peak Areas'!S103*Coefficients!$G$46+Coefficients!$H$46)*$G107)))</f>
        <v>0</v>
      </c>
      <c r="Q107" s="30">
        <f>IF('Peak Areas'!T103=0,0,((('Peak Areas'!T103*Coefficients!$G$51+Coefficients!$H$51)*$G107)))</f>
        <v>0.79762820801528012</v>
      </c>
      <c r="R107" s="30">
        <f>IF('Peak Areas'!U103=0,0,((('Peak Areas'!U103*Coefficients!$G$26+Coefficients!$H$26)*$G107)))</f>
        <v>0.42772651804237916</v>
      </c>
      <c r="S107" s="30">
        <f>IF('Peak Areas'!V103=0,0,((('Peak Areas'!V103*Coefficients!$G$13+Coefficients!$H$13)*$G107)))</f>
        <v>0.13992540460848737</v>
      </c>
      <c r="T107" s="30">
        <f>IF('Peak Areas'!W103=0,0,((('Peak Areas'!W103*Coefficients!$G$12+Coefficients!$H$12)*$G107)))</f>
        <v>0.2768534951067852</v>
      </c>
      <c r="U107" s="30">
        <f>IF('Peak Areas'!X103=0,0,((('Peak Areas'!X103*Coefficients!$G$27+Coefficients!$H$27)*$G107)))</f>
        <v>3.6638370635788259E-2</v>
      </c>
      <c r="V107" s="30">
        <f>IF('Peak Areas'!Y103=0,0,((('Peak Areas'!Y103*Coefficients!$G$34+Coefficients!$H$34)*$G107)))</f>
        <v>1.3845089919914859</v>
      </c>
      <c r="W107" s="30">
        <f>IF('Peak Areas'!Z103=0,0,((('Peak Areas'!Z103*Coefficients!$G$52+Coefficients!$H$52)*$G107)))</f>
        <v>1.2162492302043757</v>
      </c>
      <c r="X107" s="30">
        <f>IF('Peak Areas'!AA103=0,0,((('Peak Areas'!AA103*Coefficients!$G$33+Coefficients!$H$33)*$G107)))</f>
        <v>0.14002580811214774</v>
      </c>
      <c r="Y107" s="30">
        <f>IF('Peak Areas'!AC103=0,0,((('Peak Areas'!AC103*Coefficients!$G$19+Coefficients!$H$19)*$G107)))</f>
        <v>1.5449612104465877</v>
      </c>
      <c r="Z107" s="30">
        <f>IF('Peak Areas'!AD103=0,0,((('Peak Areas'!AD103*Coefficients!$G$18+Coefficients!$H$18)*$G107)))</f>
        <v>9.9218524535318167E-2</v>
      </c>
      <c r="AA107" s="30">
        <f>IF('Peak Areas'!AE103=0,0,((('Peak Areas'!AE103*Coefficients!$G$18+Coefficients!$H$18)*$G107)))</f>
        <v>13.195779723764044</v>
      </c>
      <c r="AB107" s="30">
        <f>IF('Peak Areas'!AF103=0,0,((('Peak Areas'!AF103*Coefficients!$G$18+Coefficients!$H$18)*$G107)))</f>
        <v>1.0317554889010838</v>
      </c>
      <c r="AC107" s="30">
        <f>IF('Peak Areas'!AG103=0,0,((('Peak Areas'!AG103*Coefficients!$G$7+Coefficients!$H$7)*$G107)))</f>
        <v>0</v>
      </c>
      <c r="AD107" s="30">
        <f>IF('Peak Areas'!AH103=0,0,((('Peak Areas'!AH103*Coefficients!$G$6+Coefficients!$H$6)*$G107)))</f>
        <v>1.2928052375914274</v>
      </c>
      <c r="AF107" s="30">
        <f>IF('Peak Areas'!K103=0,0,((('Peak Areas'!K103*Coefficients!$G$22+Coefficients!$H$22)*$G107)))</f>
        <v>0.11746872970335234</v>
      </c>
      <c r="AG107" s="30">
        <f t="shared" si="2"/>
        <v>13.313248453467397</v>
      </c>
      <c r="AH107" s="30">
        <f t="shared" si="3"/>
        <v>14.444222466903799</v>
      </c>
    </row>
    <row r="108" spans="1:34" x14ac:dyDescent="0.25">
      <c r="A108" s="2">
        <f>'Peak Areas'!A104</f>
        <v>94</v>
      </c>
      <c r="B108" s="62">
        <f>'Peak Areas'!B104</f>
        <v>45856</v>
      </c>
      <c r="C108" s="2" t="str">
        <f>'Peak Areas'!C104</f>
        <v>nut 75</v>
      </c>
      <c r="D108" s="2">
        <f>'Peak Areas'!D104</f>
        <v>0</v>
      </c>
      <c r="E108" s="2">
        <f>'Peak Areas'!E104</f>
        <v>0</v>
      </c>
      <c r="F108" s="30">
        <f>'Peak Areas'!F104</f>
        <v>0.1</v>
      </c>
      <c r="G108" s="30">
        <f>((1/'Peak Areas'!$G104)*(('Peak Areas'!$H104+('Internal Standard'!$E$10/1000))/'Peak Areas'!$F104)*'Peak Areas'!$J104)*H108</f>
        <v>4.4680049698686705E-2</v>
      </c>
      <c r="H108" s="30">
        <f>(('Internal Standard'!$F$13*('Peak Areas'!G104/'Internal Standard'!$C$10))/'Peak Areas'!AB104)</f>
        <v>1.0512952870279224</v>
      </c>
      <c r="I108" s="30">
        <f>IF('Peak Areas'!L104=0,0,((('Peak Areas'!L104*Coefficients!$G$21+Coefficients!$H$21)*$G108)))</f>
        <v>3.1636112364051582E-2</v>
      </c>
      <c r="J108" s="30">
        <f>IF('Peak Areas'!M104=0,0,((('Peak Areas'!M104*Coefficients!$G$20+Coefficients!$H$20)*$G108)))</f>
        <v>0.22047008325708953</v>
      </c>
      <c r="K108" s="30">
        <f>IF('Peak Areas'!N104=0,0,((('Peak Areas'!N104*Coefficients!$G$41+Coefficients!$H$41)*$G108)))</f>
        <v>5.9669305265353773E-2</v>
      </c>
      <c r="L108" s="30">
        <f>IF('Peak Areas'!O104=0,0,((('Peak Areas'!O104*Coefficients!$G$10+Coefficients!$H$10)*$G108)))</f>
        <v>0</v>
      </c>
      <c r="M108" s="30">
        <f>IF('Peak Areas'!P104=0,0,((('Peak Areas'!P104*Coefficients!$G$32+Coefficients!$H$32)*$G108)))</f>
        <v>1.6320045936158187</v>
      </c>
      <c r="N108" s="30">
        <f>IF('Peak Areas'!Q104=0,0,((('Peak Areas'!Q104*Coefficients!$G$11+Coefficients!$H$11)*$G108)))</f>
        <v>0</v>
      </c>
      <c r="O108" s="30">
        <f>IF('Peak Areas'!R104=0,0,((('Peak Areas'!R104*Coefficients!$G$39+Coefficients!$H$39)*$G108)))</f>
        <v>0.46337573249563352</v>
      </c>
      <c r="P108" s="30">
        <f>IF('Peak Areas'!S104=0,0,((('Peak Areas'!S104*Coefficients!$G$46+Coefficients!$H$46)*$G108)))</f>
        <v>0</v>
      </c>
      <c r="Q108" s="30">
        <f>IF('Peak Areas'!T104=0,0,((('Peak Areas'!T104*Coefficients!$G$51+Coefficients!$H$51)*$G108)))</f>
        <v>0.91303541021386903</v>
      </c>
      <c r="R108" s="30">
        <f>IF('Peak Areas'!U104=0,0,((('Peak Areas'!U104*Coefficients!$G$26+Coefficients!$H$26)*$G108)))</f>
        <v>0.50411442223782299</v>
      </c>
      <c r="S108" s="30">
        <f>IF('Peak Areas'!V104=0,0,((('Peak Areas'!V104*Coefficients!$G$13+Coefficients!$H$13)*$G108)))</f>
        <v>0.150774085364938</v>
      </c>
      <c r="T108" s="30">
        <f>IF('Peak Areas'!W104=0,0,((('Peak Areas'!W104*Coefficients!$G$12+Coefficients!$H$12)*$G108)))</f>
        <v>0.31186857211207131</v>
      </c>
      <c r="U108" s="30">
        <f>IF('Peak Areas'!X104=0,0,((('Peak Areas'!X104*Coefficients!$G$27+Coefficients!$H$27)*$G108)))</f>
        <v>4.2486651322342889E-2</v>
      </c>
      <c r="V108" s="30">
        <f>IF('Peak Areas'!Y104=0,0,((('Peak Areas'!Y104*Coefficients!$G$34+Coefficients!$H$34)*$G108)))</f>
        <v>1.6344087992964331</v>
      </c>
      <c r="W108" s="30">
        <f>IF('Peak Areas'!Z104=0,0,((('Peak Areas'!Z104*Coefficients!$G$52+Coefficients!$H$52)*$G108)))</f>
        <v>1.4182232866818196</v>
      </c>
      <c r="X108" s="30">
        <f>IF('Peak Areas'!AA104=0,0,((('Peak Areas'!AA104*Coefficients!$G$33+Coefficients!$H$33)*$G108)))</f>
        <v>0.17092702063682777</v>
      </c>
      <c r="Y108" s="30">
        <f>IF('Peak Areas'!AC104=0,0,((('Peak Areas'!AC104*Coefficients!$G$19+Coefficients!$H$19)*$G108)))</f>
        <v>1.7409901220633059</v>
      </c>
      <c r="Z108" s="30">
        <f>IF('Peak Areas'!AD104=0,0,((('Peak Areas'!AD104*Coefficients!$G$18+Coefficients!$H$18)*$G108)))</f>
        <v>0.18267135388571101</v>
      </c>
      <c r="AA108" s="30">
        <f>IF('Peak Areas'!AE104=0,0,((('Peak Areas'!AE104*Coefficients!$G$18+Coefficients!$H$18)*$G108)))</f>
        <v>15.246296264563576</v>
      </c>
      <c r="AB108" s="30">
        <f>IF('Peak Areas'!AF104=0,0,((('Peak Areas'!AF104*Coefficients!$G$18+Coefficients!$H$18)*$G108)))</f>
        <v>1.2206850509171447</v>
      </c>
      <c r="AC108" s="30">
        <f>IF('Peak Areas'!AG104=0,0,((('Peak Areas'!AG104*Coefficients!$G$7+Coefficients!$H$7)*$G108)))</f>
        <v>0</v>
      </c>
      <c r="AD108" s="30">
        <f>IF('Peak Areas'!AH104=0,0,((('Peak Areas'!AH104*Coefficients!$G$6+Coefficients!$H$6)*$G108)))</f>
        <v>1.6090880132677907</v>
      </c>
      <c r="AF108" s="30">
        <f>IF('Peak Areas'!K104=0,0,((('Peak Areas'!K104*Coefficients!$G$22+Coefficients!$H$22)*$G108)))</f>
        <v>7.378965312268923E-2</v>
      </c>
      <c r="AG108" s="30">
        <f t="shared" si="2"/>
        <v>15.320085917686265</v>
      </c>
      <c r="AH108" s="30">
        <f t="shared" si="3"/>
        <v>16.72344232248912</v>
      </c>
    </row>
    <row r="109" spans="1:34" x14ac:dyDescent="0.25">
      <c r="A109" s="2">
        <f>'Peak Areas'!A105</f>
        <v>95</v>
      </c>
      <c r="B109" s="62">
        <f>'Peak Areas'!B105</f>
        <v>45856</v>
      </c>
      <c r="C109" s="2" t="str">
        <f>'Peak Areas'!C105</f>
        <v>nut 100</v>
      </c>
      <c r="D109" s="2">
        <f>'Peak Areas'!D105</f>
        <v>0</v>
      </c>
      <c r="E109" s="2">
        <f>'Peak Areas'!E105</f>
        <v>0</v>
      </c>
      <c r="F109" s="30">
        <f>'Peak Areas'!F105</f>
        <v>0.1</v>
      </c>
      <c r="G109" s="30">
        <f>((1/'Peak Areas'!$G105)*(('Peak Areas'!$H105+('Internal Standard'!$E$10/1000))/'Peak Areas'!$F105)*'Peak Areas'!$J105)*H109</f>
        <v>4.45537072850219E-2</v>
      </c>
      <c r="H109" s="30">
        <f>(('Internal Standard'!$F$13*('Peak Areas'!G105/'Internal Standard'!$C$10))/'Peak Areas'!AB105)</f>
        <v>1.0483225243534564</v>
      </c>
      <c r="I109" s="30">
        <f>IF('Peak Areas'!L105=0,0,((('Peak Areas'!L105*Coefficients!$G$21+Coefficients!$H$21)*$G109)))</f>
        <v>8.9316065558584928E-2</v>
      </c>
      <c r="J109" s="30">
        <f>IF('Peak Areas'!M105=0,0,((('Peak Areas'!M105*Coefficients!$G$20+Coefficients!$H$20)*$G109)))</f>
        <v>0.41657957617189928</v>
      </c>
      <c r="K109" s="30">
        <f>IF('Peak Areas'!N105=0,0,((('Peak Areas'!N105*Coefficients!$G$41+Coefficients!$H$41)*$G109)))</f>
        <v>0.13416615024574982</v>
      </c>
      <c r="L109" s="30">
        <f>IF('Peak Areas'!O105=0,0,((('Peak Areas'!O105*Coefficients!$G$10+Coefficients!$H$10)*$G109)))</f>
        <v>0</v>
      </c>
      <c r="M109" s="30">
        <f>IF('Peak Areas'!P105=0,0,((('Peak Areas'!P105*Coefficients!$G$32+Coefficients!$H$32)*$G109)))</f>
        <v>2.3016617500697221</v>
      </c>
      <c r="N109" s="30">
        <f>IF('Peak Areas'!Q105=0,0,((('Peak Areas'!Q105*Coefficients!$G$11+Coefficients!$H$11)*$G109)))</f>
        <v>1.7359959088821271E-3</v>
      </c>
      <c r="O109" s="30">
        <f>IF('Peak Areas'!R105=0,0,((('Peak Areas'!R105*Coefficients!$G$39+Coefficients!$H$39)*$G109)))</f>
        <v>0.73037332715565428</v>
      </c>
      <c r="P109" s="30">
        <f>IF('Peak Areas'!S105=0,0,((('Peak Areas'!S105*Coefficients!$G$46+Coefficients!$H$46)*$G109)))</f>
        <v>0</v>
      </c>
      <c r="Q109" s="30">
        <f>IF('Peak Areas'!T105=0,0,((('Peak Areas'!T105*Coefficients!$G$51+Coefficients!$H$51)*$G109)))</f>
        <v>1.2141676462887852</v>
      </c>
      <c r="R109" s="30">
        <f>IF('Peak Areas'!U105=0,0,((('Peak Areas'!U105*Coefficients!$G$26+Coefficients!$H$26)*$G109)))</f>
        <v>0.62863616175733705</v>
      </c>
      <c r="S109" s="30">
        <f>IF('Peak Areas'!V105=0,0,((('Peak Areas'!V105*Coefficients!$G$13+Coefficients!$H$13)*$G109)))</f>
        <v>0.20853641808225953</v>
      </c>
      <c r="T109" s="30">
        <f>IF('Peak Areas'!W105=0,0,((('Peak Areas'!W105*Coefficients!$G$12+Coefficients!$H$12)*$G109)))</f>
        <v>0.4309347904768101</v>
      </c>
      <c r="U109" s="30">
        <f>IF('Peak Areas'!X105=0,0,((('Peak Areas'!X105*Coefficients!$G$27+Coefficients!$H$27)*$G109)))</f>
        <v>4.2249722457561069E-2</v>
      </c>
      <c r="V109" s="30">
        <f>IF('Peak Areas'!Y105=0,0,((('Peak Areas'!Y105*Coefficients!$G$34+Coefficients!$H$34)*$G109)))</f>
        <v>1.979974740788357</v>
      </c>
      <c r="W109" s="30">
        <f>IF('Peak Areas'!Z105=0,0,((('Peak Areas'!Z105*Coefficients!$G$52+Coefficients!$H$52)*$G109)))</f>
        <v>1.7875558399737577</v>
      </c>
      <c r="X109" s="30">
        <f>IF('Peak Areas'!AA105=0,0,((('Peak Areas'!AA105*Coefficients!$G$33+Coefficients!$H$33)*$G109)))</f>
        <v>0.18742915671065913</v>
      </c>
      <c r="Y109" s="30">
        <f>IF('Peak Areas'!AC105=0,0,((('Peak Areas'!AC105*Coefficients!$G$19+Coefficients!$H$19)*$G109)))</f>
        <v>2.176624493117699</v>
      </c>
      <c r="Z109" s="30">
        <f>IF('Peak Areas'!AD105=0,0,((('Peak Areas'!AD105*Coefficients!$G$18+Coefficients!$H$18)*$G109)))</f>
        <v>0.22025413904373783</v>
      </c>
      <c r="AA109" s="30">
        <f>IF('Peak Areas'!AE105=0,0,((('Peak Areas'!AE105*Coefficients!$G$18+Coefficients!$H$18)*$G109)))</f>
        <v>19.380793129558196</v>
      </c>
      <c r="AB109" s="30">
        <f>IF('Peak Areas'!AF105=0,0,((('Peak Areas'!AF105*Coefficients!$G$18+Coefficients!$H$18)*$G109)))</f>
        <v>1.5931391860960853</v>
      </c>
      <c r="AC109" s="30">
        <f>IF('Peak Areas'!AG105=0,0,((('Peak Areas'!AG105*Coefficients!$G$7+Coefficients!$H$7)*$G109)))</f>
        <v>0</v>
      </c>
      <c r="AD109" s="30">
        <f>IF('Peak Areas'!AH105=0,0,((('Peak Areas'!AH105*Coefficients!$G$6+Coefficients!$H$6)*$G109)))</f>
        <v>2.1963000240266362</v>
      </c>
      <c r="AF109" s="30">
        <f>IF('Peak Areas'!K105=0,0,((('Peak Areas'!K105*Coefficients!$G$22+Coefficients!$H$22)*$G109)))</f>
        <v>0.1792702127451643</v>
      </c>
      <c r="AG109" s="30">
        <f t="shared" si="2"/>
        <v>19.560063342303359</v>
      </c>
      <c r="AH109" s="30">
        <f t="shared" si="3"/>
        <v>21.373456667443183</v>
      </c>
    </row>
    <row r="110" spans="1:34" x14ac:dyDescent="0.25">
      <c r="A110" s="2">
        <f>'Peak Areas'!A106</f>
        <v>96</v>
      </c>
      <c r="B110" s="62">
        <f>'Peak Areas'!B106</f>
        <v>45856</v>
      </c>
      <c r="C110" s="2" t="str">
        <f>'Peak Areas'!C106</f>
        <v>nut 100</v>
      </c>
      <c r="D110" s="2">
        <f>'Peak Areas'!D106</f>
        <v>0</v>
      </c>
      <c r="E110" s="2">
        <f>'Peak Areas'!E106</f>
        <v>0</v>
      </c>
      <c r="F110" s="30">
        <f>'Peak Areas'!F106</f>
        <v>0.1</v>
      </c>
      <c r="G110" s="30">
        <f>((1/'Peak Areas'!$G106)*(('Peak Areas'!$H106+('Internal Standard'!$E$10/1000))/'Peak Areas'!$F106)*'Peak Areas'!$J106)*H110</f>
        <v>4.3450348018512559E-2</v>
      </c>
      <c r="H110" s="30">
        <f>(('Internal Standard'!$F$13*('Peak Areas'!G106/'Internal Standard'!$C$10))/'Peak Areas'!AB106)</f>
        <v>1.0223611298473543</v>
      </c>
      <c r="I110" s="30">
        <f>IF('Peak Areas'!L106=0,0,((('Peak Areas'!L106*Coefficients!$G$21+Coefficients!$H$21)*$G110)))</f>
        <v>4.6447658016512489E-2</v>
      </c>
      <c r="J110" s="30">
        <f>IF('Peak Areas'!M106=0,0,((('Peak Areas'!M106*Coefficients!$G$20+Coefficients!$H$20)*$G110)))</f>
        <v>0.30010506995520375</v>
      </c>
      <c r="K110" s="30">
        <f>IF('Peak Areas'!N106=0,0,((('Peak Areas'!N106*Coefficients!$G$41+Coefficients!$H$41)*$G110)))</f>
        <v>6.2097551166952251E-2</v>
      </c>
      <c r="L110" s="30">
        <f>IF('Peak Areas'!O106=0,0,((('Peak Areas'!O106*Coefficients!$G$10+Coefficients!$H$10)*$G110)))</f>
        <v>0</v>
      </c>
      <c r="M110" s="30">
        <f>IF('Peak Areas'!P106=0,0,((('Peak Areas'!P106*Coefficients!$G$32+Coefficients!$H$32)*$G110)))</f>
        <v>2.3821797264318594</v>
      </c>
      <c r="N110" s="30">
        <f>IF('Peak Areas'!Q106=0,0,((('Peak Areas'!Q106*Coefficients!$G$11+Coefficients!$H$11)*$G110)))</f>
        <v>0</v>
      </c>
      <c r="O110" s="30">
        <f>IF('Peak Areas'!R106=0,0,((('Peak Areas'!R106*Coefficients!$G$39+Coefficients!$H$39)*$G110)))</f>
        <v>0.73611574574494976</v>
      </c>
      <c r="P110" s="30">
        <f>IF('Peak Areas'!S106=0,0,((('Peak Areas'!S106*Coefficients!$G$46+Coefficients!$H$46)*$G110)))</f>
        <v>0</v>
      </c>
      <c r="Q110" s="30">
        <f>IF('Peak Areas'!T106=0,0,((('Peak Areas'!T106*Coefficients!$G$51+Coefficients!$H$51)*$G110)))</f>
        <v>1.2242713538844399</v>
      </c>
      <c r="R110" s="30">
        <f>IF('Peak Areas'!U106=0,0,((('Peak Areas'!U106*Coefficients!$G$26+Coefficients!$H$26)*$G110)))</f>
        <v>0.6517268508433095</v>
      </c>
      <c r="S110" s="30">
        <f>IF('Peak Areas'!V106=0,0,((('Peak Areas'!V106*Coefficients!$G$13+Coefficients!$H$13)*$G110)))</f>
        <v>0.21971142400151408</v>
      </c>
      <c r="T110" s="30">
        <f>IF('Peak Areas'!W106=0,0,((('Peak Areas'!W106*Coefficients!$G$12+Coefficients!$H$12)*$G110)))</f>
        <v>0.44171153648637357</v>
      </c>
      <c r="U110" s="30">
        <f>IF('Peak Areas'!X106=0,0,((('Peak Areas'!X106*Coefficients!$G$27+Coefficients!$H$27)*$G110)))</f>
        <v>4.1376977284105887E-2</v>
      </c>
      <c r="V110" s="30">
        <f>IF('Peak Areas'!Y106=0,0,((('Peak Areas'!Y106*Coefficients!$G$34+Coefficients!$H$34)*$G110)))</f>
        <v>2.0639556799694576</v>
      </c>
      <c r="W110" s="30">
        <f>IF('Peak Areas'!Z106=0,0,((('Peak Areas'!Z106*Coefficients!$G$52+Coefficients!$H$52)*$G110)))</f>
        <v>1.8423389120535034</v>
      </c>
      <c r="X110" s="30">
        <f>IF('Peak Areas'!AA106=0,0,((('Peak Areas'!AA106*Coefficients!$G$33+Coefficients!$H$33)*$G110)))</f>
        <v>0.17142346709120662</v>
      </c>
      <c r="Y110" s="30">
        <f>IF('Peak Areas'!AC106=0,0,((('Peak Areas'!AC106*Coefficients!$G$19+Coefficients!$H$19)*$G110)))</f>
        <v>2.2807410050429331</v>
      </c>
      <c r="Z110" s="30">
        <f>IF('Peak Areas'!AD106=0,0,((('Peak Areas'!AD106*Coefficients!$G$18+Coefficients!$H$18)*$G110)))</f>
        <v>0.24487812311795337</v>
      </c>
      <c r="AA110" s="30">
        <f>IF('Peak Areas'!AE106=0,0,((('Peak Areas'!AE106*Coefficients!$G$18+Coefficients!$H$18)*$G110)))</f>
        <v>19.85041347476449</v>
      </c>
      <c r="AB110" s="30">
        <f>IF('Peak Areas'!AF106=0,0,((('Peak Areas'!AF106*Coefficients!$G$18+Coefficients!$H$18)*$G110)))</f>
        <v>1.6503599868503678</v>
      </c>
      <c r="AC110" s="30">
        <f>IF('Peak Areas'!AG106=0,0,((('Peak Areas'!AG106*Coefficients!$G$7+Coefficients!$H$7)*$G110)))</f>
        <v>0</v>
      </c>
      <c r="AD110" s="30">
        <f>IF('Peak Areas'!AH106=0,0,((('Peak Areas'!AH106*Coefficients!$G$6+Coefficients!$H$6)*$G110)))</f>
        <v>1.7148569048535711</v>
      </c>
      <c r="AF110" s="30">
        <f>IF('Peak Areas'!K106=0,0,((('Peak Areas'!K106*Coefficients!$G$22+Coefficients!$H$22)*$G110)))</f>
        <v>0.11135991064716921</v>
      </c>
      <c r="AG110" s="30">
        <f t="shared" si="2"/>
        <v>19.961773385411661</v>
      </c>
      <c r="AH110" s="30">
        <f t="shared" si="3"/>
        <v>21.857011495379982</v>
      </c>
    </row>
    <row r="111" spans="1:34" x14ac:dyDescent="0.25">
      <c r="A111" s="2">
        <f>'Peak Areas'!A107</f>
        <v>97</v>
      </c>
      <c r="B111" s="62">
        <f>'Peak Areas'!B107</f>
        <v>45856</v>
      </c>
      <c r="C111" s="2" t="str">
        <f>'Peak Areas'!C107</f>
        <v>nut</v>
      </c>
      <c r="D111" s="2">
        <f>'Peak Areas'!D107</f>
        <v>0</v>
      </c>
      <c r="E111" s="2">
        <f>'Peak Areas'!E107</f>
        <v>0</v>
      </c>
      <c r="F111" s="30">
        <f>'Peak Areas'!F107</f>
        <v>0.1</v>
      </c>
      <c r="G111" s="30">
        <f>((1/'Peak Areas'!$G107)*(('Peak Areas'!$H107+('Internal Standard'!$E$10/1000))/'Peak Areas'!$F107)*'Peak Areas'!$J107)*H111</f>
        <v>4.6579078553629832E-2</v>
      </c>
      <c r="H111" s="30">
        <f>(('Internal Standard'!$F$13*('Peak Areas'!G107/'Internal Standard'!$C$10))/'Peak Areas'!AB107)</f>
        <v>1.0959783189089372</v>
      </c>
      <c r="I111" s="30">
        <f>IF('Peak Areas'!L107=0,0,((('Peak Areas'!L107*Coefficients!$G$21+Coefficients!$H$21)*$G111)))</f>
        <v>0.10796675710352424</v>
      </c>
      <c r="J111" s="30">
        <f>IF('Peak Areas'!M107=0,0,((('Peak Areas'!M107*Coefficients!$G$20+Coefficients!$H$20)*$G111)))</f>
        <v>0.5130568145285358</v>
      </c>
      <c r="K111" s="30">
        <f>IF('Peak Areas'!N107=0,0,((('Peak Areas'!N107*Coefficients!$G$41+Coefficients!$H$41)*$G111)))</f>
        <v>0.186301111734861</v>
      </c>
      <c r="L111" s="30">
        <f>IF('Peak Areas'!O107=0,0,((('Peak Areas'!O107*Coefficients!$G$10+Coefficients!$H$10)*$G111)))</f>
        <v>0</v>
      </c>
      <c r="M111" s="30">
        <f>IF('Peak Areas'!P107=0,0,((('Peak Areas'!P107*Coefficients!$G$32+Coefficients!$H$32)*$G111)))</f>
        <v>2.2987128069665221</v>
      </c>
      <c r="N111" s="30">
        <f>IF('Peak Areas'!Q107=0,0,((('Peak Areas'!Q107*Coefficients!$G$11+Coefficients!$H$11)*$G111)))</f>
        <v>0</v>
      </c>
      <c r="O111" s="30">
        <f>IF('Peak Areas'!R107=0,0,((('Peak Areas'!R107*Coefficients!$G$39+Coefficients!$H$39)*$G111)))</f>
        <v>0.59970466940003964</v>
      </c>
      <c r="P111" s="30">
        <f>IF('Peak Areas'!S107=0,0,((('Peak Areas'!S107*Coefficients!$G$46+Coefficients!$H$46)*$G111)))</f>
        <v>0</v>
      </c>
      <c r="Q111" s="30">
        <f>IF('Peak Areas'!T107=0,0,((('Peak Areas'!T107*Coefficients!$G$51+Coefficients!$H$51)*$G111)))</f>
        <v>1.1513924836953935</v>
      </c>
      <c r="R111" s="30">
        <f>IF('Peak Areas'!U107=0,0,((('Peak Areas'!U107*Coefficients!$G$26+Coefficients!$H$26)*$G111)))</f>
        <v>0.64537392812921501</v>
      </c>
      <c r="S111" s="30">
        <f>IF('Peak Areas'!V107=0,0,((('Peak Areas'!V107*Coefficients!$G$13+Coefficients!$H$13)*$G111)))</f>
        <v>0.32471008009358998</v>
      </c>
      <c r="T111" s="30">
        <f>IF('Peak Areas'!W107=0,0,((('Peak Areas'!W107*Coefficients!$G$12+Coefficients!$H$12)*$G111)))</f>
        <v>0.54143031384242835</v>
      </c>
      <c r="U111" s="30">
        <f>IF('Peak Areas'!X107=0,0,((('Peak Areas'!X107*Coefficients!$G$27+Coefficients!$H$27)*$G111)))</f>
        <v>4.3269158121567078E-2</v>
      </c>
      <c r="V111" s="30">
        <f>IF('Peak Areas'!Y107=0,0,((('Peak Areas'!Y107*Coefficients!$G$34+Coefficients!$H$34)*$G111)))</f>
        <v>1.7263360153974643</v>
      </c>
      <c r="W111" s="30">
        <f>IF('Peak Areas'!Z107=0,0,((('Peak Areas'!Z107*Coefficients!$G$52+Coefficients!$H$52)*$G111)))</f>
        <v>1.7817569205970052</v>
      </c>
      <c r="X111" s="30">
        <f>IF('Peak Areas'!AA107=0,0,((('Peak Areas'!AA107*Coefficients!$G$33+Coefficients!$H$33)*$G111)))</f>
        <v>0.19619915520872974</v>
      </c>
      <c r="Y111" s="30">
        <f>IF('Peak Areas'!AC107=0,0,((('Peak Areas'!AC107*Coefficients!$G$19+Coefficients!$H$19)*$G111)))</f>
        <v>1.9115253954525313</v>
      </c>
      <c r="Z111" s="30">
        <f>IF('Peak Areas'!AD107=0,0,((('Peak Areas'!AD107*Coefficients!$G$18+Coefficients!$H$18)*$G111)))</f>
        <v>0.40474611766286894</v>
      </c>
      <c r="AA111" s="30">
        <f>IF('Peak Areas'!AE107=0,0,((('Peak Areas'!AE107*Coefficients!$G$18+Coefficients!$H$18)*$G111)))</f>
        <v>19.36772452179336</v>
      </c>
      <c r="AB111" s="30">
        <f>IF('Peak Areas'!AF107=0,0,((('Peak Areas'!AF107*Coefficients!$G$18+Coefficients!$H$18)*$G111)))</f>
        <v>1.6811267558793899</v>
      </c>
      <c r="AC111" s="30">
        <f>IF('Peak Areas'!AG107=0,0,((('Peak Areas'!AG107*Coefficients!$G$7+Coefficients!$H$7)*$G111)))</f>
        <v>0.29711893232107167</v>
      </c>
      <c r="AD111" s="30">
        <f>IF('Peak Areas'!AH107=0,0,((('Peak Areas'!AH107*Coefficients!$G$6+Coefficients!$H$6)*$G111)))</f>
        <v>2.5005576071487488</v>
      </c>
      <c r="AF111" s="30">
        <f>IF('Peak Areas'!K107=0,0,((('Peak Areas'!K107*Coefficients!$G$22+Coefficients!$H$22)*$G111)))</f>
        <v>0.21060491585314906</v>
      </c>
      <c r="AG111" s="30">
        <f t="shared" si="2"/>
        <v>19.578329437646509</v>
      </c>
      <c r="AH111" s="30">
        <f t="shared" si="3"/>
        <v>21.664202311188767</v>
      </c>
    </row>
    <row r="112" spans="1:34" x14ac:dyDescent="0.25">
      <c r="A112" s="2">
        <f>'Peak Areas'!A108</f>
        <v>98</v>
      </c>
      <c r="B112" s="62">
        <f>'Peak Areas'!B108</f>
        <v>45856</v>
      </c>
      <c r="C112" s="2" t="str">
        <f>'Peak Areas'!C108</f>
        <v>nut</v>
      </c>
      <c r="D112" s="2">
        <f>'Peak Areas'!D108</f>
        <v>0</v>
      </c>
      <c r="E112" s="2">
        <f>'Peak Areas'!E108</f>
        <v>0</v>
      </c>
      <c r="F112" s="30">
        <f>'Peak Areas'!F108</f>
        <v>0.1</v>
      </c>
      <c r="G112" s="30">
        <f>((1/'Peak Areas'!$G108)*(('Peak Areas'!$H108+('Internal Standard'!$E$10/1000))/'Peak Areas'!$F108)*'Peak Areas'!$J108)*H112</f>
        <v>4.526521703291507E-2</v>
      </c>
      <c r="H112" s="30">
        <f>(('Internal Standard'!$F$13*('Peak Areas'!G108/'Internal Standard'!$C$10))/'Peak Areas'!AB108)</f>
        <v>1.0650639301862368</v>
      </c>
      <c r="I112" s="30">
        <f>IF('Peak Areas'!L108=0,0,((('Peak Areas'!L108*Coefficients!$G$21+Coefficients!$H$21)*$G112)))</f>
        <v>0.10097515569375552</v>
      </c>
      <c r="J112" s="30">
        <f>IF('Peak Areas'!M108=0,0,((('Peak Areas'!M108*Coefficients!$G$20+Coefficients!$H$20)*$G112)))</f>
        <v>0.47598888302821968</v>
      </c>
      <c r="K112" s="30">
        <f>IF('Peak Areas'!N108=0,0,((('Peak Areas'!N108*Coefficients!$G$41+Coefficients!$H$41)*$G112)))</f>
        <v>0.17360950147670898</v>
      </c>
      <c r="L112" s="30">
        <f>IF('Peak Areas'!O108=0,0,((('Peak Areas'!O108*Coefficients!$G$10+Coefficients!$H$10)*$G112)))</f>
        <v>0</v>
      </c>
      <c r="M112" s="30">
        <f>IF('Peak Areas'!P108=0,0,((('Peak Areas'!P108*Coefficients!$G$32+Coefficients!$H$32)*$G112)))</f>
        <v>2.0137427425745194</v>
      </c>
      <c r="N112" s="30">
        <f>IF('Peak Areas'!Q108=0,0,((('Peak Areas'!Q108*Coefficients!$G$11+Coefficients!$H$11)*$G112)))</f>
        <v>0</v>
      </c>
      <c r="O112" s="30">
        <f>IF('Peak Areas'!R108=0,0,((('Peak Areas'!R108*Coefficients!$G$39+Coefficients!$H$39)*$G112)))</f>
        <v>0.45672963526834359</v>
      </c>
      <c r="P112" s="30">
        <f>IF('Peak Areas'!S108=0,0,((('Peak Areas'!S108*Coefficients!$G$46+Coefficients!$H$46)*$G112)))</f>
        <v>0</v>
      </c>
      <c r="Q112" s="30">
        <f>IF('Peak Areas'!T108=0,0,((('Peak Areas'!T108*Coefficients!$G$51+Coefficients!$H$51)*$G112)))</f>
        <v>1.0680805846843469</v>
      </c>
      <c r="R112" s="30">
        <f>IF('Peak Areas'!U108=0,0,((('Peak Areas'!U108*Coefficients!$G$26+Coefficients!$H$26)*$G112)))</f>
        <v>0.59523066428794491</v>
      </c>
      <c r="S112" s="30">
        <f>IF('Peak Areas'!V108=0,0,((('Peak Areas'!V108*Coefficients!$G$13+Coefficients!$H$13)*$G112)))</f>
        <v>0.30378776482968012</v>
      </c>
      <c r="T112" s="30">
        <f>IF('Peak Areas'!W108=0,0,((('Peak Areas'!W108*Coefficients!$G$12+Coefficients!$H$12)*$G112)))</f>
        <v>0.52097318969601469</v>
      </c>
      <c r="U112" s="30">
        <f>IF('Peak Areas'!X108=0,0,((('Peak Areas'!X108*Coefficients!$G$27+Coefficients!$H$27)*$G112)))</f>
        <v>4.4625143241058186E-2</v>
      </c>
      <c r="V112" s="30">
        <f>IF('Peak Areas'!Y108=0,0,((('Peak Areas'!Y108*Coefficients!$G$34+Coefficients!$H$34)*$G112)))</f>
        <v>1.5792813739352056</v>
      </c>
      <c r="W112" s="30">
        <f>IF('Peak Areas'!Z108=0,0,((('Peak Areas'!Z108*Coefficients!$G$52+Coefficients!$H$52)*$G112)))</f>
        <v>1.6659329062231525</v>
      </c>
      <c r="X112" s="30">
        <f>IF('Peak Areas'!AA108=0,0,((('Peak Areas'!AA108*Coefficients!$G$33+Coefficients!$H$33)*$G112)))</f>
        <v>0.18726050035978495</v>
      </c>
      <c r="Y112" s="30">
        <f>IF('Peak Areas'!AC108=0,0,((('Peak Areas'!AC108*Coefficients!$G$19+Coefficients!$H$19)*$G112)))</f>
        <v>1.6956692944643359</v>
      </c>
      <c r="Z112" s="30">
        <f>IF('Peak Areas'!AD108=0,0,((('Peak Areas'!AD108*Coefficients!$G$18+Coefficients!$H$18)*$G112)))</f>
        <v>0.35724395647585366</v>
      </c>
      <c r="AA112" s="30">
        <f>IF('Peak Areas'!AE108=0,0,((('Peak Areas'!AE108*Coefficients!$G$18+Coefficients!$H$18)*$G112)))</f>
        <v>18.198596215361405</v>
      </c>
      <c r="AB112" s="30">
        <f>IF('Peak Areas'!AF108=0,0,((('Peak Areas'!AF108*Coefficients!$G$18+Coefficients!$H$18)*$G112)))</f>
        <v>1.6183721298499483</v>
      </c>
      <c r="AC112" s="30">
        <f>IF('Peak Areas'!AG108=0,0,((('Peak Areas'!AG108*Coefficients!$G$7+Coefficients!$H$7)*$G112)))</f>
        <v>0.20269173363999349</v>
      </c>
      <c r="AD112" s="30">
        <f>IF('Peak Areas'!AH108=0,0,((('Peak Areas'!AH108*Coefficients!$G$6+Coefficients!$H$6)*$G112)))</f>
        <v>2.4891523886808251</v>
      </c>
      <c r="AF112" s="30">
        <f>IF('Peak Areas'!K108=0,0,((('Peak Areas'!K108*Coefficients!$G$22+Coefficients!$H$22)*$G112)))</f>
        <v>0.17771730935211252</v>
      </c>
      <c r="AG112" s="30">
        <f t="shared" si="2"/>
        <v>18.376313524713517</v>
      </c>
      <c r="AH112" s="30">
        <f t="shared" si="3"/>
        <v>20.351929611039321</v>
      </c>
    </row>
    <row r="113" spans="1:34" x14ac:dyDescent="0.25">
      <c r="A113" s="2">
        <f>'Peak Areas'!A109</f>
        <v>99</v>
      </c>
      <c r="B113" s="62">
        <f>'Peak Areas'!B109</f>
        <v>45856</v>
      </c>
      <c r="C113" s="2" t="str">
        <f>'Peak Areas'!C109</f>
        <v xml:space="preserve">solvent nut </v>
      </c>
      <c r="D113" s="2">
        <f>'Peak Areas'!D109</f>
        <v>0</v>
      </c>
      <c r="E113" s="2">
        <f>'Peak Areas'!E109</f>
        <v>0</v>
      </c>
      <c r="F113" s="30">
        <f>'Peak Areas'!F109</f>
        <v>0.1</v>
      </c>
      <c r="G113" s="30">
        <f>((1/'Peak Areas'!$G109)*(('Peak Areas'!$H109+('Internal Standard'!$E$10/1000))/'Peak Areas'!$F109)*'Peak Areas'!$J109)*H113</f>
        <v>4.8831222739888984E-2</v>
      </c>
      <c r="H113" s="30">
        <f>(('Internal Standard'!$F$13*('Peak Areas'!G109/'Internal Standard'!$C$10))/'Peak Areas'!AB109)</f>
        <v>1.1489699468209171</v>
      </c>
      <c r="I113" s="30">
        <f>IF('Peak Areas'!L109=0,0,((('Peak Areas'!L109*Coefficients!$G$21+Coefficients!$H$21)*$G113)))</f>
        <v>0.10870558060105448</v>
      </c>
      <c r="J113" s="30">
        <f>IF('Peak Areas'!M109=0,0,((('Peak Areas'!M109*Coefficients!$G$20+Coefficients!$H$20)*$G113)))</f>
        <v>0.37182859015402714</v>
      </c>
      <c r="K113" s="30">
        <f>IF('Peak Areas'!N109=0,0,((('Peak Areas'!N109*Coefficients!$G$41+Coefficients!$H$41)*$G113)))</f>
        <v>0.22654313738856813</v>
      </c>
      <c r="L113" s="30">
        <f>IF('Peak Areas'!O109=0,0,((('Peak Areas'!O109*Coefficients!$G$10+Coefficients!$H$10)*$G113)))</f>
        <v>0</v>
      </c>
      <c r="M113" s="30">
        <f>IF('Peak Areas'!P109=0,0,((('Peak Areas'!P109*Coefficients!$G$32+Coefficients!$H$32)*$G113)))</f>
        <v>1.5759950056049763</v>
      </c>
      <c r="N113" s="30">
        <f>IF('Peak Areas'!Q109=0,0,((('Peak Areas'!Q109*Coefficients!$G$11+Coefficients!$H$11)*$G113)))</f>
        <v>0</v>
      </c>
      <c r="O113" s="30">
        <f>IF('Peak Areas'!R109=0,0,((('Peak Areas'!R109*Coefficients!$G$39+Coefficients!$H$39)*$G113)))</f>
        <v>0.46434521632304848</v>
      </c>
      <c r="P113" s="30">
        <f>IF('Peak Areas'!S109=0,0,((('Peak Areas'!S109*Coefficients!$G$46+Coefficients!$H$46)*$G113)))</f>
        <v>0</v>
      </c>
      <c r="Q113" s="30">
        <f>IF('Peak Areas'!T109=0,0,((('Peak Areas'!T109*Coefficients!$G$51+Coefficients!$H$51)*$G113)))</f>
        <v>1.0163584298707127</v>
      </c>
      <c r="R113" s="30">
        <f>IF('Peak Areas'!U109=0,0,((('Peak Areas'!U109*Coefficients!$G$26+Coefficients!$H$26)*$G113)))</f>
        <v>0.4801854133090358</v>
      </c>
      <c r="S113" s="30">
        <f>IF('Peak Areas'!V109=0,0,((('Peak Areas'!V109*Coefficients!$G$13+Coefficients!$H$13)*$G113)))</f>
        <v>0.25869680474641232</v>
      </c>
      <c r="T113" s="30">
        <f>IF('Peak Areas'!W109=0,0,((('Peak Areas'!W109*Coefficients!$G$12+Coefficients!$H$12)*$G113)))</f>
        <v>0.41591733819912047</v>
      </c>
      <c r="U113" s="30">
        <f>IF('Peak Areas'!X109=0,0,((('Peak Areas'!X109*Coefficients!$G$27+Coefficients!$H$27)*$G113)))</f>
        <v>3.556001297197308E-2</v>
      </c>
      <c r="V113" s="30">
        <f>IF('Peak Areas'!Y109=0,0,((('Peak Areas'!Y109*Coefficients!$G$34+Coefficients!$H$34)*$G113)))</f>
        <v>1.6490795631449686</v>
      </c>
      <c r="W113" s="30">
        <f>IF('Peak Areas'!Z109=0,0,((('Peak Areas'!Z109*Coefficients!$G$52+Coefficients!$H$52)*$G113)))</f>
        <v>1.6558513327167044</v>
      </c>
      <c r="X113" s="30">
        <f>IF('Peak Areas'!AA109=0,0,((('Peak Areas'!AA109*Coefficients!$G$33+Coefficients!$H$33)*$G113)))</f>
        <v>0.19322824374411895</v>
      </c>
      <c r="Y113" s="30">
        <f>IF('Peak Areas'!AC109=0,0,((('Peak Areas'!AC109*Coefficients!$G$19+Coefficients!$H$19)*$G113)))</f>
        <v>1.7147577958956188</v>
      </c>
      <c r="Z113" s="30">
        <f>IF('Peak Areas'!AD109=0,0,((('Peak Areas'!AD109*Coefficients!$G$18+Coefficients!$H$18)*$G113)))</f>
        <v>0.2628426311601656</v>
      </c>
      <c r="AA113" s="30">
        <f>IF('Peak Areas'!AE109=0,0,((('Peak Areas'!AE109*Coefficients!$G$18+Coefficients!$H$18)*$G113)))</f>
        <v>15.853047243170105</v>
      </c>
      <c r="AB113" s="30">
        <f>IF('Peak Areas'!AF109=0,0,((('Peak Areas'!AF109*Coefficients!$G$18+Coefficients!$H$18)*$G113)))</f>
        <v>1.4489963643391284</v>
      </c>
      <c r="AC113" s="30">
        <f>IF('Peak Areas'!AG109=0,0,((('Peak Areas'!AG109*Coefficients!$G$7+Coefficients!$H$7)*$G113)))</f>
        <v>0.14071146035507906</v>
      </c>
      <c r="AD113" s="30">
        <f>IF('Peak Areas'!AH109=0,0,((('Peak Areas'!AH109*Coefficients!$G$6+Coefficients!$H$6)*$G113)))</f>
        <v>1.8881477563304507</v>
      </c>
      <c r="AF113" s="30">
        <f>IF('Peak Areas'!K109=0,0,((('Peak Areas'!K109*Coefficients!$G$22+Coefficients!$H$22)*$G113)))</f>
        <v>0.1884090794366553</v>
      </c>
      <c r="AG113" s="30">
        <f t="shared" si="2"/>
        <v>16.041456322606759</v>
      </c>
      <c r="AH113" s="30">
        <f t="shared" si="3"/>
        <v>17.753295318106055</v>
      </c>
    </row>
    <row r="114" spans="1:34" x14ac:dyDescent="0.25">
      <c r="A114" s="2">
        <f>'Peak Areas'!A110</f>
        <v>100</v>
      </c>
      <c r="B114" s="62">
        <f>'Peak Areas'!B110</f>
        <v>45856</v>
      </c>
      <c r="C114" s="2" t="str">
        <f>'Peak Areas'!C110</f>
        <v xml:space="preserve">solvent nut </v>
      </c>
      <c r="D114" s="2">
        <f>'Peak Areas'!D110</f>
        <v>0</v>
      </c>
      <c r="E114" s="2">
        <f>'Peak Areas'!E110</f>
        <v>0</v>
      </c>
      <c r="F114" s="30">
        <f>'Peak Areas'!F110</f>
        <v>0.1</v>
      </c>
      <c r="G114" s="30">
        <f>((1/'Peak Areas'!$G110)*(('Peak Areas'!$H110+('Internal Standard'!$E$10/1000))/'Peak Areas'!$F110)*'Peak Areas'!$J110)*H114</f>
        <v>4.3217258164816141E-2</v>
      </c>
      <c r="H114" s="30">
        <f>(('Internal Standard'!$F$13*('Peak Areas'!G110/'Internal Standard'!$C$10))/'Peak Areas'!AB110)</f>
        <v>1.0168766627015562</v>
      </c>
      <c r="I114" s="30">
        <f>IF('Peak Areas'!L110=0,0,((('Peak Areas'!L110*Coefficients!$G$21+Coefficients!$H$21)*$G114)))</f>
        <v>0</v>
      </c>
      <c r="J114" s="30">
        <f>IF('Peak Areas'!M110=0,0,((('Peak Areas'!M110*Coefficients!$G$20+Coefficients!$H$20)*$G114)))</f>
        <v>0.32934045403347378</v>
      </c>
      <c r="K114" s="30">
        <f>IF('Peak Areas'!N110=0,0,((('Peak Areas'!N110*Coefficients!$G$41+Coefficients!$H$41)*$G114)))</f>
        <v>0.13489507065584563</v>
      </c>
      <c r="L114" s="30">
        <f>IF('Peak Areas'!O110=0,0,((('Peak Areas'!O110*Coefficients!$G$10+Coefficients!$H$10)*$G114)))</f>
        <v>0</v>
      </c>
      <c r="M114" s="30">
        <f>IF('Peak Areas'!P110=0,0,((('Peak Areas'!P110*Coefficients!$G$32+Coefficients!$H$32)*$G114)))</f>
        <v>1.491926463478543</v>
      </c>
      <c r="N114" s="30">
        <f>IF('Peak Areas'!Q110=0,0,((('Peak Areas'!Q110*Coefficients!$G$11+Coefficients!$H$11)*$G114)))</f>
        <v>0</v>
      </c>
      <c r="O114" s="30">
        <f>IF('Peak Areas'!R110=0,0,((('Peak Areas'!R110*Coefficients!$G$39+Coefficients!$H$39)*$G114)))</f>
        <v>0.46474022898965034</v>
      </c>
      <c r="P114" s="30">
        <f>IF('Peak Areas'!S110=0,0,((('Peak Areas'!S110*Coefficients!$G$46+Coefficients!$H$46)*$G114)))</f>
        <v>0</v>
      </c>
      <c r="Q114" s="30">
        <f>IF('Peak Areas'!T110=0,0,((('Peak Areas'!T110*Coefficients!$G$51+Coefficients!$H$51)*$G114)))</f>
        <v>1.0426257581676399</v>
      </c>
      <c r="R114" s="30">
        <f>IF('Peak Areas'!U110=0,0,((('Peak Areas'!U110*Coefficients!$G$26+Coefficients!$H$26)*$G114)))</f>
        <v>0.48631473281641185</v>
      </c>
      <c r="S114" s="30">
        <f>IF('Peak Areas'!V110=0,0,((('Peak Areas'!V110*Coefficients!$G$13+Coefficients!$H$13)*$G114)))</f>
        <v>0.28755099092902725</v>
      </c>
      <c r="T114" s="30">
        <f>IF('Peak Areas'!W110=0,0,((('Peak Areas'!W110*Coefficients!$G$12+Coefficients!$H$12)*$G114)))</f>
        <v>0.41670842652494067</v>
      </c>
      <c r="U114" s="30">
        <f>IF('Peak Areas'!X110=0,0,((('Peak Areas'!X110*Coefficients!$G$27+Coefficients!$H$27)*$G114)))</f>
        <v>3.5361265025049E-2</v>
      </c>
      <c r="V114" s="30">
        <f>IF('Peak Areas'!Y110=0,0,((('Peak Areas'!Y110*Coefficients!$G$34+Coefficients!$H$34)*$G114)))</f>
        <v>1.6675142273834063</v>
      </c>
      <c r="W114" s="30">
        <f>IF('Peak Areas'!Z110=0,0,((('Peak Areas'!Z110*Coefficients!$G$52+Coefficients!$H$52)*$G114)))</f>
        <v>1.7305430198696394</v>
      </c>
      <c r="X114" s="30">
        <f>IF('Peak Areas'!AA110=0,0,((('Peak Areas'!AA110*Coefficients!$G$33+Coefficients!$H$33)*$G114)))</f>
        <v>0.17147667185394927</v>
      </c>
      <c r="Y114" s="30">
        <f>IF('Peak Areas'!AC110=0,0,((('Peak Areas'!AC110*Coefficients!$G$19+Coefficients!$H$19)*$G114)))</f>
        <v>1.7877089431773019</v>
      </c>
      <c r="Z114" s="30">
        <f>IF('Peak Areas'!AD110=0,0,((('Peak Areas'!AD110*Coefficients!$G$18+Coefficients!$H$18)*$G114)))</f>
        <v>0.17801524004011127</v>
      </c>
      <c r="AA114" s="30">
        <f>IF('Peak Areas'!AE110=0,0,((('Peak Areas'!AE110*Coefficients!$G$18+Coefficients!$H$18)*$G114)))</f>
        <v>15.821621522806751</v>
      </c>
      <c r="AB114" s="30">
        <f>IF('Peak Areas'!AF110=0,0,((('Peak Areas'!AF110*Coefficients!$G$18+Coefficients!$H$18)*$G114)))</f>
        <v>1.292370322973633</v>
      </c>
      <c r="AC114" s="30">
        <f>IF('Peak Areas'!AG110=0,0,((('Peak Areas'!AG110*Coefficients!$G$7+Coefficients!$H$7)*$G114)))</f>
        <v>0.26870520395708697</v>
      </c>
      <c r="AD114" s="30">
        <f>IF('Peak Areas'!AH110=0,0,((('Peak Areas'!AH110*Coefficients!$G$6+Coefficients!$H$6)*$G114)))</f>
        <v>2.5626160295106351</v>
      </c>
      <c r="AF114" s="30">
        <f>IF('Peak Areas'!K110=0,0,((('Peak Areas'!K110*Coefficients!$G$22+Coefficients!$H$22)*$G114)))</f>
        <v>0.14515008898469764</v>
      </c>
      <c r="AG114" s="30">
        <f t="shared" si="2"/>
        <v>15.966771611791449</v>
      </c>
      <c r="AH114" s="30">
        <f t="shared" si="3"/>
        <v>17.43715717480519</v>
      </c>
    </row>
    <row r="115" spans="1:34" x14ac:dyDescent="0.25">
      <c r="A115" s="2">
        <f>'Peak Areas'!A111</f>
        <v>101</v>
      </c>
      <c r="B115" s="62">
        <f>'Peak Areas'!B111</f>
        <v>45856</v>
      </c>
      <c r="C115" s="2" t="str">
        <f>'Peak Areas'!C111</f>
        <v>D low</v>
      </c>
      <c r="D115" s="2">
        <f>'Peak Areas'!D111</f>
        <v>0</v>
      </c>
      <c r="E115" s="2">
        <f>'Peak Areas'!E111</f>
        <v>0</v>
      </c>
      <c r="F115" s="30">
        <f>'Peak Areas'!F111</f>
        <v>0.1</v>
      </c>
      <c r="G115" s="30">
        <f>((1/'Peak Areas'!$G111)*(('Peak Areas'!$H111+('Internal Standard'!$E$10/1000))/'Peak Areas'!$F111)*'Peak Areas'!$J111)*H115</f>
        <v>4.3462638085525453E-2</v>
      </c>
      <c r="H115" s="30">
        <f>(('Internal Standard'!$F$13*('Peak Areas'!G111/'Internal Standard'!$C$10))/'Peak Areas'!AB111)</f>
        <v>1.0226503078947164</v>
      </c>
      <c r="I115" s="30">
        <f>IF('Peak Areas'!L111=0,0,((('Peak Areas'!L111*Coefficients!$G$21+Coefficients!$H$21)*$G115)))</f>
        <v>0</v>
      </c>
      <c r="J115" s="30">
        <f>IF('Peak Areas'!M111=0,0,((('Peak Areas'!M111*Coefficients!$G$20+Coefficients!$H$20)*$G115)))</f>
        <v>9.7063837917875109E-2</v>
      </c>
      <c r="K115" s="30">
        <f>IF('Peak Areas'!N111=0,0,((('Peak Areas'!N111*Coefficients!$G$41+Coefficients!$H$41)*$G115)))</f>
        <v>5.4544883058922342E-2</v>
      </c>
      <c r="L115" s="30">
        <f>IF('Peak Areas'!O111=0,0,((('Peak Areas'!O111*Coefficients!$G$10+Coefficients!$H$10)*$G115)))</f>
        <v>0</v>
      </c>
      <c r="M115" s="30">
        <f>IF('Peak Areas'!P111=0,0,((('Peak Areas'!P111*Coefficients!$G$32+Coefficients!$H$32)*$G115)))</f>
        <v>0.78214719443262859</v>
      </c>
      <c r="N115" s="30">
        <f>IF('Peak Areas'!Q111=0,0,((('Peak Areas'!Q111*Coefficients!$G$11+Coefficients!$H$11)*$G115)))</f>
        <v>0</v>
      </c>
      <c r="O115" s="30">
        <f>IF('Peak Areas'!R111=0,0,((('Peak Areas'!R111*Coefficients!$G$39+Coefficients!$H$39)*$G115)))</f>
        <v>0.22212208828611071</v>
      </c>
      <c r="P115" s="30">
        <f>IF('Peak Areas'!S111=0,0,((('Peak Areas'!S111*Coefficients!$G$46+Coefficients!$H$46)*$G115)))</f>
        <v>0</v>
      </c>
      <c r="Q115" s="30">
        <f>IF('Peak Areas'!T111=0,0,((('Peak Areas'!T111*Coefficients!$G$51+Coefficients!$H$51)*$G115)))</f>
        <v>0.68960106282296951</v>
      </c>
      <c r="R115" s="30">
        <f>IF('Peak Areas'!U111=0,0,((('Peak Areas'!U111*Coefficients!$G$26+Coefficients!$H$26)*$G115)))</f>
        <v>0.32133472492959653</v>
      </c>
      <c r="S115" s="30">
        <f>IF('Peak Areas'!V111=0,0,((('Peak Areas'!V111*Coefficients!$G$13+Coefficients!$H$13)*$G115)))</f>
        <v>0.23924029446093695</v>
      </c>
      <c r="T115" s="30">
        <f>IF('Peak Areas'!W111=0,0,((('Peak Areas'!W111*Coefficients!$G$12+Coefficients!$H$12)*$G115)))</f>
        <v>0.28111016887723178</v>
      </c>
      <c r="U115" s="30">
        <f>IF('Peak Areas'!X111=0,0,((('Peak Areas'!X111*Coefficients!$G$27+Coefficients!$H$27)*$G115)))</f>
        <v>3.5844149253054076E-2</v>
      </c>
      <c r="V115" s="30">
        <f>IF('Peak Areas'!Y111=0,0,((('Peak Areas'!Y111*Coefficients!$G$34+Coefficients!$H$34)*$G115)))</f>
        <v>0.6208660544846718</v>
      </c>
      <c r="W115" s="30">
        <f>IF('Peak Areas'!Z111=0,0,((('Peak Areas'!Z111*Coefficients!$G$52+Coefficients!$H$52)*$G115)))</f>
        <v>0.96801543840318804</v>
      </c>
      <c r="X115" s="30">
        <f>IF('Peak Areas'!AA111=0,0,((('Peak Areas'!AA111*Coefficients!$G$33+Coefficients!$H$33)*$G115)))</f>
        <v>0.14626051493088574</v>
      </c>
      <c r="Y115" s="30">
        <f>IF('Peak Areas'!AC111=0,0,((('Peak Areas'!AC111*Coefficients!$G$19+Coefficients!$H$19)*$G115)))</f>
        <v>0.54186239365847344</v>
      </c>
      <c r="Z115" s="30">
        <f>IF('Peak Areas'!AD111=0,0,((('Peak Areas'!AD111*Coefficients!$G$18+Coefficients!$H$18)*$G115)))</f>
        <v>0.14948632753181126</v>
      </c>
      <c r="AA115" s="30">
        <f>IF('Peak Areas'!AE111=0,0,((('Peak Areas'!AE111*Coefficients!$G$18+Coefficients!$H$18)*$G115)))</f>
        <v>7.555326909269831</v>
      </c>
      <c r="AB115" s="30">
        <f>IF('Peak Areas'!AF111=0,0,((('Peak Areas'!AF111*Coefficients!$G$18+Coefficients!$H$18)*$G115)))</f>
        <v>0.63845057646687908</v>
      </c>
      <c r="AC115" s="30">
        <f>IF('Peak Areas'!AG111=0,0,((('Peak Areas'!AG111*Coefficients!$G$7+Coefficients!$H$7)*$G115)))</f>
        <v>0</v>
      </c>
      <c r="AD115" s="30">
        <f>IF('Peak Areas'!AH111=0,0,((('Peak Areas'!AH111*Coefficients!$G$6+Coefficients!$H$6)*$G115)))</f>
        <v>1.5381365334942425</v>
      </c>
      <c r="AF115" s="30">
        <f>IF('Peak Areas'!K111=0,0,((('Peak Areas'!K111*Coefficients!$G$22+Coefficients!$H$22)*$G115)))</f>
        <v>4.0022898565661859E-2</v>
      </c>
      <c r="AG115" s="30">
        <f t="shared" si="2"/>
        <v>7.5953498078354924</v>
      </c>
      <c r="AH115" s="30">
        <f t="shared" si="3"/>
        <v>8.3832867118341827</v>
      </c>
    </row>
    <row r="116" spans="1:34" x14ac:dyDescent="0.25">
      <c r="A116" s="2">
        <f>'Peak Areas'!A112</f>
        <v>102</v>
      </c>
      <c r="B116" s="62">
        <f>'Peak Areas'!B112</f>
        <v>45856</v>
      </c>
      <c r="C116" s="2" t="str">
        <f>'Peak Areas'!C112</f>
        <v>D low</v>
      </c>
      <c r="D116" s="2">
        <f>'Peak Areas'!D112</f>
        <v>0</v>
      </c>
      <c r="E116" s="2">
        <f>'Peak Areas'!E112</f>
        <v>0</v>
      </c>
      <c r="F116" s="30">
        <f>'Peak Areas'!F112</f>
        <v>0.1</v>
      </c>
      <c r="G116" s="30">
        <f>((1/'Peak Areas'!$G112)*(('Peak Areas'!$H112+('Internal Standard'!$E$10/1000))/'Peak Areas'!$F112)*'Peak Areas'!$J112)*H116</f>
        <v>4.3613842790666185E-2</v>
      </c>
      <c r="H116" s="30">
        <f>(('Internal Standard'!$F$13*('Peak Areas'!G112/'Internal Standard'!$C$10))/'Peak Areas'!AB112)</f>
        <v>1.0262080656627337</v>
      </c>
      <c r="I116" s="30">
        <f>IF('Peak Areas'!L112=0,0,((('Peak Areas'!L112*Coefficients!$G$21+Coefficients!$H$21)*$G116)))</f>
        <v>0</v>
      </c>
      <c r="J116" s="30">
        <f>IF('Peak Areas'!M112=0,0,((('Peak Areas'!M112*Coefficients!$G$20+Coefficients!$H$20)*$G116)))</f>
        <v>0.13657249699757523</v>
      </c>
      <c r="K116" s="30">
        <f>IF('Peak Areas'!N112=0,0,((('Peak Areas'!N112*Coefficients!$G$41+Coefficients!$H$41)*$G116)))</f>
        <v>0.11052100110667949</v>
      </c>
      <c r="L116" s="30">
        <f>IF('Peak Areas'!O112=0,0,((('Peak Areas'!O112*Coefficients!$G$10+Coefficients!$H$10)*$G116)))</f>
        <v>0</v>
      </c>
      <c r="M116" s="30">
        <f>IF('Peak Areas'!P112=0,0,((('Peak Areas'!P112*Coefficients!$G$32+Coefficients!$H$32)*$G116)))</f>
        <v>0.6548517297382962</v>
      </c>
      <c r="N116" s="30">
        <f>IF('Peak Areas'!Q112=0,0,((('Peak Areas'!Q112*Coefficients!$G$11+Coefficients!$H$11)*$G116)))</f>
        <v>0</v>
      </c>
      <c r="O116" s="30">
        <f>IF('Peak Areas'!R112=0,0,((('Peak Areas'!R112*Coefficients!$G$39+Coefficients!$H$39)*$G116)))</f>
        <v>9.4228992445068535E-2</v>
      </c>
      <c r="P116" s="30">
        <f>IF('Peak Areas'!S112=0,0,((('Peak Areas'!S112*Coefficients!$G$46+Coefficients!$H$46)*$G116)))</f>
        <v>0</v>
      </c>
      <c r="Q116" s="30">
        <f>IF('Peak Areas'!T112=0,0,((('Peak Areas'!T112*Coefficients!$G$51+Coefficients!$H$51)*$G116)))</f>
        <v>0.62758702651936138</v>
      </c>
      <c r="R116" s="30">
        <f>IF('Peak Areas'!U112=0,0,((('Peak Areas'!U112*Coefficients!$G$26+Coefficients!$H$26)*$G116)))</f>
        <v>0.30177510601324298</v>
      </c>
      <c r="S116" s="30">
        <f>IF('Peak Areas'!V112=0,0,((('Peak Areas'!V112*Coefficients!$G$13+Coefficients!$H$13)*$G116)))</f>
        <v>0.22851510929951269</v>
      </c>
      <c r="T116" s="30">
        <f>IF('Peak Areas'!W112=0,0,((('Peak Areas'!W112*Coefficients!$G$12+Coefficients!$H$12)*$G116)))</f>
        <v>0.20508178851511649</v>
      </c>
      <c r="U116" s="30">
        <f>IF('Peak Areas'!X112=0,0,((('Peak Areas'!X112*Coefficients!$G$27+Coefficients!$H$27)*$G116)))</f>
        <v>2.8831697780276517E-2</v>
      </c>
      <c r="V116" s="30">
        <f>IF('Peak Areas'!Y112=0,0,((('Peak Areas'!Y112*Coefficients!$G$34+Coefficients!$H$34)*$G116)))</f>
        <v>0.49093688141021868</v>
      </c>
      <c r="W116" s="30">
        <f>IF('Peak Areas'!Z112=0,0,((('Peak Areas'!Z112*Coefficients!$G$52+Coefficients!$H$52)*$G116)))</f>
        <v>0.8970045560134936</v>
      </c>
      <c r="X116" s="30">
        <f>IF('Peak Areas'!AA112=0,0,((('Peak Areas'!AA112*Coefficients!$G$33+Coefficients!$H$33)*$G116)))</f>
        <v>0.13431845889495553</v>
      </c>
      <c r="Y116" s="30">
        <f>IF('Peak Areas'!AC112=0,0,((('Peak Areas'!AC112*Coefficients!$G$19+Coefficients!$H$19)*$G116)))</f>
        <v>0.38994487036490905</v>
      </c>
      <c r="Z116" s="30">
        <f>IF('Peak Areas'!AD112=0,0,((('Peak Areas'!AD112*Coefficients!$G$18+Coefficients!$H$18)*$G116)))</f>
        <v>0.16838871179878875</v>
      </c>
      <c r="AA116" s="30">
        <f>IF('Peak Areas'!AE112=0,0,((('Peak Areas'!AE112*Coefficients!$G$18+Coefficients!$H$18)*$G116)))</f>
        <v>6.2890995920448773</v>
      </c>
      <c r="AB116" s="30">
        <f>IF('Peak Areas'!AF112=0,0,((('Peak Areas'!AF112*Coefficients!$G$18+Coefficients!$H$18)*$G116)))</f>
        <v>0.55119519068201972</v>
      </c>
      <c r="AC116" s="30">
        <f>IF('Peak Areas'!AG112=0,0,((('Peak Areas'!AG112*Coefficients!$G$7+Coefficients!$H$7)*$G116)))</f>
        <v>0</v>
      </c>
      <c r="AD116" s="30">
        <f>IF('Peak Areas'!AH112=0,0,((('Peak Areas'!AH112*Coefficients!$G$6+Coefficients!$H$6)*$G116)))</f>
        <v>0.83663450210311086</v>
      </c>
      <c r="AF116" s="30">
        <f>IF('Peak Areas'!K112=0,0,((('Peak Areas'!K112*Coefficients!$G$22+Coefficients!$H$22)*$G116)))</f>
        <v>6.3582786722794479E-2</v>
      </c>
      <c r="AG116" s="30">
        <f t="shared" si="2"/>
        <v>6.3526823787676721</v>
      </c>
      <c r="AH116" s="30">
        <f t="shared" si="3"/>
        <v>7.0722662812484804</v>
      </c>
    </row>
    <row r="117" spans="1:34" x14ac:dyDescent="0.25">
      <c r="A117" s="2">
        <f>'Peak Areas'!A113</f>
        <v>103</v>
      </c>
      <c r="B117" s="62">
        <f>'Peak Areas'!B113</f>
        <v>45856</v>
      </c>
      <c r="C117" s="2" t="str">
        <f>'Peak Areas'!C113</f>
        <v>D high</v>
      </c>
      <c r="D117" s="2">
        <f>'Peak Areas'!D113</f>
        <v>0</v>
      </c>
      <c r="E117" s="2">
        <f>'Peak Areas'!E113</f>
        <v>0</v>
      </c>
      <c r="F117" s="30">
        <f>'Peak Areas'!F113</f>
        <v>0.1</v>
      </c>
      <c r="G117" s="30">
        <f>((1/'Peak Areas'!$G113)*(('Peak Areas'!$H113+('Internal Standard'!$E$10/1000))/'Peak Areas'!$F113)*'Peak Areas'!$J113)*H117</f>
        <v>4.3942706789208426E-2</v>
      </c>
      <c r="H117" s="30">
        <f>(('Internal Standard'!$F$13*('Peak Areas'!G113/'Internal Standard'!$C$10))/'Peak Areas'!AB113)</f>
        <v>1.0339460420990216</v>
      </c>
      <c r="I117" s="30">
        <f>IF('Peak Areas'!L113=0,0,((('Peak Areas'!L113*Coefficients!$G$21+Coefficients!$H$21)*$G117)))</f>
        <v>0</v>
      </c>
      <c r="J117" s="30">
        <f>IF('Peak Areas'!M113=0,0,((('Peak Areas'!M113*Coefficients!$G$20+Coefficients!$H$20)*$G117)))</f>
        <v>0.12195011400426875</v>
      </c>
      <c r="K117" s="30">
        <f>IF('Peak Areas'!N113=0,0,((('Peak Areas'!N113*Coefficients!$G$41+Coefficients!$H$41)*$G117)))</f>
        <v>0.10056731953661431</v>
      </c>
      <c r="L117" s="30">
        <f>IF('Peak Areas'!O113=0,0,((('Peak Areas'!O113*Coefficients!$G$10+Coefficients!$H$10)*$G117)))</f>
        <v>0</v>
      </c>
      <c r="M117" s="30">
        <f>IF('Peak Areas'!P113=0,0,((('Peak Areas'!P113*Coefficients!$G$32+Coefficients!$H$32)*$G117)))</f>
        <v>0.64816486770554782</v>
      </c>
      <c r="N117" s="30">
        <f>IF('Peak Areas'!Q113=0,0,((('Peak Areas'!Q113*Coefficients!$G$11+Coefficients!$H$11)*$G117)))</f>
        <v>0</v>
      </c>
      <c r="O117" s="30">
        <f>IF('Peak Areas'!R113=0,0,((('Peak Areas'!R113*Coefficients!$G$39+Coefficients!$H$39)*$G117)))</f>
        <v>8.0890320848889169E-2</v>
      </c>
      <c r="P117" s="30">
        <f>IF('Peak Areas'!S113=0,0,((('Peak Areas'!S113*Coefficients!$G$46+Coefficients!$H$46)*$G117)))</f>
        <v>0</v>
      </c>
      <c r="Q117" s="30">
        <f>IF('Peak Areas'!T113=0,0,((('Peak Areas'!T113*Coefficients!$G$51+Coefficients!$H$51)*$G117)))</f>
        <v>0.62969317073022424</v>
      </c>
      <c r="R117" s="30">
        <f>IF('Peak Areas'!U113=0,0,((('Peak Areas'!U113*Coefficients!$G$26+Coefficients!$H$26)*$G117)))</f>
        <v>0.31181309838973381</v>
      </c>
      <c r="S117" s="30">
        <f>IF('Peak Areas'!V113=0,0,((('Peak Areas'!V113*Coefficients!$G$13+Coefficients!$H$13)*$G117)))</f>
        <v>0.23388238092148705</v>
      </c>
      <c r="T117" s="30">
        <f>IF('Peak Areas'!W113=0,0,((('Peak Areas'!W113*Coefficients!$G$12+Coefficients!$H$12)*$G117)))</f>
        <v>0.26121198504978427</v>
      </c>
      <c r="U117" s="30">
        <f>IF('Peak Areas'!X113=0,0,((('Peak Areas'!X113*Coefficients!$G$27+Coefficients!$H$27)*$G117)))</f>
        <v>3.7243841192760523E-2</v>
      </c>
      <c r="V117" s="30">
        <f>IF('Peak Areas'!Y113=0,0,((('Peak Areas'!Y113*Coefficients!$G$34+Coefficients!$H$34)*$G117)))</f>
        <v>0.44098836218481025</v>
      </c>
      <c r="W117" s="30">
        <f>IF('Peak Areas'!Z113=0,0,((('Peak Areas'!Z113*Coefficients!$G$52+Coefficients!$H$52)*$G117)))</f>
        <v>0.80347791281381209</v>
      </c>
      <c r="X117" s="30">
        <f>IF('Peak Areas'!AA113=0,0,((('Peak Areas'!AA113*Coefficients!$G$33+Coefficients!$H$33)*$G117)))</f>
        <v>0.11563487327990105</v>
      </c>
      <c r="Y117" s="30">
        <f>IF('Peak Areas'!AC113=0,0,((('Peak Areas'!AC113*Coefficients!$G$19+Coefficients!$H$19)*$G117)))</f>
        <v>0.33084014583475402</v>
      </c>
      <c r="Z117" s="30">
        <f>IF('Peak Areas'!AD113=0,0,((('Peak Areas'!AD113*Coefficients!$G$18+Coefficients!$H$18)*$G117)))</f>
        <v>0.16593209904943673</v>
      </c>
      <c r="AA117" s="30">
        <f>IF('Peak Areas'!AE113=0,0,((('Peak Areas'!AE113*Coefficients!$G$18+Coefficients!$H$18)*$G117)))</f>
        <v>5.8929784219611632</v>
      </c>
      <c r="AB117" s="30">
        <f>IF('Peak Areas'!AF113=0,0,((('Peak Areas'!AF113*Coefficients!$G$18+Coefficients!$H$18)*$G117)))</f>
        <v>0.53170215574229185</v>
      </c>
      <c r="AC117" s="30">
        <f>IF('Peak Areas'!AG113=0,0,((('Peak Areas'!AG113*Coefficients!$G$7+Coefficients!$H$7)*$G117)))</f>
        <v>0</v>
      </c>
      <c r="AD117" s="30">
        <f>IF('Peak Areas'!AH113=0,0,((('Peak Areas'!AH113*Coefficients!$G$6+Coefficients!$H$6)*$G117)))</f>
        <v>0.58937648034163204</v>
      </c>
      <c r="AF117" s="30">
        <f>IF('Peak Areas'!K113=0,0,((('Peak Areas'!K113*Coefficients!$G$22+Coefficients!$H$22)*$G117)))</f>
        <v>3.7702913718667172E-2</v>
      </c>
      <c r="AG117" s="30">
        <f t="shared" si="2"/>
        <v>5.9306813356798305</v>
      </c>
      <c r="AH117" s="30">
        <f t="shared" si="3"/>
        <v>6.6283155904715594</v>
      </c>
    </row>
    <row r="118" spans="1:34" x14ac:dyDescent="0.25">
      <c r="A118" s="2">
        <f>'Peak Areas'!A114</f>
        <v>104</v>
      </c>
      <c r="B118" s="62">
        <f>'Peak Areas'!B114</f>
        <v>45856</v>
      </c>
      <c r="C118" s="2" t="str">
        <f>'Peak Areas'!C114</f>
        <v>D high</v>
      </c>
      <c r="D118" s="2">
        <f>'Peak Areas'!D114</f>
        <v>0</v>
      </c>
      <c r="E118" s="2">
        <f>'Peak Areas'!E114</f>
        <v>0</v>
      </c>
      <c r="F118" s="30">
        <f>'Peak Areas'!F114</f>
        <v>0.1</v>
      </c>
      <c r="G118" s="30">
        <f>((1/'Peak Areas'!$G114)*(('Peak Areas'!$H114+('Internal Standard'!$E$10/1000))/'Peak Areas'!$F114)*'Peak Areas'!$J114)*H118</f>
        <v>4.458810418175236E-2</v>
      </c>
      <c r="H118" s="30">
        <f>(('Internal Standard'!$F$13*('Peak Areas'!G114/'Internal Standard'!$C$10))/'Peak Areas'!AB114)</f>
        <v>1.0491318631000555</v>
      </c>
      <c r="I118" s="30">
        <f>IF('Peak Areas'!L114=0,0,((('Peak Areas'!L114*Coefficients!$G$21+Coefficients!$H$21)*$G118)))</f>
        <v>0</v>
      </c>
      <c r="J118" s="30">
        <f>IF('Peak Areas'!M114=0,0,((('Peak Areas'!M114*Coefficients!$G$20+Coefficients!$H$20)*$G118)))</f>
        <v>9.5120400812121156E-2</v>
      </c>
      <c r="K118" s="30">
        <f>IF('Peak Areas'!N114=0,0,((('Peak Areas'!N114*Coefficients!$G$41+Coefficients!$H$41)*$G118)))</f>
        <v>7.8737849415861483E-2</v>
      </c>
      <c r="L118" s="30">
        <f>IF('Peak Areas'!O114=0,0,((('Peak Areas'!O114*Coefficients!$G$10+Coefficients!$H$10)*$G118)))</f>
        <v>0</v>
      </c>
      <c r="M118" s="30">
        <f>IF('Peak Areas'!P114=0,0,((('Peak Areas'!P114*Coefficients!$G$32+Coefficients!$H$32)*$G118)))</f>
        <v>0.6763836182041193</v>
      </c>
      <c r="N118" s="30">
        <f>IF('Peak Areas'!Q114=0,0,((('Peak Areas'!Q114*Coefficients!$G$11+Coefficients!$H$11)*$G118)))</f>
        <v>0</v>
      </c>
      <c r="O118" s="30">
        <f>IF('Peak Areas'!R114=0,0,((('Peak Areas'!R114*Coefficients!$G$39+Coefficients!$H$39)*$G118)))</f>
        <v>8.7769513703751564E-2</v>
      </c>
      <c r="P118" s="30">
        <f>IF('Peak Areas'!S114=0,0,((('Peak Areas'!S114*Coefficients!$G$46+Coefficients!$H$46)*$G118)))</f>
        <v>0</v>
      </c>
      <c r="Q118" s="30">
        <f>IF('Peak Areas'!T114=0,0,((('Peak Areas'!T114*Coefficients!$G$51+Coefficients!$H$51)*$G118)))</f>
        <v>0.64404485138493628</v>
      </c>
      <c r="R118" s="30">
        <f>IF('Peak Areas'!U114=0,0,((('Peak Areas'!U114*Coefficients!$G$26+Coefficients!$H$26)*$G118)))</f>
        <v>0.31321617275904995</v>
      </c>
      <c r="S118" s="30">
        <f>IF('Peak Areas'!V114=0,0,((('Peak Areas'!V114*Coefficients!$G$13+Coefficients!$H$13)*$G118)))</f>
        <v>0.23504359078287651</v>
      </c>
      <c r="T118" s="30">
        <f>IF('Peak Areas'!W114=0,0,((('Peak Areas'!W114*Coefficients!$G$12+Coefficients!$H$12)*$G118)))</f>
        <v>0.26894675257767803</v>
      </c>
      <c r="U118" s="30">
        <f>IF('Peak Areas'!X114=0,0,((('Peak Areas'!X114*Coefficients!$G$27+Coefficients!$H$27)*$G118)))</f>
        <v>3.5525625914720908E-2</v>
      </c>
      <c r="V118" s="30">
        <f>IF('Peak Areas'!Y114=0,0,((('Peak Areas'!Y114*Coefficients!$G$34+Coefficients!$H$34)*$G118)))</f>
        <v>0.44022169638570496</v>
      </c>
      <c r="W118" s="30">
        <f>IF('Peak Areas'!Z114=0,0,((('Peak Areas'!Z114*Coefficients!$G$52+Coefficients!$H$52)*$G118)))</f>
        <v>0.86530163255283543</v>
      </c>
      <c r="X118" s="30">
        <f>IF('Peak Areas'!AA114=0,0,((('Peak Areas'!AA114*Coefficients!$G$33+Coefficients!$H$33)*$G118)))</f>
        <v>0.10681864432308479</v>
      </c>
      <c r="Y118" s="30">
        <f>IF('Peak Areas'!AC114=0,0,((('Peak Areas'!AC114*Coefficients!$G$19+Coefficients!$H$19)*$G118)))</f>
        <v>0.35143327463986701</v>
      </c>
      <c r="Z118" s="30">
        <f>IF('Peak Areas'!AD114=0,0,((('Peak Areas'!AD114*Coefficients!$G$18+Coefficients!$H$18)*$G118)))</f>
        <v>0.17888874919697006</v>
      </c>
      <c r="AA118" s="30">
        <f>IF('Peak Areas'!AE114=0,0,((('Peak Areas'!AE114*Coefficients!$G$18+Coefficients!$H$18)*$G118)))</f>
        <v>6.1707727382040307</v>
      </c>
      <c r="AB118" s="30">
        <f>IF('Peak Areas'!AF114=0,0,((('Peak Areas'!AF114*Coefficients!$G$18+Coefficients!$H$18)*$G118)))</f>
        <v>0.56998444091209954</v>
      </c>
      <c r="AC118" s="30">
        <f>IF('Peak Areas'!AG114=0,0,((('Peak Areas'!AG114*Coefficients!$G$7+Coefficients!$H$7)*$G118)))</f>
        <v>0</v>
      </c>
      <c r="AD118" s="30">
        <f>IF('Peak Areas'!AH114=0,0,((('Peak Areas'!AH114*Coefficients!$G$6+Coefficients!$H$6)*$G118)))</f>
        <v>0.66211148901157901</v>
      </c>
      <c r="AF118" s="30">
        <f>IF('Peak Areas'!K114=0,0,((('Peak Areas'!K114*Coefficients!$G$22+Coefficients!$H$22)*$G118)))</f>
        <v>3.2092506800045766E-2</v>
      </c>
      <c r="AG118" s="30">
        <f t="shared" si="2"/>
        <v>6.2028652450040767</v>
      </c>
      <c r="AH118" s="30">
        <f t="shared" si="3"/>
        <v>6.9517384351131462</v>
      </c>
    </row>
    <row r="119" spans="1:34" x14ac:dyDescent="0.25">
      <c r="A119" s="2">
        <f>'Peak Areas'!A115</f>
        <v>105</v>
      </c>
      <c r="B119" s="62">
        <f>'Peak Areas'!B115</f>
        <v>45856</v>
      </c>
      <c r="C119" s="2" t="str">
        <f>'Peak Areas'!C115</f>
        <v>D low nut</v>
      </c>
      <c r="D119" s="2">
        <f>'Peak Areas'!D115</f>
        <v>0</v>
      </c>
      <c r="E119" s="2">
        <f>'Peak Areas'!E115</f>
        <v>0</v>
      </c>
      <c r="F119" s="30">
        <f>'Peak Areas'!F115</f>
        <v>0.1</v>
      </c>
      <c r="G119" s="30">
        <f>((1/'Peak Areas'!$G115)*(('Peak Areas'!$H115+('Internal Standard'!$E$10/1000))/'Peak Areas'!$F115)*'Peak Areas'!$J115)*H119</f>
        <v>4.2419324303446741E-2</v>
      </c>
      <c r="H119" s="30">
        <f>(('Internal Standard'!$F$13*('Peak Areas'!G115/'Internal Standard'!$C$10))/'Peak Areas'!AB115)</f>
        <v>0.99810174831639387</v>
      </c>
      <c r="I119" s="30">
        <f>IF('Peak Areas'!L115=0,0,((('Peak Areas'!L115*Coefficients!$G$21+Coefficients!$H$21)*$G119)))</f>
        <v>0</v>
      </c>
      <c r="J119" s="30">
        <f>IF('Peak Areas'!M115=0,0,((('Peak Areas'!M115*Coefficients!$G$20+Coefficients!$H$20)*$G119)))</f>
        <v>0.35946603676401756</v>
      </c>
      <c r="K119" s="30">
        <f>IF('Peak Areas'!N115=0,0,((('Peak Areas'!N115*Coefficients!$G$41+Coefficients!$H$41)*$G119)))</f>
        <v>0.15543100316759481</v>
      </c>
      <c r="L119" s="30">
        <f>IF('Peak Areas'!O115=0,0,((('Peak Areas'!O115*Coefficients!$G$10+Coefficients!$H$10)*$G119)))</f>
        <v>0</v>
      </c>
      <c r="M119" s="30">
        <f>IF('Peak Areas'!P115=0,0,((('Peak Areas'!P115*Coefficients!$G$32+Coefficients!$H$32)*$G119)))</f>
        <v>1.4641547871752023</v>
      </c>
      <c r="N119" s="30">
        <f>IF('Peak Areas'!Q115=0,0,((('Peak Areas'!Q115*Coefficients!$G$11+Coefficients!$H$11)*$G119)))</f>
        <v>0</v>
      </c>
      <c r="O119" s="30">
        <f>IF('Peak Areas'!R115=0,0,((('Peak Areas'!R115*Coefficients!$G$39+Coefficients!$H$39)*$G119)))</f>
        <v>0.4994214334259453</v>
      </c>
      <c r="P119" s="30">
        <f>IF('Peak Areas'!S115=0,0,((('Peak Areas'!S115*Coefficients!$G$46+Coefficients!$H$46)*$G119)))</f>
        <v>0</v>
      </c>
      <c r="Q119" s="30">
        <f>IF('Peak Areas'!T115=0,0,((('Peak Areas'!T115*Coefficients!$G$51+Coefficients!$H$51)*$G119)))</f>
        <v>0.95952297342725568</v>
      </c>
      <c r="R119" s="30">
        <f>IF('Peak Areas'!U115=0,0,((('Peak Areas'!U115*Coefficients!$G$26+Coefficients!$H$26)*$G119)))</f>
        <v>0.44493136356488772</v>
      </c>
      <c r="S119" s="30">
        <f>IF('Peak Areas'!V115=0,0,((('Peak Areas'!V115*Coefficients!$G$13+Coefficients!$H$13)*$G119)))</f>
        <v>0.26475873273663458</v>
      </c>
      <c r="T119" s="30">
        <f>IF('Peak Areas'!W115=0,0,((('Peak Areas'!W115*Coefficients!$G$12+Coefficients!$H$12)*$G119)))</f>
        <v>0.51434807413141015</v>
      </c>
      <c r="U119" s="30">
        <f>IF('Peak Areas'!X115=0,0,((('Peak Areas'!X115*Coefficients!$G$27+Coefficients!$H$27)*$G119)))</f>
        <v>4.215836954026745E-2</v>
      </c>
      <c r="V119" s="30">
        <f>IF('Peak Areas'!Y115=0,0,((('Peak Areas'!Y115*Coefficients!$G$34+Coefficients!$H$34)*$G119)))</f>
        <v>1.4728011633721731</v>
      </c>
      <c r="W119" s="30">
        <f>IF('Peak Areas'!Z115=0,0,((('Peak Areas'!Z115*Coefficients!$G$52+Coefficients!$H$52)*$G119)))</f>
        <v>1.5099756830912121</v>
      </c>
      <c r="X119" s="30">
        <f>IF('Peak Areas'!AA115=0,0,((('Peak Areas'!AA115*Coefficients!$G$33+Coefficients!$H$33)*$G119)))</f>
        <v>0.1773741077703675</v>
      </c>
      <c r="Y119" s="30">
        <f>IF('Peak Areas'!AC115=0,0,((('Peak Areas'!AC115*Coefficients!$G$19+Coefficients!$H$19)*$G119)))</f>
        <v>1.5581749861163676</v>
      </c>
      <c r="Z119" s="30">
        <f>IF('Peak Areas'!AD115=0,0,((('Peak Areas'!AD115*Coefficients!$G$18+Coefficients!$H$18)*$G119)))</f>
        <v>0.27420192281115374</v>
      </c>
      <c r="AA119" s="30">
        <f>IF('Peak Areas'!AE115=0,0,((('Peak Areas'!AE115*Coefficients!$G$18+Coefficients!$H$18)*$G119)))</f>
        <v>14.697743045542245</v>
      </c>
      <c r="AB119" s="30">
        <f>IF('Peak Areas'!AF115=0,0,((('Peak Areas'!AF115*Coefficients!$G$18+Coefficients!$H$18)*$G119)))</f>
        <v>1.0284441906814237</v>
      </c>
      <c r="AC119" s="30">
        <f>IF('Peak Areas'!AG115=0,0,((('Peak Areas'!AG115*Coefficients!$G$7+Coefficients!$H$7)*$G119)))</f>
        <v>5.6777390927631781E-2</v>
      </c>
      <c r="AD119" s="30">
        <f>IF('Peak Areas'!AH115=0,0,((('Peak Areas'!AH115*Coefficients!$G$6+Coefficients!$H$6)*$G119)))</f>
        <v>0.70431640831519038</v>
      </c>
      <c r="AF119" s="30">
        <f>IF('Peak Areas'!K115=0,0,((('Peak Areas'!K115*Coefficients!$G$22+Coefficients!$H$22)*$G119)))</f>
        <v>0.14136046060116009</v>
      </c>
      <c r="AG119" s="30">
        <f t="shared" si="2"/>
        <v>14.839103506143404</v>
      </c>
      <c r="AH119" s="30">
        <f t="shared" si="3"/>
        <v>16.141749619635981</v>
      </c>
    </row>
    <row r="120" spans="1:34" x14ac:dyDescent="0.25">
      <c r="A120" s="2">
        <f>'Peak Areas'!A116</f>
        <v>106</v>
      </c>
      <c r="B120" s="62">
        <f>'Peak Areas'!B116</f>
        <v>45856</v>
      </c>
      <c r="C120" s="2" t="str">
        <f>'Peak Areas'!C116</f>
        <v>D low nut</v>
      </c>
      <c r="D120" s="2">
        <f>'Peak Areas'!D116</f>
        <v>0</v>
      </c>
      <c r="E120" s="2">
        <f>'Peak Areas'!E116</f>
        <v>0</v>
      </c>
      <c r="F120" s="30">
        <f>'Peak Areas'!F116</f>
        <v>0.1</v>
      </c>
      <c r="G120" s="30">
        <f>((1/'Peak Areas'!$G116)*(('Peak Areas'!$H116+('Internal Standard'!$E$10/1000))/'Peak Areas'!$F116)*'Peak Areas'!$J116)*H120</f>
        <v>4.2793679720376211E-2</v>
      </c>
      <c r="H120" s="30">
        <f>(('Internal Standard'!$F$13*('Peak Areas'!G116/'Internal Standard'!$C$10))/'Peak Areas'!AB116)</f>
        <v>1.0069101110676755</v>
      </c>
      <c r="I120" s="30">
        <f>IF('Peak Areas'!L116=0,0,((('Peak Areas'!L116*Coefficients!$G$21+Coefficients!$H$21)*$G120)))</f>
        <v>7.8455427591117621E-2</v>
      </c>
      <c r="J120" s="30">
        <f>IF('Peak Areas'!M116=0,0,((('Peak Areas'!M116*Coefficients!$G$20+Coefficients!$H$20)*$G120)))</f>
        <v>0.39320992811807071</v>
      </c>
      <c r="K120" s="30">
        <f>IF('Peak Areas'!N116=0,0,((('Peak Areas'!N116*Coefficients!$G$41+Coefficients!$H$41)*$G120)))</f>
        <v>0.14686193856848603</v>
      </c>
      <c r="L120" s="30">
        <f>IF('Peak Areas'!O116=0,0,((('Peak Areas'!O116*Coefficients!$G$10+Coefficients!$H$10)*$G120)))</f>
        <v>0</v>
      </c>
      <c r="M120" s="30">
        <f>IF('Peak Areas'!P116=0,0,((('Peak Areas'!P116*Coefficients!$G$32+Coefficients!$H$32)*$G120)))</f>
        <v>1.5029372476076228</v>
      </c>
      <c r="N120" s="30">
        <f>IF('Peak Areas'!Q116=0,0,((('Peak Areas'!Q116*Coefficients!$G$11+Coefficients!$H$11)*$G120)))</f>
        <v>0</v>
      </c>
      <c r="O120" s="30">
        <f>IF('Peak Areas'!R116=0,0,((('Peak Areas'!R116*Coefficients!$G$39+Coefficients!$H$39)*$G120)))</f>
        <v>0.49605436318273272</v>
      </c>
      <c r="P120" s="30">
        <f>IF('Peak Areas'!S116=0,0,((('Peak Areas'!S116*Coefficients!$G$46+Coefficients!$H$46)*$G120)))</f>
        <v>0</v>
      </c>
      <c r="Q120" s="30">
        <f>IF('Peak Areas'!T116=0,0,((('Peak Areas'!T116*Coefficients!$G$51+Coefficients!$H$51)*$G120)))</f>
        <v>1.0199917288139015</v>
      </c>
      <c r="R120" s="30">
        <f>IF('Peak Areas'!U116=0,0,((('Peak Areas'!U116*Coefficients!$G$26+Coefficients!$H$26)*$G120)))</f>
        <v>0.46957547371842573</v>
      </c>
      <c r="S120" s="30">
        <f>IF('Peak Areas'!V116=0,0,((('Peak Areas'!V116*Coefficients!$G$13+Coefficients!$H$13)*$G120)))</f>
        <v>0.26506076226896863</v>
      </c>
      <c r="T120" s="30">
        <f>IF('Peak Areas'!W116=0,0,((('Peak Areas'!W116*Coefficients!$G$12+Coefficients!$H$12)*$G120)))</f>
        <v>0.57039983998871868</v>
      </c>
      <c r="U120" s="30">
        <f>IF('Peak Areas'!X116=0,0,((('Peak Areas'!X116*Coefficients!$G$27+Coefficients!$H$27)*$G120)))</f>
        <v>4.925025004431411E-2</v>
      </c>
      <c r="V120" s="30">
        <f>IF('Peak Areas'!Y116=0,0,((('Peak Areas'!Y116*Coefficients!$G$34+Coefficients!$H$34)*$G120)))</f>
        <v>1.6785363805548648</v>
      </c>
      <c r="W120" s="30">
        <f>IF('Peak Areas'!Z116=0,0,((('Peak Areas'!Z116*Coefficients!$G$52+Coefficients!$H$52)*$G120)))</f>
        <v>1.6603222808112077</v>
      </c>
      <c r="X120" s="30">
        <f>IF('Peak Areas'!AA116=0,0,((('Peak Areas'!AA116*Coefficients!$G$33+Coefficients!$H$33)*$G120)))</f>
        <v>0.18231091069277647</v>
      </c>
      <c r="Y120" s="30">
        <f>IF('Peak Areas'!AC116=0,0,((('Peak Areas'!AC116*Coefficients!$G$19+Coefficients!$H$19)*$G120)))</f>
        <v>1.7926239321116226</v>
      </c>
      <c r="Z120" s="30">
        <f>IF('Peak Areas'!AD116=0,0,((('Peak Areas'!AD116*Coefficients!$G$18+Coefficients!$H$18)*$G120)))</f>
        <v>0.24410552231299013</v>
      </c>
      <c r="AA120" s="30">
        <f>IF('Peak Areas'!AE116=0,0,((('Peak Areas'!AE116*Coefficients!$G$18+Coefficients!$H$18)*$G120)))</f>
        <v>16.729995094372171</v>
      </c>
      <c r="AB120" s="30">
        <f>IF('Peak Areas'!AF116=0,0,((('Peak Areas'!AF116*Coefficients!$G$18+Coefficients!$H$18)*$G120)))</f>
        <v>1.2172400555903202</v>
      </c>
      <c r="AC120" s="30">
        <f>IF('Peak Areas'!AG116=0,0,((('Peak Areas'!AG116*Coefficients!$G$7+Coefficients!$H$7)*$G120)))</f>
        <v>0.26810458924661218</v>
      </c>
      <c r="AD120" s="30">
        <f>IF('Peak Areas'!AH116=0,0,((('Peak Areas'!AH116*Coefficients!$G$6+Coefficients!$H$6)*$G120)))</f>
        <v>2.5321310707971101</v>
      </c>
      <c r="AF120" s="30">
        <f>IF('Peak Areas'!K116=0,0,((('Peak Areas'!K116*Coefficients!$G$22+Coefficients!$H$22)*$G120)))</f>
        <v>0.14552326823117201</v>
      </c>
      <c r="AG120" s="30">
        <f t="shared" si="2"/>
        <v>16.875518362603344</v>
      </c>
      <c r="AH120" s="30">
        <f t="shared" si="3"/>
        <v>18.336863940506653</v>
      </c>
    </row>
    <row r="121" spans="1:34" x14ac:dyDescent="0.25">
      <c r="A121" s="2">
        <f>'Peak Areas'!A117</f>
        <v>107</v>
      </c>
      <c r="B121" s="62">
        <f>'Peak Areas'!B117</f>
        <v>45856</v>
      </c>
      <c r="C121" s="2" t="str">
        <f>'Peak Areas'!C117</f>
        <v>D high nut</v>
      </c>
      <c r="D121" s="2">
        <f>'Peak Areas'!D117</f>
        <v>0</v>
      </c>
      <c r="E121" s="2">
        <f>'Peak Areas'!E117</f>
        <v>0</v>
      </c>
      <c r="F121" s="30">
        <f>'Peak Areas'!F117</f>
        <v>0.1</v>
      </c>
      <c r="G121" s="30">
        <f>((1/'Peak Areas'!$G117)*(('Peak Areas'!$H117+('Internal Standard'!$E$10/1000))/'Peak Areas'!$F117)*'Peak Areas'!$J117)*H121</f>
        <v>4.2718912918167262E-2</v>
      </c>
      <c r="H121" s="30">
        <f>(('Internal Standard'!$F$13*('Peak Areas'!G117/'Internal Standard'!$C$10))/'Peak Areas'!AB117)</f>
        <v>1.0051508921921708</v>
      </c>
      <c r="I121" s="30">
        <f>IF('Peak Areas'!L117=0,0,((('Peak Areas'!L117*Coefficients!$G$21+Coefficients!$H$21)*$G121)))</f>
        <v>6.9514058489884442E-2</v>
      </c>
      <c r="J121" s="30">
        <f>IF('Peak Areas'!M117=0,0,((('Peak Areas'!M117*Coefficients!$G$20+Coefficients!$H$20)*$G121)))</f>
        <v>0.35594680274355972</v>
      </c>
      <c r="K121" s="30">
        <f>IF('Peak Areas'!N117=0,0,((('Peak Areas'!N117*Coefficients!$G$41+Coefficients!$H$41)*$G121)))</f>
        <v>0.1472501105004875</v>
      </c>
      <c r="L121" s="30">
        <f>IF('Peak Areas'!O117=0,0,((('Peak Areas'!O117*Coefficients!$G$10+Coefficients!$H$10)*$G121)))</f>
        <v>0</v>
      </c>
      <c r="M121" s="30">
        <f>IF('Peak Areas'!P117=0,0,((('Peak Areas'!P117*Coefficients!$G$32+Coefficients!$H$32)*$G121)))</f>
        <v>1.5596270910748564</v>
      </c>
      <c r="N121" s="30">
        <f>IF('Peak Areas'!Q117=0,0,((('Peak Areas'!Q117*Coefficients!$G$11+Coefficients!$H$11)*$G121)))</f>
        <v>0</v>
      </c>
      <c r="O121" s="30">
        <f>IF('Peak Areas'!R117=0,0,((('Peak Areas'!R117*Coefficients!$G$39+Coefficients!$H$39)*$G121)))</f>
        <v>0.58341695274444683</v>
      </c>
      <c r="P121" s="30">
        <f>IF('Peak Areas'!S117=0,0,((('Peak Areas'!S117*Coefficients!$G$46+Coefficients!$H$46)*$G121)))</f>
        <v>0</v>
      </c>
      <c r="Q121" s="30">
        <f>IF('Peak Areas'!T117=0,0,((('Peak Areas'!T117*Coefficients!$G$51+Coefficients!$H$51)*$G121)))</f>
        <v>1.0579944287079568</v>
      </c>
      <c r="R121" s="30">
        <f>IF('Peak Areas'!U117=0,0,((('Peak Areas'!U117*Coefficients!$G$26+Coefficients!$H$26)*$G121)))</f>
        <v>0.4935306365114121</v>
      </c>
      <c r="S121" s="30">
        <f>IF('Peak Areas'!V117=0,0,((('Peak Areas'!V117*Coefficients!$G$13+Coefficients!$H$13)*$G121)))</f>
        <v>0.25903420429328738</v>
      </c>
      <c r="T121" s="30">
        <f>IF('Peak Areas'!W117=0,0,((('Peak Areas'!W117*Coefficients!$G$12+Coefficients!$H$12)*$G121)))</f>
        <v>0.53053008422014647</v>
      </c>
      <c r="U121" s="30">
        <f>IF('Peak Areas'!X117=0,0,((('Peak Areas'!X117*Coefficients!$G$27+Coefficients!$H$27)*$G121)))</f>
        <v>3.6867819660762968E-2</v>
      </c>
      <c r="V121" s="30">
        <f>IF('Peak Areas'!Y117=0,0,((('Peak Areas'!Y117*Coefficients!$G$34+Coefficients!$H$34)*$G121)))</f>
        <v>1.6751405968538897</v>
      </c>
      <c r="W121" s="30">
        <f>IF('Peak Areas'!Z117=0,0,((('Peak Areas'!Z117*Coefficients!$G$52+Coefficients!$H$52)*$G121)))</f>
        <v>1.7427590348686539</v>
      </c>
      <c r="X121" s="30">
        <f>IF('Peak Areas'!AA117=0,0,((('Peak Areas'!AA117*Coefficients!$G$33+Coefficients!$H$33)*$G121)))</f>
        <v>0.19888126822866412</v>
      </c>
      <c r="Y121" s="30">
        <f>IF('Peak Areas'!AC117=0,0,((('Peak Areas'!AC117*Coefficients!$G$19+Coefficients!$H$19)*$G121)))</f>
        <v>1.7462942338252041</v>
      </c>
      <c r="Z121" s="30">
        <f>IF('Peak Areas'!AD117=0,0,((('Peak Areas'!AD117*Coefficients!$G$18+Coefficients!$H$18)*$G121)))</f>
        <v>0.19158250838666702</v>
      </c>
      <c r="AA121" s="30">
        <f>IF('Peak Areas'!AE117=0,0,((('Peak Areas'!AE117*Coefficients!$G$18+Coefficients!$H$18)*$G121)))</f>
        <v>16.472742175520114</v>
      </c>
      <c r="AB121" s="30">
        <f>IF('Peak Areas'!AF117=0,0,((('Peak Areas'!AF117*Coefficients!$G$18+Coefficients!$H$18)*$G121)))</f>
        <v>1.2371714411748569</v>
      </c>
      <c r="AC121" s="30">
        <f>IF('Peak Areas'!AG117=0,0,((('Peak Areas'!AG117*Coefficients!$G$7+Coefficients!$H$7)*$G121)))</f>
        <v>0.1739649078289161</v>
      </c>
      <c r="AD121" s="30">
        <f>IF('Peak Areas'!AH117=0,0,((('Peak Areas'!AH117*Coefficients!$G$6+Coefficients!$H$6)*$G121)))</f>
        <v>1.863731764351048</v>
      </c>
      <c r="AF121" s="30">
        <f>IF('Peak Areas'!K117=0,0,((('Peak Areas'!K117*Coefficients!$G$22+Coefficients!$H$22)*$G121)))</f>
        <v>0.14748852418532224</v>
      </c>
      <c r="AG121" s="30">
        <f t="shared" si="2"/>
        <v>16.620230699705438</v>
      </c>
      <c r="AH121" s="30">
        <f t="shared" si="3"/>
        <v>18.048984649266963</v>
      </c>
    </row>
    <row r="122" spans="1:34" x14ac:dyDescent="0.25">
      <c r="A122" s="2">
        <f>'Peak Areas'!A118</f>
        <v>108</v>
      </c>
      <c r="B122" s="62">
        <f>'Peak Areas'!B118</f>
        <v>45856</v>
      </c>
      <c r="C122" s="2" t="str">
        <f>'Peak Areas'!C118</f>
        <v>D high nut</v>
      </c>
      <c r="D122" s="2">
        <f>'Peak Areas'!D118</f>
        <v>0</v>
      </c>
      <c r="E122" s="2">
        <f>'Peak Areas'!E118</f>
        <v>0</v>
      </c>
      <c r="F122" s="30">
        <f>'Peak Areas'!F118</f>
        <v>0.1</v>
      </c>
      <c r="G122" s="30">
        <f>((1/'Peak Areas'!$G118)*(('Peak Areas'!$H118+('Internal Standard'!$E$10/1000))/'Peak Areas'!$F118)*'Peak Areas'!$J118)*H122</f>
        <v>4.56114823095609E-2</v>
      </c>
      <c r="H122" s="30">
        <f>(('Internal Standard'!$F$13*('Peak Areas'!G118/'Internal Standard'!$C$10))/'Peak Areas'!AB118)</f>
        <v>1.0732113484602563</v>
      </c>
      <c r="I122" s="30">
        <f>IF('Peak Areas'!L118=0,0,((('Peak Areas'!L118*Coefficients!$G$21+Coefficients!$H$21)*$G122)))</f>
        <v>4.668780838748169E-2</v>
      </c>
      <c r="J122" s="30">
        <f>IF('Peak Areas'!M118=0,0,((('Peak Areas'!M118*Coefficients!$G$20+Coefficients!$H$20)*$G122)))</f>
        <v>0.34835753749925186</v>
      </c>
      <c r="K122" s="30">
        <f>IF('Peak Areas'!N118=0,0,((('Peak Areas'!N118*Coefficients!$G$41+Coefficients!$H$41)*$G122)))</f>
        <v>0.15449863830126614</v>
      </c>
      <c r="L122" s="30">
        <f>IF('Peak Areas'!O118=0,0,((('Peak Areas'!O118*Coefficients!$G$10+Coefficients!$H$10)*$G122)))</f>
        <v>0</v>
      </c>
      <c r="M122" s="30">
        <f>IF('Peak Areas'!P118=0,0,((('Peak Areas'!P118*Coefficients!$G$32+Coefficients!$H$32)*$G122)))</f>
        <v>1.4674345486247449</v>
      </c>
      <c r="N122" s="30">
        <f>IF('Peak Areas'!Q118=0,0,((('Peak Areas'!Q118*Coefficients!$G$11+Coefficients!$H$11)*$G122)))</f>
        <v>0</v>
      </c>
      <c r="O122" s="30">
        <f>IF('Peak Areas'!R118=0,0,((('Peak Areas'!R118*Coefficients!$G$39+Coefficients!$H$39)*$G122)))</f>
        <v>0.51146487110576166</v>
      </c>
      <c r="P122" s="30">
        <f>IF('Peak Areas'!S118=0,0,((('Peak Areas'!S118*Coefficients!$G$46+Coefficients!$H$46)*$G122)))</f>
        <v>0</v>
      </c>
      <c r="Q122" s="30">
        <f>IF('Peak Areas'!T118=0,0,((('Peak Areas'!T118*Coefficients!$G$51+Coefficients!$H$51)*$G122)))</f>
        <v>1.0908493357942437</v>
      </c>
      <c r="R122" s="30">
        <f>IF('Peak Areas'!U118=0,0,((('Peak Areas'!U118*Coefficients!$G$26+Coefficients!$H$26)*$G122)))</f>
        <v>0.50621305824457341</v>
      </c>
      <c r="S122" s="30">
        <f>IF('Peak Areas'!V118=0,0,((('Peak Areas'!V118*Coefficients!$G$13+Coefficients!$H$13)*$G122)))</f>
        <v>0.26250330747750528</v>
      </c>
      <c r="T122" s="30">
        <f>IF('Peak Areas'!W118=0,0,((('Peak Areas'!W118*Coefficients!$G$12+Coefficients!$H$12)*$G122)))</f>
        <v>0.53912531581083867</v>
      </c>
      <c r="U122" s="30">
        <f>IF('Peak Areas'!X118=0,0,((('Peak Areas'!X118*Coefficients!$G$27+Coefficients!$H$27)*$G122)))</f>
        <v>3.7513845091147642E-2</v>
      </c>
      <c r="V122" s="30">
        <f>IF('Peak Areas'!Y118=0,0,((('Peak Areas'!Y118*Coefficients!$G$34+Coefficients!$H$34)*$G122)))</f>
        <v>1.7536405887984521</v>
      </c>
      <c r="W122" s="30">
        <f>IF('Peak Areas'!Z118=0,0,((('Peak Areas'!Z118*Coefficients!$G$52+Coefficients!$H$52)*$G122)))</f>
        <v>1.8322326117584782</v>
      </c>
      <c r="X122" s="30">
        <f>IF('Peak Areas'!AA118=0,0,((('Peak Areas'!AA118*Coefficients!$G$33+Coefficients!$H$33)*$G122)))</f>
        <v>0.20092376681606869</v>
      </c>
      <c r="Y122" s="30">
        <f>IF('Peak Areas'!AC118=0,0,((('Peak Areas'!AC118*Coefficients!$G$19+Coefficients!$H$19)*$G122)))</f>
        <v>1.8455531620838816</v>
      </c>
      <c r="Z122" s="30">
        <f>IF('Peak Areas'!AD118=0,0,((('Peak Areas'!AD118*Coefficients!$G$18+Coefficients!$H$18)*$G122)))</f>
        <v>0.20809720657298125</v>
      </c>
      <c r="AA122" s="30">
        <f>IF('Peak Areas'!AE118=0,0,((('Peak Areas'!AE118*Coefficients!$G$18+Coefficients!$H$18)*$G122)))</f>
        <v>16.99714546502976</v>
      </c>
      <c r="AB122" s="30">
        <f>IF('Peak Areas'!AF118=0,0,((('Peak Areas'!AF118*Coefficients!$G$18+Coefficients!$H$18)*$G122)))</f>
        <v>1.261297312419527</v>
      </c>
      <c r="AC122" s="30">
        <f>IF('Peak Areas'!AG118=0,0,((('Peak Areas'!AG118*Coefficients!$G$7+Coefficients!$H$7)*$G122)))</f>
        <v>0.16821062096745071</v>
      </c>
      <c r="AD122" s="30">
        <f>IF('Peak Areas'!AH118=0,0,((('Peak Areas'!AH118*Coefficients!$G$6+Coefficients!$H$6)*$G122)))</f>
        <v>1.7676334316645732</v>
      </c>
      <c r="AF122" s="30">
        <f>IF('Peak Areas'!K118=0,0,((('Peak Areas'!K118*Coefficients!$G$22+Coefficients!$H$22)*$G122)))</f>
        <v>0.1158215535778286</v>
      </c>
      <c r="AG122" s="30">
        <f t="shared" si="2"/>
        <v>17.112967018607588</v>
      </c>
      <c r="AH122" s="30">
        <f t="shared" si="3"/>
        <v>18.582361537600093</v>
      </c>
    </row>
    <row r="123" spans="1:34" x14ac:dyDescent="0.25">
      <c r="A123" s="2">
        <f>'Peak Areas'!A119</f>
        <v>109</v>
      </c>
      <c r="B123" s="62">
        <f>'Peak Areas'!B119</f>
        <v>45856</v>
      </c>
      <c r="C123" s="2" t="str">
        <f>'Peak Areas'!C119</f>
        <v>D+C low</v>
      </c>
      <c r="D123" s="2">
        <f>'Peak Areas'!D119</f>
        <v>0</v>
      </c>
      <c r="E123" s="2">
        <f>'Peak Areas'!E119</f>
        <v>0</v>
      </c>
      <c r="F123" s="30">
        <f>'Peak Areas'!F119</f>
        <v>0.1</v>
      </c>
      <c r="G123" s="30">
        <f>((1/'Peak Areas'!$G119)*(('Peak Areas'!$H119+('Internal Standard'!$E$10/1000))/'Peak Areas'!$F119)*'Peak Areas'!$J119)*H123</f>
        <v>4.3455646552730653E-2</v>
      </c>
      <c r="H123" s="30">
        <f>(('Internal Standard'!$F$13*('Peak Areas'!G119/'Internal Standard'!$C$10))/'Peak Areas'!AB119)</f>
        <v>1.0224858012407212</v>
      </c>
      <c r="I123" s="30">
        <f>IF('Peak Areas'!L119=0,0,((('Peak Areas'!L119*Coefficients!$G$21+Coefficients!$H$21)*$G123)))</f>
        <v>0</v>
      </c>
      <c r="J123" s="30">
        <f>IF('Peak Areas'!M119=0,0,((('Peak Areas'!M119*Coefficients!$G$20+Coefficients!$H$20)*$G123)))</f>
        <v>0.12810559042807251</v>
      </c>
      <c r="K123" s="30">
        <f>IF('Peak Areas'!N119=0,0,((('Peak Areas'!N119*Coefficients!$G$41+Coefficients!$H$41)*$G123)))</f>
        <v>7.9233412152681759E-2</v>
      </c>
      <c r="L123" s="30">
        <f>IF('Peak Areas'!O119=0,0,((('Peak Areas'!O119*Coefficients!$G$10+Coefficients!$H$10)*$G123)))</f>
        <v>0</v>
      </c>
      <c r="M123" s="30">
        <f>IF('Peak Areas'!P119=0,0,((('Peak Areas'!P119*Coefficients!$G$32+Coefficients!$H$32)*$G123)))</f>
        <v>0.74341283533622737</v>
      </c>
      <c r="N123" s="30">
        <f>IF('Peak Areas'!Q119=0,0,((('Peak Areas'!Q119*Coefficients!$G$11+Coefficients!$H$11)*$G123)))</f>
        <v>0</v>
      </c>
      <c r="O123" s="30">
        <f>IF('Peak Areas'!R119=0,0,((('Peak Areas'!R119*Coefficients!$G$39+Coefficients!$H$39)*$G123)))</f>
        <v>0.19514287502907426</v>
      </c>
      <c r="P123" s="30">
        <f>IF('Peak Areas'!S119=0,0,((('Peak Areas'!S119*Coefficients!$G$46+Coefficients!$H$46)*$G123)))</f>
        <v>0</v>
      </c>
      <c r="Q123" s="30">
        <f>IF('Peak Areas'!T119=0,0,((('Peak Areas'!T119*Coefficients!$G$51+Coefficients!$H$51)*$G123)))</f>
        <v>0.68341477387993932</v>
      </c>
      <c r="R123" s="30">
        <f>IF('Peak Areas'!U119=0,0,((('Peak Areas'!U119*Coefficients!$G$26+Coefficients!$H$26)*$G123)))</f>
        <v>0.31782684525557436</v>
      </c>
      <c r="S123" s="30">
        <f>IF('Peak Areas'!V119=0,0,((('Peak Areas'!V119*Coefficients!$G$13+Coefficients!$H$13)*$G123)))</f>
        <v>0.24272793530810027</v>
      </c>
      <c r="T123" s="30">
        <f>IF('Peak Areas'!W119=0,0,((('Peak Areas'!W119*Coefficients!$G$12+Coefficients!$H$12)*$G123)))</f>
        <v>0.2769981686821999</v>
      </c>
      <c r="U123" s="30">
        <f>IF('Peak Areas'!X119=0,0,((('Peak Areas'!X119*Coefficients!$G$27+Coefficients!$H$27)*$G123)))</f>
        <v>3.2697710648258403E-2</v>
      </c>
      <c r="V123" s="30">
        <f>IF('Peak Areas'!Y119=0,0,((('Peak Areas'!Y119*Coefficients!$G$34+Coefficients!$H$34)*$G123)))</f>
        <v>0.58983151813315127</v>
      </c>
      <c r="W123" s="30">
        <f>IF('Peak Areas'!Z119=0,0,((('Peak Areas'!Z119*Coefficients!$G$52+Coefficients!$H$52)*$G123)))</f>
        <v>0.95733546250473245</v>
      </c>
      <c r="X123" s="30">
        <f>IF('Peak Areas'!AA119=0,0,((('Peak Areas'!AA119*Coefficients!$G$33+Coefficients!$H$33)*$G123)))</f>
        <v>0.11006784530091598</v>
      </c>
      <c r="Y123" s="30">
        <f>IF('Peak Areas'!AC119=0,0,((('Peak Areas'!AC119*Coefficients!$G$19+Coefficients!$H$19)*$G123)))</f>
        <v>0.48703504828350613</v>
      </c>
      <c r="Z123" s="30">
        <f>IF('Peak Areas'!AD119=0,0,((('Peak Areas'!AD119*Coefficients!$G$18+Coefficients!$H$18)*$G123)))</f>
        <v>0.11073307016661653</v>
      </c>
      <c r="AA123" s="30">
        <f>IF('Peak Areas'!AE119=0,0,((('Peak Areas'!AE119*Coefficients!$G$18+Coefficients!$H$18)*$G123)))</f>
        <v>6.9960679421577323</v>
      </c>
      <c r="AB123" s="30">
        <f>IF('Peak Areas'!AF119=0,0,((('Peak Areas'!AF119*Coefficients!$G$18+Coefficients!$H$18)*$G123)))</f>
        <v>0.62530435685356089</v>
      </c>
      <c r="AC123" s="30">
        <f>IF('Peak Areas'!AG119=0,0,((('Peak Areas'!AG119*Coefficients!$G$7+Coefficients!$H$7)*$G123)))</f>
        <v>0</v>
      </c>
      <c r="AD123" s="30">
        <f>IF('Peak Areas'!AH119=0,0,((('Peak Areas'!AH119*Coefficients!$G$6+Coefficients!$H$6)*$G123)))</f>
        <v>0.76011280994832708</v>
      </c>
      <c r="AF123" s="30">
        <f>IF('Peak Areas'!K119=0,0,((('Peak Areas'!K119*Coefficients!$G$22+Coefficients!$H$22)*$G123)))</f>
        <v>5.6326187545420389E-2</v>
      </c>
      <c r="AG123" s="30">
        <f t="shared" si="2"/>
        <v>7.0523941297031527</v>
      </c>
      <c r="AH123" s="30">
        <f t="shared" si="3"/>
        <v>7.7884315567233298</v>
      </c>
    </row>
    <row r="124" spans="1:34" x14ac:dyDescent="0.25">
      <c r="A124" s="2">
        <f>'Peak Areas'!A120</f>
        <v>110</v>
      </c>
      <c r="B124" s="62">
        <f>'Peak Areas'!B120</f>
        <v>45856</v>
      </c>
      <c r="C124" s="2" t="str">
        <f>'Peak Areas'!C120</f>
        <v>D+C low</v>
      </c>
      <c r="D124" s="2">
        <f>'Peak Areas'!D120</f>
        <v>0</v>
      </c>
      <c r="E124" s="2">
        <f>'Peak Areas'!E120</f>
        <v>0</v>
      </c>
      <c r="F124" s="30">
        <f>'Peak Areas'!F120</f>
        <v>0.1</v>
      </c>
      <c r="G124" s="30">
        <f>((1/'Peak Areas'!$G120)*(('Peak Areas'!$H120+('Internal Standard'!$E$10/1000))/'Peak Areas'!$F120)*'Peak Areas'!$J120)*H124</f>
        <v>4.3107361627652593E-2</v>
      </c>
      <c r="H124" s="30">
        <f>(('Internal Standard'!$F$13*('Peak Areas'!G120/'Internal Standard'!$C$10))/'Peak Areas'!AB120)</f>
        <v>1.0142908618271198</v>
      </c>
      <c r="I124" s="30">
        <f>IF('Peak Areas'!L120=0,0,((('Peak Areas'!L120*Coefficients!$G$21+Coefficients!$H$21)*$G124)))</f>
        <v>0</v>
      </c>
      <c r="J124" s="30">
        <f>IF('Peak Areas'!M120=0,0,((('Peak Areas'!M120*Coefficients!$G$20+Coefficients!$H$20)*$G124)))</f>
        <v>0.12433741628061608</v>
      </c>
      <c r="K124" s="30">
        <f>IF('Peak Areas'!N120=0,0,((('Peak Areas'!N120*Coefficients!$G$41+Coefficients!$H$41)*$G124)))</f>
        <v>0.119056725391818</v>
      </c>
      <c r="L124" s="30">
        <f>IF('Peak Areas'!O120=0,0,((('Peak Areas'!O120*Coefficients!$G$10+Coefficients!$H$10)*$G124)))</f>
        <v>0</v>
      </c>
      <c r="M124" s="30">
        <f>IF('Peak Areas'!P120=0,0,((('Peak Areas'!P120*Coefficients!$G$32+Coefficients!$H$32)*$G124)))</f>
        <v>0.63265739441855862</v>
      </c>
      <c r="N124" s="30">
        <f>IF('Peak Areas'!Q120=0,0,((('Peak Areas'!Q120*Coefficients!$G$11+Coefficients!$H$11)*$G124)))</f>
        <v>0</v>
      </c>
      <c r="O124" s="30">
        <f>IF('Peak Areas'!R120=0,0,((('Peak Areas'!R120*Coefficients!$G$39+Coefficients!$H$39)*$G124)))</f>
        <v>8.9854861864343466E-2</v>
      </c>
      <c r="P124" s="30">
        <f>IF('Peak Areas'!S120=0,0,((('Peak Areas'!S120*Coefficients!$G$46+Coefficients!$H$46)*$G124)))</f>
        <v>0</v>
      </c>
      <c r="Q124" s="30">
        <f>IF('Peak Areas'!T120=0,0,((('Peak Areas'!T120*Coefficients!$G$51+Coefficients!$H$51)*$G124)))</f>
        <v>0.65281067591235142</v>
      </c>
      <c r="R124" s="30">
        <f>IF('Peak Areas'!U120=0,0,((('Peak Areas'!U120*Coefficients!$G$26+Coefficients!$H$26)*$G124)))</f>
        <v>0.31020554572080022</v>
      </c>
      <c r="S124" s="30">
        <f>IF('Peak Areas'!V120=0,0,((('Peak Areas'!V120*Coefficients!$G$13+Coefficients!$H$13)*$G124)))</f>
        <v>0.23968335619168959</v>
      </c>
      <c r="T124" s="30">
        <f>IF('Peak Areas'!W120=0,0,((('Peak Areas'!W120*Coefficients!$G$12+Coefficients!$H$12)*$G124)))</f>
        <v>0.25025052416784155</v>
      </c>
      <c r="U124" s="30">
        <f>IF('Peak Areas'!X120=0,0,((('Peak Areas'!X120*Coefficients!$G$27+Coefficients!$H$27)*$G124)))</f>
        <v>3.5529625253195606E-2</v>
      </c>
      <c r="V124" s="30">
        <f>IF('Peak Areas'!Y120=0,0,((('Peak Areas'!Y120*Coefficients!$G$34+Coefficients!$H$34)*$G124)))</f>
        <v>0.46549927607040448</v>
      </c>
      <c r="W124" s="30">
        <f>IF('Peak Areas'!Z120=0,0,((('Peak Areas'!Z120*Coefficients!$G$52+Coefficients!$H$52)*$G124)))</f>
        <v>0.86462300222097732</v>
      </c>
      <c r="X124" s="30">
        <f>IF('Peak Areas'!AA120=0,0,((('Peak Areas'!AA120*Coefficients!$G$33+Coefficients!$H$33)*$G124)))</f>
        <v>0.1141220639993792</v>
      </c>
      <c r="Y124" s="30">
        <f>IF('Peak Areas'!AC120=0,0,((('Peak Areas'!AC120*Coefficients!$G$19+Coefficients!$H$19)*$G124)))</f>
        <v>0.34996234640668078</v>
      </c>
      <c r="Z124" s="30">
        <f>IF('Peak Areas'!AD120=0,0,((('Peak Areas'!AD120*Coefficients!$G$18+Coefficients!$H$18)*$G124)))</f>
        <v>0.15014641500246118</v>
      </c>
      <c r="AA124" s="30">
        <f>IF('Peak Areas'!AE120=0,0,((('Peak Areas'!AE120*Coefficients!$G$18+Coefficients!$H$18)*$G124)))</f>
        <v>5.8860217730348943</v>
      </c>
      <c r="AB124" s="30">
        <f>IF('Peak Areas'!AF120=0,0,((('Peak Areas'!AF120*Coefficients!$G$18+Coefficients!$H$18)*$G124)))</f>
        <v>0.56602140152428349</v>
      </c>
      <c r="AC124" s="30">
        <f>IF('Peak Areas'!AG120=0,0,((('Peak Areas'!AG120*Coefficients!$G$7+Coefficients!$H$7)*$G124)))</f>
        <v>0</v>
      </c>
      <c r="AD124" s="30">
        <f>IF('Peak Areas'!AH120=0,0,((('Peak Areas'!AH120*Coefficients!$G$6+Coefficients!$H$6)*$G124)))</f>
        <v>0.78815142154916751</v>
      </c>
      <c r="AF124" s="30">
        <f>IF('Peak Areas'!K120=0,0,((('Peak Areas'!K120*Coefficients!$G$22+Coefficients!$H$22)*$G124)))</f>
        <v>5.5624154284040335E-2</v>
      </c>
      <c r="AG124" s="30">
        <f t="shared" si="2"/>
        <v>5.9416459273189348</v>
      </c>
      <c r="AH124" s="30">
        <f t="shared" si="3"/>
        <v>6.6578137438456793</v>
      </c>
    </row>
    <row r="125" spans="1:34" x14ac:dyDescent="0.25">
      <c r="A125" s="2">
        <f>'Peak Areas'!A121</f>
        <v>111</v>
      </c>
      <c r="B125" s="62">
        <f>'Peak Areas'!B121</f>
        <v>45856</v>
      </c>
      <c r="C125" s="2" t="str">
        <f>'Peak Areas'!C121</f>
        <v>D+C high</v>
      </c>
      <c r="D125" s="2">
        <f>'Peak Areas'!D121</f>
        <v>0</v>
      </c>
      <c r="E125" s="2">
        <f>'Peak Areas'!E121</f>
        <v>0</v>
      </c>
      <c r="F125" s="30">
        <f>'Peak Areas'!F121</f>
        <v>0.1</v>
      </c>
      <c r="G125" s="30">
        <f>((1/'Peak Areas'!$G121)*(('Peak Areas'!$H121+('Internal Standard'!$E$10/1000))/'Peak Areas'!$F121)*'Peak Areas'!$J121)*H125</f>
        <v>4.1522283057364634E-2</v>
      </c>
      <c r="H125" s="30">
        <f>(('Internal Standard'!$F$13*('Peak Areas'!G121/'Internal Standard'!$C$10))/'Peak Areas'!AB121)</f>
        <v>0.97699489546740315</v>
      </c>
      <c r="I125" s="30">
        <f>IF('Peak Areas'!L121=0,0,((('Peak Areas'!L121*Coefficients!$G$21+Coefficients!$H$21)*$G125)))</f>
        <v>0</v>
      </c>
      <c r="J125" s="30">
        <f>IF('Peak Areas'!M121=0,0,((('Peak Areas'!M121*Coefficients!$G$20+Coefficients!$H$20)*$G125)))</f>
        <v>0.11872400359247405</v>
      </c>
      <c r="K125" s="30">
        <f>IF('Peak Areas'!N121=0,0,((('Peak Areas'!N121*Coefficients!$G$41+Coefficients!$H$41)*$G125)))</f>
        <v>0.10271401855920012</v>
      </c>
      <c r="L125" s="30">
        <f>IF('Peak Areas'!O121=0,0,((('Peak Areas'!O121*Coefficients!$G$10+Coefficients!$H$10)*$G125)))</f>
        <v>0</v>
      </c>
      <c r="M125" s="30">
        <f>IF('Peak Areas'!P121=0,0,((('Peak Areas'!P121*Coefficients!$G$32+Coefficients!$H$32)*$G125)))</f>
        <v>0.70997137757676665</v>
      </c>
      <c r="N125" s="30">
        <f>IF('Peak Areas'!Q121=0,0,((('Peak Areas'!Q121*Coefficients!$G$11+Coefficients!$H$11)*$G125)))</f>
        <v>0</v>
      </c>
      <c r="O125" s="30">
        <f>IF('Peak Areas'!R121=0,0,((('Peak Areas'!R121*Coefficients!$G$39+Coefficients!$H$39)*$G125)))</f>
        <v>0.12780177659951106</v>
      </c>
      <c r="P125" s="30">
        <f>IF('Peak Areas'!S121=0,0,((('Peak Areas'!S121*Coefficients!$G$46+Coefficients!$H$46)*$G125)))</f>
        <v>0</v>
      </c>
      <c r="Q125" s="30">
        <f>IF('Peak Areas'!T121=0,0,((('Peak Areas'!T121*Coefficients!$G$51+Coefficients!$H$51)*$G125)))</f>
        <v>0.65121465161498204</v>
      </c>
      <c r="R125" s="30">
        <f>IF('Peak Areas'!U121=0,0,((('Peak Areas'!U121*Coefficients!$G$26+Coefficients!$H$26)*$G125)))</f>
        <v>0.29108592233659186</v>
      </c>
      <c r="S125" s="30">
        <f>IF('Peak Areas'!V121=0,0,((('Peak Areas'!V121*Coefficients!$G$13+Coefficients!$H$13)*$G125)))</f>
        <v>0.22601658676740424</v>
      </c>
      <c r="T125" s="30">
        <f>IF('Peak Areas'!W121=0,0,((('Peak Areas'!W121*Coefficients!$G$12+Coefficients!$H$12)*$G125)))</f>
        <v>0.24495071558406342</v>
      </c>
      <c r="U125" s="30">
        <f>IF('Peak Areas'!X121=0,0,((('Peak Areas'!X121*Coefficients!$G$27+Coefficients!$H$27)*$G125)))</f>
        <v>3.0113084569980051E-2</v>
      </c>
      <c r="V125" s="30">
        <f>IF('Peak Areas'!Y121=0,0,((('Peak Areas'!Y121*Coefficients!$G$34+Coefficients!$H$34)*$G125)))</f>
        <v>0.4239630571073611</v>
      </c>
      <c r="W125" s="30">
        <f>IF('Peak Areas'!Z121=0,0,((('Peak Areas'!Z121*Coefficients!$G$52+Coefficients!$H$52)*$G125)))</f>
        <v>0.81803605464305429</v>
      </c>
      <c r="X125" s="30">
        <f>IF('Peak Areas'!AA121=0,0,((('Peak Areas'!AA121*Coefficients!$G$33+Coefficients!$H$33)*$G125)))</f>
        <v>9.8791484642264227E-2</v>
      </c>
      <c r="Y125" s="30">
        <f>IF('Peak Areas'!AC121=0,0,((('Peak Areas'!AC121*Coefficients!$G$19+Coefficients!$H$19)*$G125)))</f>
        <v>0.30983425073213644</v>
      </c>
      <c r="Z125" s="30">
        <f>IF('Peak Areas'!AD121=0,0,((('Peak Areas'!AD121*Coefficients!$G$18+Coefficients!$H$18)*$G125)))</f>
        <v>0.16988305645023638</v>
      </c>
      <c r="AA125" s="30">
        <f>IF('Peak Areas'!AE121=0,0,((('Peak Areas'!AE121*Coefficients!$G$18+Coefficients!$H$18)*$G125)))</f>
        <v>5.8071383514610915</v>
      </c>
      <c r="AB125" s="30">
        <f>IF('Peak Areas'!AF121=0,0,((('Peak Areas'!AF121*Coefficients!$G$18+Coefficients!$H$18)*$G125)))</f>
        <v>0.56012950297269615</v>
      </c>
      <c r="AC125" s="30">
        <f>IF('Peak Areas'!AG121=0,0,((('Peak Areas'!AG121*Coefficients!$G$7+Coefficients!$H$7)*$G125)))</f>
        <v>0</v>
      </c>
      <c r="AD125" s="30">
        <f>IF('Peak Areas'!AH121=0,0,((('Peak Areas'!AH121*Coefficients!$G$6+Coefficients!$H$6)*$G125)))</f>
        <v>1.093898912256891</v>
      </c>
      <c r="AF125" s="30">
        <f>IF('Peak Areas'!K121=0,0,((('Peak Areas'!K121*Coefficients!$G$22+Coefficients!$H$22)*$G125)))</f>
        <v>4.1577712999929059E-2</v>
      </c>
      <c r="AG125" s="30">
        <f t="shared" si="2"/>
        <v>5.8487160644610201</v>
      </c>
      <c r="AH125" s="30">
        <f t="shared" si="3"/>
        <v>6.5787286238839524</v>
      </c>
    </row>
    <row r="126" spans="1:34" x14ac:dyDescent="0.25">
      <c r="A126" s="2">
        <f>'Peak Areas'!A122</f>
        <v>112</v>
      </c>
      <c r="B126" s="62">
        <f>'Peak Areas'!B122</f>
        <v>45856</v>
      </c>
      <c r="C126" s="2" t="str">
        <f>'Peak Areas'!C122</f>
        <v>D+C high</v>
      </c>
      <c r="D126" s="2">
        <f>'Peak Areas'!D122</f>
        <v>0</v>
      </c>
      <c r="E126" s="2">
        <f>'Peak Areas'!E122</f>
        <v>0</v>
      </c>
      <c r="F126" s="30">
        <f>'Peak Areas'!F122</f>
        <v>0.1</v>
      </c>
      <c r="G126" s="30">
        <f>((1/'Peak Areas'!$G122)*(('Peak Areas'!$H122+('Internal Standard'!$E$10/1000))/'Peak Areas'!$F122)*'Peak Areas'!$J122)*H126</f>
        <v>0.26563186525134308</v>
      </c>
      <c r="H126" s="30">
        <f>(('Internal Standard'!$F$13*('Peak Areas'!G122/'Internal Standard'!$C$10))/'Peak Areas'!AB122)</f>
        <v>3.9352868926124902</v>
      </c>
      <c r="I126" s="30">
        <f>IF('Peak Areas'!L122=0,0,((('Peak Areas'!L122*Coefficients!$G$21+Coefficients!$H$21)*$G126)))</f>
        <v>0</v>
      </c>
      <c r="J126" s="30">
        <f>IF('Peak Areas'!M122=0,0,((('Peak Areas'!M122*Coefficients!$G$20+Coefficients!$H$20)*$G126)))</f>
        <v>0.20257859588922178</v>
      </c>
      <c r="K126" s="30">
        <f>IF('Peak Areas'!N122=0,0,((('Peak Areas'!N122*Coefficients!$G$41+Coefficients!$H$41)*$G126)))</f>
        <v>0.12912422558856174</v>
      </c>
      <c r="L126" s="30">
        <f>IF('Peak Areas'!O122=0,0,((('Peak Areas'!O122*Coefficients!$G$10+Coefficients!$H$10)*$G126)))</f>
        <v>0</v>
      </c>
      <c r="M126" s="30">
        <f>IF('Peak Areas'!P122=0,0,((('Peak Areas'!P122*Coefficients!$G$32+Coefficients!$H$32)*$G126)))</f>
        <v>1.0596192856248756</v>
      </c>
      <c r="N126" s="30">
        <f>IF('Peak Areas'!Q122=0,0,((('Peak Areas'!Q122*Coefficients!$G$11+Coefficients!$H$11)*$G126)))</f>
        <v>0</v>
      </c>
      <c r="O126" s="30">
        <f>IF('Peak Areas'!R122=0,0,((('Peak Areas'!R122*Coefficients!$G$39+Coefficients!$H$39)*$G126)))</f>
        <v>0.20965656987040951</v>
      </c>
      <c r="P126" s="30">
        <f>IF('Peak Areas'!S122=0,0,((('Peak Areas'!S122*Coefficients!$G$46+Coefficients!$H$46)*$G126)))</f>
        <v>0</v>
      </c>
      <c r="Q126" s="30">
        <f>IF('Peak Areas'!T122=0,0,((('Peak Areas'!T122*Coefficients!$G$51+Coefficients!$H$51)*$G126)))</f>
        <v>0.92265025254988886</v>
      </c>
      <c r="R126" s="30">
        <f>IF('Peak Areas'!U122=0,0,((('Peak Areas'!U122*Coefficients!$G$26+Coefficients!$H$26)*$G126)))</f>
        <v>0.45292908062977794</v>
      </c>
      <c r="S126" s="30">
        <f>IF('Peak Areas'!V122=0,0,((('Peak Areas'!V122*Coefficients!$G$13+Coefficients!$H$13)*$G126)))</f>
        <v>0.32932653708131349</v>
      </c>
      <c r="T126" s="30">
        <f>IF('Peak Areas'!W122=0,0,((('Peak Areas'!W122*Coefficients!$G$12+Coefficients!$H$12)*$G126)))</f>
        <v>0.38215882449069338</v>
      </c>
      <c r="U126" s="30">
        <f>IF('Peak Areas'!X122=0,0,((('Peak Areas'!X122*Coefficients!$G$27+Coefficients!$H$27)*$G126)))</f>
        <v>0</v>
      </c>
      <c r="V126" s="30">
        <f>IF('Peak Areas'!Y122=0,0,((('Peak Areas'!Y122*Coefficients!$G$34+Coefficients!$H$34)*$G126)))</f>
        <v>0.96093596549447002</v>
      </c>
      <c r="W126" s="30">
        <f>IF('Peak Areas'!Z122=0,0,((('Peak Areas'!Z122*Coefficients!$G$52+Coefficients!$H$52)*$G126)))</f>
        <v>1.3622915581599573</v>
      </c>
      <c r="X126" s="30">
        <f>IF('Peak Areas'!AA122=0,0,((('Peak Areas'!AA122*Coefficients!$G$33+Coefficients!$H$33)*$G126)))</f>
        <v>0.19949965824175211</v>
      </c>
      <c r="Y126" s="30">
        <f>IF('Peak Areas'!AC122=0,0,((('Peak Areas'!AC122*Coefficients!$G$19+Coefficients!$H$19)*$G126)))</f>
        <v>0.83658797722799871</v>
      </c>
      <c r="Z126" s="30">
        <f>IF('Peak Areas'!AD122=0,0,((('Peak Areas'!AD122*Coefficients!$G$18+Coefficients!$H$18)*$G126)))</f>
        <v>0</v>
      </c>
      <c r="AA126" s="30">
        <f>IF('Peak Areas'!AE122=0,0,((('Peak Areas'!AE122*Coefficients!$G$18+Coefficients!$H$18)*$G126)))</f>
        <v>10.735061960006043</v>
      </c>
      <c r="AB126" s="30">
        <f>IF('Peak Areas'!AF122=0,0,((('Peak Areas'!AF122*Coefficients!$G$18+Coefficients!$H$18)*$G126)))</f>
        <v>0.92209485340185682</v>
      </c>
      <c r="AC126" s="30">
        <f>IF('Peak Areas'!AG122=0,0,((('Peak Areas'!AG122*Coefficients!$G$7+Coefficients!$H$7)*$G126)))</f>
        <v>0</v>
      </c>
      <c r="AD126" s="30">
        <f>IF('Peak Areas'!AH122=0,0,((('Peak Areas'!AH122*Coefficients!$G$6+Coefficients!$H$6)*$G126)))</f>
        <v>0.58030933657309691</v>
      </c>
      <c r="AF126" s="30">
        <f>IF('Peak Areas'!K122=0,0,((('Peak Areas'!K122*Coefficients!$G$22+Coefficients!$H$22)*$G126)))</f>
        <v>0</v>
      </c>
      <c r="AG126" s="30">
        <f t="shared" si="2"/>
        <v>10.735061960006043</v>
      </c>
      <c r="AH126" s="30">
        <f t="shared" si="3"/>
        <v>11.6571568134079</v>
      </c>
    </row>
    <row r="127" spans="1:34" x14ac:dyDescent="0.25">
      <c r="A127" s="2">
        <f>'Peak Areas'!A123</f>
        <v>113</v>
      </c>
      <c r="B127" s="62">
        <f>'Peak Areas'!B123</f>
        <v>45856</v>
      </c>
      <c r="C127" s="2" t="str">
        <f>'Peak Areas'!C123</f>
        <v>D+C low nut</v>
      </c>
      <c r="D127" s="2">
        <f>'Peak Areas'!D123</f>
        <v>0</v>
      </c>
      <c r="E127" s="2">
        <f>'Peak Areas'!E123</f>
        <v>0</v>
      </c>
      <c r="F127" s="30">
        <f>'Peak Areas'!F123</f>
        <v>0.1</v>
      </c>
      <c r="G127" s="30">
        <f>((1/'Peak Areas'!$G123)*(('Peak Areas'!$H123+('Internal Standard'!$E$10/1000))/'Peak Areas'!$F123)*'Peak Areas'!$J123)*H127</f>
        <v>4.0781503382080093E-2</v>
      </c>
      <c r="H127" s="30">
        <f>(('Internal Standard'!$F$13*('Peak Areas'!G123/'Internal Standard'!$C$10))/'Peak Areas'!AB123)</f>
        <v>0.959564785460708</v>
      </c>
      <c r="I127" s="30">
        <f>IF('Peak Areas'!L123=0,0,((('Peak Areas'!L123*Coefficients!$G$21+Coefficients!$H$21)*$G127)))</f>
        <v>0</v>
      </c>
      <c r="J127" s="30">
        <f>IF('Peak Areas'!M123=0,0,((('Peak Areas'!M123*Coefficients!$G$20+Coefficients!$H$20)*$G127)))</f>
        <v>0.39385322925492972</v>
      </c>
      <c r="K127" s="30">
        <f>IF('Peak Areas'!N123=0,0,((('Peak Areas'!N123*Coefficients!$G$41+Coefficients!$H$41)*$G127)))</f>
        <v>0.12705174257928717</v>
      </c>
      <c r="L127" s="30">
        <f>IF('Peak Areas'!O123=0,0,((('Peak Areas'!O123*Coefficients!$G$10+Coefficients!$H$10)*$G127)))</f>
        <v>0</v>
      </c>
      <c r="M127" s="30">
        <f>IF('Peak Areas'!P123=0,0,((('Peak Areas'!P123*Coefficients!$G$32+Coefficients!$H$32)*$G127)))</f>
        <v>1.3582739515299296</v>
      </c>
      <c r="N127" s="30">
        <f>IF('Peak Areas'!Q123=0,0,((('Peak Areas'!Q123*Coefficients!$G$11+Coefficients!$H$11)*$G127)))</f>
        <v>0</v>
      </c>
      <c r="O127" s="30">
        <f>IF('Peak Areas'!R123=0,0,((('Peak Areas'!R123*Coefficients!$G$39+Coefficients!$H$39)*$G127)))</f>
        <v>0.42077197275755618</v>
      </c>
      <c r="P127" s="30">
        <f>IF('Peak Areas'!S123=0,0,((('Peak Areas'!S123*Coefficients!$G$46+Coefficients!$H$46)*$G127)))</f>
        <v>0</v>
      </c>
      <c r="Q127" s="30">
        <f>IF('Peak Areas'!T123=0,0,((('Peak Areas'!T123*Coefficients!$G$51+Coefficients!$H$51)*$G127)))</f>
        <v>0.97763924881841835</v>
      </c>
      <c r="R127" s="30">
        <f>IF('Peak Areas'!U123=0,0,((('Peak Areas'!U123*Coefficients!$G$26+Coefficients!$H$26)*$G127)))</f>
        <v>0.46311890734473243</v>
      </c>
      <c r="S127" s="30">
        <f>IF('Peak Areas'!V123=0,0,((('Peak Areas'!V123*Coefficients!$G$13+Coefficients!$H$13)*$G127)))</f>
        <v>0.26623250385608965</v>
      </c>
      <c r="T127" s="30">
        <f>IF('Peak Areas'!W123=0,0,((('Peak Areas'!W123*Coefficients!$G$12+Coefficients!$H$12)*$G127)))</f>
        <v>0.53092228335339764</v>
      </c>
      <c r="U127" s="30">
        <f>IF('Peak Areas'!X123=0,0,((('Peak Areas'!X123*Coefficients!$G$27+Coefficients!$H$27)*$G127)))</f>
        <v>4.1726893512657591E-2</v>
      </c>
      <c r="V127" s="30">
        <f>IF('Peak Areas'!Y123=0,0,((('Peak Areas'!Y123*Coefficients!$G$34+Coefficients!$H$34)*$G127)))</f>
        <v>1.535461051154666</v>
      </c>
      <c r="W127" s="30">
        <f>IF('Peak Areas'!Z123=0,0,((('Peak Areas'!Z123*Coefficients!$G$52+Coefficients!$H$52)*$G127)))</f>
        <v>1.5754279385452301</v>
      </c>
      <c r="X127" s="30">
        <f>IF('Peak Areas'!AA123=0,0,((('Peak Areas'!AA123*Coefficients!$G$33+Coefficients!$H$33)*$G127)))</f>
        <v>0.15449014660857854</v>
      </c>
      <c r="Y127" s="30">
        <f>IF('Peak Areas'!AC123=0,0,((('Peak Areas'!AC123*Coefficients!$G$19+Coefficients!$H$19)*$G127)))</f>
        <v>1.5431007386986688</v>
      </c>
      <c r="Z127" s="30">
        <f>IF('Peak Areas'!AD123=0,0,((('Peak Areas'!AD123*Coefficients!$G$18+Coefficients!$H$18)*$G127)))</f>
        <v>0.34654456057493538</v>
      </c>
      <c r="AA127" s="30">
        <f>IF('Peak Areas'!AE123=0,0,((('Peak Areas'!AE123*Coefficients!$G$18+Coefficients!$H$18)*$G127)))</f>
        <v>14.439105596187218</v>
      </c>
      <c r="AB127" s="30">
        <f>IF('Peak Areas'!AF123=0,0,((('Peak Areas'!AF123*Coefficients!$G$18+Coefficients!$H$18)*$G127)))</f>
        <v>1.1107162336222043</v>
      </c>
      <c r="AC127" s="30">
        <f>IF('Peak Areas'!AG123=0,0,((('Peak Areas'!AG123*Coefficients!$G$7+Coefficients!$H$7)*$G127)))</f>
        <v>0</v>
      </c>
      <c r="AD127" s="30">
        <f>IF('Peak Areas'!AH123=0,0,((('Peak Areas'!AH123*Coefficients!$G$6+Coefficients!$H$6)*$G127)))</f>
        <v>0.8509600789596794</v>
      </c>
      <c r="AF127" s="30">
        <f>IF('Peak Areas'!K123=0,0,((('Peak Areas'!K123*Coefficients!$G$22+Coefficients!$H$22)*$G127)))</f>
        <v>0.16908540631524527</v>
      </c>
      <c r="AG127" s="30">
        <f t="shared" si="2"/>
        <v>14.608191002502464</v>
      </c>
      <c r="AH127" s="30">
        <f t="shared" si="3"/>
        <v>16.065451796699602</v>
      </c>
    </row>
    <row r="128" spans="1:34" x14ac:dyDescent="0.25">
      <c r="A128" s="2">
        <f>'Peak Areas'!A124</f>
        <v>114</v>
      </c>
      <c r="B128" s="62">
        <f>'Peak Areas'!B124</f>
        <v>45856</v>
      </c>
      <c r="C128" s="2" t="str">
        <f>'Peak Areas'!C124</f>
        <v>D+C low nut</v>
      </c>
      <c r="D128" s="2">
        <f>'Peak Areas'!D124</f>
        <v>0</v>
      </c>
      <c r="E128" s="2">
        <f>'Peak Areas'!E124</f>
        <v>0</v>
      </c>
      <c r="F128" s="30">
        <f>'Peak Areas'!F124</f>
        <v>0.1</v>
      </c>
      <c r="G128" s="30">
        <f>((1/'Peak Areas'!$G124)*(('Peak Areas'!$H124+('Internal Standard'!$E$10/1000))/'Peak Areas'!$F124)*'Peak Areas'!$J124)*H128</f>
        <v>4.1329451152254545E-2</v>
      </c>
      <c r="H128" s="30">
        <f>(('Internal Standard'!$F$13*('Peak Areas'!G124/'Internal Standard'!$C$10))/'Peak Areas'!AB124)</f>
        <v>0.97245767417069506</v>
      </c>
      <c r="I128" s="30">
        <f>IF('Peak Areas'!L124=0,0,((('Peak Areas'!L124*Coefficients!$G$21+Coefficients!$H$21)*$G128)))</f>
        <v>9.3038354979805823E-2</v>
      </c>
      <c r="J128" s="30">
        <f>IF('Peak Areas'!M124=0,0,((('Peak Areas'!M124*Coefficients!$G$20+Coefficients!$H$20)*$G128)))</f>
        <v>0.44113165622335798</v>
      </c>
      <c r="K128" s="30">
        <f>IF('Peak Areas'!N124=0,0,((('Peak Areas'!N124*Coefficients!$G$41+Coefficients!$H$41)*$G128)))</f>
        <v>0.16071551646038457</v>
      </c>
      <c r="L128" s="30">
        <f>IF('Peak Areas'!O124=0,0,((('Peak Areas'!O124*Coefficients!$G$10+Coefficients!$H$10)*$G128)))</f>
        <v>0</v>
      </c>
      <c r="M128" s="30">
        <f>IF('Peak Areas'!P124=0,0,((('Peak Areas'!P124*Coefficients!$G$32+Coefficients!$H$32)*$G128)))</f>
        <v>1.5212073144612877</v>
      </c>
      <c r="N128" s="30">
        <f>IF('Peak Areas'!Q124=0,0,((('Peak Areas'!Q124*Coefficients!$G$11+Coefficients!$H$11)*$G128)))</f>
        <v>0</v>
      </c>
      <c r="O128" s="30">
        <f>IF('Peak Areas'!R124=0,0,((('Peak Areas'!R124*Coefficients!$G$39+Coefficients!$H$39)*$G128)))</f>
        <v>0.49479147755470115</v>
      </c>
      <c r="P128" s="30">
        <f>IF('Peak Areas'!S124=0,0,((('Peak Areas'!S124*Coefficients!$G$46+Coefficients!$H$46)*$G128)))</f>
        <v>0</v>
      </c>
      <c r="Q128" s="30">
        <f>IF('Peak Areas'!T124=0,0,((('Peak Areas'!T124*Coefficients!$G$51+Coefficients!$H$51)*$G128)))</f>
        <v>1.0721424533223918</v>
      </c>
      <c r="R128" s="30">
        <f>IF('Peak Areas'!U124=0,0,((('Peak Areas'!U124*Coefficients!$G$26+Coefficients!$H$26)*$G128)))</f>
        <v>0.51551501841884861</v>
      </c>
      <c r="S128" s="30">
        <f>IF('Peak Areas'!V124=0,0,((('Peak Areas'!V124*Coefficients!$G$13+Coefficients!$H$13)*$G128)))</f>
        <v>0.27102108516692414</v>
      </c>
      <c r="T128" s="30">
        <f>IF('Peak Areas'!W124=0,0,((('Peak Areas'!W124*Coefficients!$G$12+Coefficients!$H$12)*$G128)))</f>
        <v>0.60648790820136445</v>
      </c>
      <c r="U128" s="30">
        <f>IF('Peak Areas'!X124=0,0,((('Peak Areas'!X124*Coefficients!$G$27+Coefficients!$H$27)*$G128)))</f>
        <v>3.4332512314886293E-2</v>
      </c>
      <c r="V128" s="30">
        <f>IF('Peak Areas'!Y124=0,0,((('Peak Areas'!Y124*Coefficients!$G$34+Coefficients!$H$34)*$G128)))</f>
        <v>1.7662582054056337</v>
      </c>
      <c r="W128" s="30">
        <f>IF('Peak Areas'!Z124=0,0,((('Peak Areas'!Z124*Coefficients!$G$52+Coefficients!$H$52)*$G128)))</f>
        <v>1.6252473339632929</v>
      </c>
      <c r="X128" s="30">
        <f>IF('Peak Areas'!AA124=0,0,((('Peak Areas'!AA124*Coefficients!$G$33+Coefficients!$H$33)*$G128)))</f>
        <v>0.1437039472357754</v>
      </c>
      <c r="Y128" s="30">
        <f>IF('Peak Areas'!AC124=0,0,((('Peak Areas'!AC124*Coefficients!$G$19+Coefficients!$H$19)*$G128)))</f>
        <v>1.7850828769586364</v>
      </c>
      <c r="Z128" s="30">
        <f>IF('Peak Areas'!AD124=0,0,((('Peak Areas'!AD124*Coefficients!$G$18+Coefficients!$H$18)*$G128)))</f>
        <v>0.22860496495080804</v>
      </c>
      <c r="AA128" s="30">
        <f>IF('Peak Areas'!AE124=0,0,((('Peak Areas'!AE124*Coefficients!$G$18+Coefficients!$H$18)*$G128)))</f>
        <v>16.592754221747143</v>
      </c>
      <c r="AB128" s="30">
        <f>IF('Peak Areas'!AF124=0,0,((('Peak Areas'!AF124*Coefficients!$G$18+Coefficients!$H$18)*$G128)))</f>
        <v>1.2584030136522548</v>
      </c>
      <c r="AC128" s="30">
        <f>IF('Peak Areas'!AG124=0,0,((('Peak Areas'!AG124*Coefficients!$G$7+Coefficients!$H$7)*$G128)))</f>
        <v>0</v>
      </c>
      <c r="AD128" s="30">
        <f>IF('Peak Areas'!AH124=0,0,((('Peak Areas'!AH124*Coefficients!$G$6+Coefficients!$H$6)*$G128)))</f>
        <v>1.5463574900838835</v>
      </c>
      <c r="AF128" s="30">
        <f>IF('Peak Areas'!K124=0,0,((('Peak Areas'!K124*Coefficients!$G$22+Coefficients!$H$22)*$G128)))</f>
        <v>0.16987817403283817</v>
      </c>
      <c r="AG128" s="30">
        <f t="shared" si="2"/>
        <v>16.762632395779981</v>
      </c>
      <c r="AH128" s="30">
        <f t="shared" si="3"/>
        <v>18.249640374383045</v>
      </c>
    </row>
    <row r="129" spans="1:34" x14ac:dyDescent="0.25">
      <c r="A129" s="2">
        <f>'Peak Areas'!A125</f>
        <v>115</v>
      </c>
      <c r="B129" s="62">
        <f>'Peak Areas'!B125</f>
        <v>45856</v>
      </c>
      <c r="C129" s="2" t="str">
        <f>'Peak Areas'!C125</f>
        <v>D+C high nut</v>
      </c>
      <c r="D129" s="2">
        <f>'Peak Areas'!D125</f>
        <v>0</v>
      </c>
      <c r="E129" s="2">
        <f>'Peak Areas'!E125</f>
        <v>0</v>
      </c>
      <c r="F129" s="30">
        <f>'Peak Areas'!F125</f>
        <v>0.1</v>
      </c>
      <c r="G129" s="30">
        <f>((1/'Peak Areas'!$G125)*(('Peak Areas'!$H125+('Internal Standard'!$E$10/1000))/'Peak Areas'!$F125)*'Peak Areas'!$J125)*H129</f>
        <v>4.1757589866714538E-2</v>
      </c>
      <c r="H129" s="30">
        <f>(('Internal Standard'!$F$13*('Peak Areas'!G125/'Internal Standard'!$C$10))/'Peak Areas'!AB125)</f>
        <v>0.98253152627563611</v>
      </c>
      <c r="I129" s="30">
        <f>IF('Peak Areas'!L125=0,0,((('Peak Areas'!L125*Coefficients!$G$21+Coefficients!$H$21)*$G129)))</f>
        <v>6.8141666707077872E-2</v>
      </c>
      <c r="J129" s="30">
        <f>IF('Peak Areas'!M125=0,0,((('Peak Areas'!M125*Coefficients!$G$20+Coefficients!$H$20)*$G129)))</f>
        <v>0.3774582840015594</v>
      </c>
      <c r="K129" s="30">
        <f>IF('Peak Areas'!N125=0,0,((('Peak Areas'!N125*Coefficients!$G$41+Coefficients!$H$41)*$G129)))</f>
        <v>0.15796863274785153</v>
      </c>
      <c r="L129" s="30">
        <f>IF('Peak Areas'!O125=0,0,((('Peak Areas'!O125*Coefficients!$G$10+Coefficients!$H$10)*$G129)))</f>
        <v>0</v>
      </c>
      <c r="M129" s="30">
        <f>IF('Peak Areas'!P125=0,0,((('Peak Areas'!P125*Coefficients!$G$32+Coefficients!$H$32)*$G129)))</f>
        <v>1.483172181935575</v>
      </c>
      <c r="N129" s="30">
        <f>IF('Peak Areas'!Q125=0,0,((('Peak Areas'!Q125*Coefficients!$G$11+Coefficients!$H$11)*$G129)))</f>
        <v>0</v>
      </c>
      <c r="O129" s="30">
        <f>IF('Peak Areas'!R125=0,0,((('Peak Areas'!R125*Coefficients!$G$39+Coefficients!$H$39)*$G129)))</f>
        <v>0.47665896461586676</v>
      </c>
      <c r="P129" s="30">
        <f>IF('Peak Areas'!S125=0,0,((('Peak Areas'!S125*Coefficients!$G$46+Coefficients!$H$46)*$G129)))</f>
        <v>0</v>
      </c>
      <c r="Q129" s="30">
        <f>IF('Peak Areas'!T125=0,0,((('Peak Areas'!T125*Coefficients!$G$51+Coefficients!$H$51)*$G129)))</f>
        <v>1.0312013827493069</v>
      </c>
      <c r="R129" s="30">
        <f>IF('Peak Areas'!U125=0,0,((('Peak Areas'!U125*Coefficients!$G$26+Coefficients!$H$26)*$G129)))</f>
        <v>0.45351196848180475</v>
      </c>
      <c r="S129" s="30">
        <f>IF('Peak Areas'!V125=0,0,((('Peak Areas'!V125*Coefficients!$G$13+Coefficients!$H$13)*$G129)))</f>
        <v>0.2665892327746901</v>
      </c>
      <c r="T129" s="30">
        <f>IF('Peak Areas'!W125=0,0,((('Peak Areas'!W125*Coefficients!$G$12+Coefficients!$H$12)*$G129)))</f>
        <v>0.46577816545243389</v>
      </c>
      <c r="U129" s="30">
        <f>IF('Peak Areas'!X125=0,0,((('Peak Areas'!X125*Coefficients!$G$27+Coefficients!$H$27)*$G129)))</f>
        <v>2.5279882426526807E-2</v>
      </c>
      <c r="V129" s="30">
        <f>IF('Peak Areas'!Y125=0,0,((('Peak Areas'!Y125*Coefficients!$G$34+Coefficients!$H$34)*$G129)))</f>
        <v>1.5436558235293816</v>
      </c>
      <c r="W129" s="30">
        <f>IF('Peak Areas'!Z125=0,0,((('Peak Areas'!Z125*Coefficients!$G$52+Coefficients!$H$52)*$G129)))</f>
        <v>1.6261758302377305</v>
      </c>
      <c r="X129" s="30">
        <f>IF('Peak Areas'!AA125=0,0,((('Peak Areas'!AA125*Coefficients!$G$33+Coefficients!$H$33)*$G129)))</f>
        <v>0.15124260303970519</v>
      </c>
      <c r="Y129" s="30">
        <f>IF('Peak Areas'!AC125=0,0,((('Peak Areas'!AC125*Coefficients!$G$19+Coefficients!$H$19)*$G129)))</f>
        <v>1.6648090341163106</v>
      </c>
      <c r="Z129" s="30">
        <f>IF('Peak Areas'!AD125=0,0,((('Peak Areas'!AD125*Coefficients!$G$18+Coefficients!$H$18)*$G129)))</f>
        <v>0.19892858149317869</v>
      </c>
      <c r="AA129" s="30">
        <f>IF('Peak Areas'!AE125=0,0,((('Peak Areas'!AE125*Coefficients!$G$18+Coefficients!$H$18)*$G129)))</f>
        <v>15.735201712568999</v>
      </c>
      <c r="AB129" s="30">
        <f>IF('Peak Areas'!AF125=0,0,((('Peak Areas'!AF125*Coefficients!$G$18+Coefficients!$H$18)*$G129)))</f>
        <v>1.2197084747721076</v>
      </c>
      <c r="AC129" s="30">
        <f>IF('Peak Areas'!AG125=0,0,((('Peak Areas'!AG125*Coefficients!$G$7+Coefficients!$H$7)*$G129)))</f>
        <v>0.20266418919207635</v>
      </c>
      <c r="AD129" s="30">
        <f>IF('Peak Areas'!AH125=0,0,((('Peak Areas'!AH125*Coefficients!$G$6+Coefficients!$H$6)*$G129)))</f>
        <v>1.9762412642071037</v>
      </c>
      <c r="AF129" s="30">
        <f>IF('Peak Areas'!K125=0,0,((('Peak Areas'!K125*Coefficients!$G$22+Coefficients!$H$22)*$G129)))</f>
        <v>0.1639686525606594</v>
      </c>
      <c r="AG129" s="30">
        <f t="shared" si="2"/>
        <v>15.89917036512966</v>
      </c>
      <c r="AH129" s="30">
        <f t="shared" si="3"/>
        <v>17.317807421394946</v>
      </c>
    </row>
    <row r="130" spans="1:34" x14ac:dyDescent="0.25">
      <c r="A130" s="2">
        <f>'Peak Areas'!A126</f>
        <v>116</v>
      </c>
      <c r="B130" s="62">
        <f>'Peak Areas'!B126</f>
        <v>45856</v>
      </c>
      <c r="C130" s="2" t="str">
        <f>'Peak Areas'!C126</f>
        <v>D+C high nut</v>
      </c>
      <c r="D130" s="2">
        <f>'Peak Areas'!D126</f>
        <v>0</v>
      </c>
      <c r="E130" s="2">
        <f>'Peak Areas'!E126</f>
        <v>0</v>
      </c>
      <c r="F130" s="30">
        <f>'Peak Areas'!F126</f>
        <v>0.1</v>
      </c>
      <c r="G130" s="30">
        <f>((1/'Peak Areas'!$G126)*(('Peak Areas'!$H126+('Internal Standard'!$E$10/1000))/'Peak Areas'!$F126)*'Peak Areas'!$J126)*H130</f>
        <v>4.2925840898256698E-2</v>
      </c>
      <c r="H130" s="30">
        <f>(('Internal Standard'!$F$13*('Peak Areas'!G126/'Internal Standard'!$C$10))/'Peak Areas'!AB126)</f>
        <v>1.010019785841334</v>
      </c>
      <c r="I130" s="30">
        <f>IF('Peak Areas'!L126=0,0,((('Peak Areas'!L126*Coefficients!$G$21+Coefficients!$H$21)*$G130)))</f>
        <v>6.830950126762772E-2</v>
      </c>
      <c r="J130" s="30">
        <f>IF('Peak Areas'!M126=0,0,((('Peak Areas'!M126*Coefficients!$G$20+Coefficients!$H$20)*$G130)))</f>
        <v>0.38327215845835733</v>
      </c>
      <c r="K130" s="30">
        <f>IF('Peak Areas'!N126=0,0,((('Peak Areas'!N126*Coefficients!$G$41+Coefficients!$H$41)*$G130)))</f>
        <v>0.16061574388905578</v>
      </c>
      <c r="L130" s="30">
        <f>IF('Peak Areas'!O126=0,0,((('Peak Areas'!O126*Coefficients!$G$10+Coefficients!$H$10)*$G130)))</f>
        <v>0</v>
      </c>
      <c r="M130" s="30">
        <f>IF('Peak Areas'!P126=0,0,((('Peak Areas'!P126*Coefficients!$G$32+Coefficients!$H$32)*$G130)))</f>
        <v>1.5262609046749542</v>
      </c>
      <c r="N130" s="30">
        <f>IF('Peak Areas'!Q126=0,0,((('Peak Areas'!Q126*Coefficients!$G$11+Coefficients!$H$11)*$G130)))</f>
        <v>0</v>
      </c>
      <c r="O130" s="30">
        <f>IF('Peak Areas'!R126=0,0,((('Peak Areas'!R126*Coefficients!$G$39+Coefficients!$H$39)*$G130)))</f>
        <v>0.51408323972915759</v>
      </c>
      <c r="P130" s="30">
        <f>IF('Peak Areas'!S126=0,0,((('Peak Areas'!S126*Coefficients!$G$46+Coefficients!$H$46)*$G130)))</f>
        <v>0</v>
      </c>
      <c r="Q130" s="30">
        <f>IF('Peak Areas'!T126=0,0,((('Peak Areas'!T126*Coefficients!$G$51+Coefficients!$H$51)*$G130)))</f>
        <v>1.0179127027680541</v>
      </c>
      <c r="R130" s="30">
        <f>IF('Peak Areas'!U126=0,0,((('Peak Areas'!U126*Coefficients!$G$26+Coefficients!$H$26)*$G130)))</f>
        <v>0.46045893642559599</v>
      </c>
      <c r="S130" s="30">
        <f>IF('Peak Areas'!V126=0,0,((('Peak Areas'!V126*Coefficients!$G$13+Coefficients!$H$13)*$G130)))</f>
        <v>0.25582890080740955</v>
      </c>
      <c r="T130" s="30">
        <f>IF('Peak Areas'!W126=0,0,((('Peak Areas'!W126*Coefficients!$G$12+Coefficients!$H$12)*$G130)))</f>
        <v>0.47499606861477622</v>
      </c>
      <c r="U130" s="30">
        <f>IF('Peak Areas'!X126=0,0,((('Peak Areas'!X126*Coefficients!$G$27+Coefficients!$H$27)*$G130)))</f>
        <v>2.9116309847178053E-2</v>
      </c>
      <c r="V130" s="30">
        <f>IF('Peak Areas'!Y126=0,0,((('Peak Areas'!Y126*Coefficients!$G$34+Coefficients!$H$34)*$G130)))</f>
        <v>1.6029376019940496</v>
      </c>
      <c r="W130" s="30">
        <f>IF('Peak Areas'!Z126=0,0,((('Peak Areas'!Z126*Coefficients!$G$52+Coefficients!$H$52)*$G130)))</f>
        <v>1.6665266206500748</v>
      </c>
      <c r="X130" s="30">
        <f>IF('Peak Areas'!AA126=0,0,((('Peak Areas'!AA126*Coefficients!$G$33+Coefficients!$H$33)*$G130)))</f>
        <v>0.15428527502268224</v>
      </c>
      <c r="Y130" s="30">
        <f>IF('Peak Areas'!AC126=0,0,((('Peak Areas'!AC126*Coefficients!$G$19+Coefficients!$H$19)*$G130)))</f>
        <v>1.77813971613963</v>
      </c>
      <c r="Z130" s="30">
        <f>IF('Peak Areas'!AD126=0,0,((('Peak Areas'!AD126*Coefficients!$G$18+Coefficients!$H$18)*$G130)))</f>
        <v>0.24536396921174441</v>
      </c>
      <c r="AA130" s="30">
        <f>IF('Peak Areas'!AE126=0,0,((('Peak Areas'!AE126*Coefficients!$G$18+Coefficients!$H$18)*$G130)))</f>
        <v>15.883532750178542</v>
      </c>
      <c r="AB130" s="30">
        <f>IF('Peak Areas'!AF126=0,0,((('Peak Areas'!AF126*Coefficients!$G$18+Coefficients!$H$18)*$G130)))</f>
        <v>1.1582887668201598</v>
      </c>
      <c r="AC130" s="30">
        <f>IF('Peak Areas'!AG126=0,0,((('Peak Areas'!AG126*Coefficients!$G$7+Coefficients!$H$7)*$G130)))</f>
        <v>0</v>
      </c>
      <c r="AD130" s="30">
        <f>IF('Peak Areas'!AH126=0,0,((('Peak Areas'!AH126*Coefficients!$G$6+Coefficients!$H$6)*$G130)))</f>
        <v>0.85755504149155781</v>
      </c>
      <c r="AF130" s="30">
        <f>IF('Peak Areas'!K126=0,0,((('Peak Areas'!K126*Coefficients!$G$22+Coefficients!$H$22)*$G130)))</f>
        <v>0.14977816702717006</v>
      </c>
      <c r="AG130" s="30">
        <f t="shared" si="2"/>
        <v>16.033310917205711</v>
      </c>
      <c r="AH130" s="30">
        <f t="shared" si="3"/>
        <v>17.436963653237616</v>
      </c>
    </row>
    <row r="131" spans="1:34" x14ac:dyDescent="0.25">
      <c r="A131" s="2">
        <f>'Peak Areas'!A127</f>
        <v>117</v>
      </c>
      <c r="B131" s="62">
        <f>'Peak Areas'!B127</f>
        <v>45856</v>
      </c>
      <c r="C131" s="2" t="str">
        <f>'Peak Areas'!C127</f>
        <v xml:space="preserve">D+P low </v>
      </c>
      <c r="D131" s="2">
        <f>'Peak Areas'!D127</f>
        <v>0</v>
      </c>
      <c r="E131" s="2">
        <f>'Peak Areas'!E127</f>
        <v>0</v>
      </c>
      <c r="F131" s="30">
        <f>'Peak Areas'!F127</f>
        <v>0.1</v>
      </c>
      <c r="G131" s="30">
        <f>((1/'Peak Areas'!$G127)*(('Peak Areas'!$H127+('Internal Standard'!$E$10/1000))/'Peak Areas'!$F127)*'Peak Areas'!$J127)*H131</f>
        <v>4.3316846887155515E-2</v>
      </c>
      <c r="H131" s="30">
        <f>(('Internal Standard'!$F$13*('Peak Areas'!G127/'Internal Standard'!$C$10))/'Peak Areas'!AB127)</f>
        <v>1.0192199267566002</v>
      </c>
      <c r="I131" s="30">
        <f>IF('Peak Areas'!L127=0,0,((('Peak Areas'!L127*Coefficients!$G$21+Coefficients!$H$21)*$G131)))</f>
        <v>0</v>
      </c>
      <c r="J131" s="30">
        <f>IF('Peak Areas'!M127=0,0,((('Peak Areas'!M127*Coefficients!$G$20+Coefficients!$H$20)*$G131)))</f>
        <v>0.16050287869230645</v>
      </c>
      <c r="K131" s="30">
        <f>IF('Peak Areas'!N127=0,0,((('Peak Areas'!N127*Coefficients!$G$41+Coefficients!$H$41)*$G131)))</f>
        <v>0.12314469765383929</v>
      </c>
      <c r="L131" s="30">
        <f>IF('Peak Areas'!O127=0,0,((('Peak Areas'!O127*Coefficients!$G$10+Coefficients!$H$10)*$G131)))</f>
        <v>0</v>
      </c>
      <c r="M131" s="30">
        <f>IF('Peak Areas'!P127=0,0,((('Peak Areas'!P127*Coefficients!$G$32+Coefficients!$H$32)*$G131)))</f>
        <v>0.84883363614162199</v>
      </c>
      <c r="N131" s="30">
        <f>IF('Peak Areas'!Q127=0,0,((('Peak Areas'!Q127*Coefficients!$G$11+Coefficients!$H$11)*$G131)))</f>
        <v>0</v>
      </c>
      <c r="O131" s="30">
        <f>IF('Peak Areas'!R127=0,0,((('Peak Areas'!R127*Coefficients!$G$39+Coefficients!$H$39)*$G131)))</f>
        <v>0.19431779442606642</v>
      </c>
      <c r="P131" s="30">
        <f>IF('Peak Areas'!S127=0,0,((('Peak Areas'!S127*Coefficients!$G$46+Coefficients!$H$46)*$G131)))</f>
        <v>0</v>
      </c>
      <c r="Q131" s="30">
        <f>IF('Peak Areas'!T127=0,0,((('Peak Areas'!T127*Coefficients!$G$51+Coefficients!$H$51)*$G131)))</f>
        <v>0.73758678532450839</v>
      </c>
      <c r="R131" s="30">
        <f>IF('Peak Areas'!U127=0,0,((('Peak Areas'!U127*Coefficients!$G$26+Coefficients!$H$26)*$G131)))</f>
        <v>0.30992139019556775</v>
      </c>
      <c r="S131" s="30">
        <f>IF('Peak Areas'!V127=0,0,((('Peak Areas'!V127*Coefficients!$G$13+Coefficients!$H$13)*$G131)))</f>
        <v>0.23411775610480368</v>
      </c>
      <c r="T131" s="30">
        <f>IF('Peak Areas'!W127=0,0,((('Peak Areas'!W127*Coefficients!$G$12+Coefficients!$H$12)*$G131)))</f>
        <v>0.27725091324877221</v>
      </c>
      <c r="U131" s="30">
        <f>IF('Peak Areas'!X127=0,0,((('Peak Areas'!X127*Coefficients!$G$27+Coefficients!$H$27)*$G131)))</f>
        <v>4.2028451628871144E-2</v>
      </c>
      <c r="V131" s="30">
        <f>IF('Peak Areas'!Y127=0,0,((('Peak Areas'!Y127*Coefficients!$G$34+Coefficients!$H$34)*$G131)))</f>
        <v>0.62133380779569125</v>
      </c>
      <c r="W131" s="30">
        <f>IF('Peak Areas'!Z127=0,0,((('Peak Areas'!Z127*Coefficients!$G$52+Coefficients!$H$52)*$G131)))</f>
        <v>0.94689826160634816</v>
      </c>
      <c r="X131" s="30">
        <f>IF('Peak Areas'!AA127=0,0,((('Peak Areas'!AA127*Coefficients!$G$33+Coefficients!$H$33)*$G131)))</f>
        <v>0.12527838204495431</v>
      </c>
      <c r="Y131" s="30">
        <f>IF('Peak Areas'!AC127=0,0,((('Peak Areas'!AC127*Coefficients!$G$19+Coefficients!$H$19)*$G131)))</f>
        <v>0.52248827800699549</v>
      </c>
      <c r="Z131" s="30">
        <f>IF('Peak Areas'!AD127=0,0,((('Peak Areas'!AD127*Coefficients!$G$18+Coefficients!$H$18)*$G131)))</f>
        <v>0.14001997488885473</v>
      </c>
      <c r="AA131" s="30">
        <f>IF('Peak Areas'!AE127=0,0,((('Peak Areas'!AE127*Coefficients!$G$18+Coefficients!$H$18)*$G131)))</f>
        <v>7.309442746269327</v>
      </c>
      <c r="AB131" s="30">
        <f>IF('Peak Areas'!AF127=0,0,((('Peak Areas'!AF127*Coefficients!$G$18+Coefficients!$H$18)*$G131)))</f>
        <v>0.66613139222448392</v>
      </c>
      <c r="AC131" s="30">
        <f>IF('Peak Areas'!AG127=0,0,((('Peak Areas'!AG127*Coefficients!$G$7+Coefficients!$H$7)*$G131)))</f>
        <v>0</v>
      </c>
      <c r="AD131" s="30">
        <f>IF('Peak Areas'!AH127=0,0,((('Peak Areas'!AH127*Coefficients!$G$6+Coefficients!$H$6)*$G131)))</f>
        <v>0.82410652989322963</v>
      </c>
      <c r="AF131" s="30">
        <f>IF('Peak Areas'!K127=0,0,((('Peak Areas'!K127*Coefficients!$G$22+Coefficients!$H$22)*$G131)))</f>
        <v>7.6606029848093907E-2</v>
      </c>
      <c r="AG131" s="30">
        <f t="shared" si="2"/>
        <v>7.3860487761174207</v>
      </c>
      <c r="AH131" s="30">
        <f t="shared" si="3"/>
        <v>8.1922001432307585</v>
      </c>
    </row>
    <row r="132" spans="1:34" x14ac:dyDescent="0.25">
      <c r="A132" s="2">
        <f>'Peak Areas'!A128</f>
        <v>118</v>
      </c>
      <c r="B132" s="62">
        <f>'Peak Areas'!B128</f>
        <v>45856</v>
      </c>
      <c r="C132" s="2" t="str">
        <f>'Peak Areas'!C128</f>
        <v xml:space="preserve">D+P low </v>
      </c>
      <c r="D132" s="2">
        <f>'Peak Areas'!D128</f>
        <v>0</v>
      </c>
      <c r="E132" s="2">
        <f>'Peak Areas'!E128</f>
        <v>0</v>
      </c>
      <c r="F132" s="30">
        <f>'Peak Areas'!F128</f>
        <v>0.1</v>
      </c>
      <c r="G132" s="30">
        <f>((1/'Peak Areas'!$G128)*(('Peak Areas'!$H128+('Internal Standard'!$E$10/1000))/'Peak Areas'!$F128)*'Peak Areas'!$J128)*H132</f>
        <v>4.2806804502342415E-2</v>
      </c>
      <c r="H132" s="30">
        <f>(('Internal Standard'!$F$13*('Peak Areas'!G128/'Internal Standard'!$C$10))/'Peak Areas'!AB128)</f>
        <v>1.0072189294668803</v>
      </c>
      <c r="I132" s="30">
        <f>IF('Peak Areas'!L128=0,0,((('Peak Areas'!L128*Coefficients!$G$21+Coefficients!$H$21)*$G132)))</f>
        <v>0</v>
      </c>
      <c r="J132" s="30">
        <f>IF('Peak Areas'!M128=0,0,((('Peak Areas'!M128*Coefficients!$G$20+Coefficients!$H$20)*$G132)))</f>
        <v>0.12125959958612388</v>
      </c>
      <c r="K132" s="30">
        <f>IF('Peak Areas'!N128=0,0,((('Peak Areas'!N128*Coefficients!$G$41+Coefficients!$H$41)*$G132)))</f>
        <v>0.10819370164951102</v>
      </c>
      <c r="L132" s="30">
        <f>IF('Peak Areas'!O128=0,0,((('Peak Areas'!O128*Coefficients!$G$10+Coefficients!$H$10)*$G132)))</f>
        <v>0</v>
      </c>
      <c r="M132" s="30">
        <f>IF('Peak Areas'!P128=0,0,((('Peak Areas'!P128*Coefficients!$G$32+Coefficients!$H$32)*$G132)))</f>
        <v>0.71545342137941947</v>
      </c>
      <c r="N132" s="30">
        <f>IF('Peak Areas'!Q128=0,0,((('Peak Areas'!Q128*Coefficients!$G$11+Coefficients!$H$11)*$G132)))</f>
        <v>0</v>
      </c>
      <c r="O132" s="30">
        <f>IF('Peak Areas'!R128=0,0,((('Peak Areas'!R128*Coefficients!$G$39+Coefficients!$H$39)*$G132)))</f>
        <v>9.4625673404176908E-2</v>
      </c>
      <c r="P132" s="30">
        <f>IF('Peak Areas'!S128=0,0,((('Peak Areas'!S128*Coefficients!$G$46+Coefficients!$H$46)*$G132)))</f>
        <v>0</v>
      </c>
      <c r="Q132" s="30">
        <f>IF('Peak Areas'!T128=0,0,((('Peak Areas'!T128*Coefficients!$G$51+Coefficients!$H$51)*$G132)))</f>
        <v>0.69183640511919764</v>
      </c>
      <c r="R132" s="30">
        <f>IF('Peak Areas'!U128=0,0,((('Peak Areas'!U128*Coefficients!$G$26+Coefficients!$H$26)*$G132)))</f>
        <v>0.30087474626674832</v>
      </c>
      <c r="S132" s="30">
        <f>IF('Peak Areas'!V128=0,0,((('Peak Areas'!V128*Coefficients!$G$13+Coefficients!$H$13)*$G132)))</f>
        <v>0.22998394306272624</v>
      </c>
      <c r="T132" s="30">
        <f>IF('Peak Areas'!W128=0,0,((('Peak Areas'!W128*Coefficients!$G$12+Coefficients!$H$12)*$G132)))</f>
        <v>0.25808888967468963</v>
      </c>
      <c r="U132" s="30">
        <f>IF('Peak Areas'!X128=0,0,((('Peak Areas'!X128*Coefficients!$G$27+Coefficients!$H$27)*$G132)))</f>
        <v>4.2837348312282426E-2</v>
      </c>
      <c r="V132" s="30">
        <f>IF('Peak Areas'!Y128=0,0,((('Peak Areas'!Y128*Coefficients!$G$34+Coefficients!$H$34)*$G132)))</f>
        <v>0.48869959023003667</v>
      </c>
      <c r="W132" s="30">
        <f>IF('Peak Areas'!Z128=0,0,((('Peak Areas'!Z128*Coefficients!$G$52+Coefficients!$H$52)*$G132)))</f>
        <v>0.81130675699102683</v>
      </c>
      <c r="X132" s="30">
        <f>IF('Peak Areas'!AA128=0,0,((('Peak Areas'!AA128*Coefficients!$G$33+Coefficients!$H$33)*$G132)))</f>
        <v>0.12787931615457881</v>
      </c>
      <c r="Y132" s="30">
        <f>IF('Peak Areas'!AC128=0,0,((('Peak Areas'!AC128*Coefficients!$G$19+Coefficients!$H$19)*$G132)))</f>
        <v>0.36344740363186578</v>
      </c>
      <c r="Z132" s="30">
        <f>IF('Peak Areas'!AD128=0,0,((('Peak Areas'!AD128*Coefficients!$G$18+Coefficients!$H$18)*$G132)))</f>
        <v>8.1962522473710137E-2</v>
      </c>
      <c r="AA132" s="30">
        <f>IF('Peak Areas'!AE128=0,0,((('Peak Areas'!AE128*Coefficients!$G$18+Coefficients!$H$18)*$G132)))</f>
        <v>6.0764940389789137</v>
      </c>
      <c r="AB132" s="30">
        <f>IF('Peak Areas'!AF128=0,0,((('Peak Areas'!AF128*Coefficients!$G$18+Coefficients!$H$18)*$G132)))</f>
        <v>0.59990240906377235</v>
      </c>
      <c r="AC132" s="30">
        <f>IF('Peak Areas'!AG128=0,0,((('Peak Areas'!AG128*Coefficients!$G$7+Coefficients!$H$7)*$G132)))</f>
        <v>0</v>
      </c>
      <c r="AD132" s="30">
        <f>IF('Peak Areas'!AH128=0,0,((('Peak Areas'!AH128*Coefficients!$G$6+Coefficients!$H$6)*$G132)))</f>
        <v>0.87089418245961525</v>
      </c>
      <c r="AF132" s="30">
        <f>IF('Peak Areas'!K128=0,0,((('Peak Areas'!K128*Coefficients!$G$22+Coefficients!$H$22)*$G132)))</f>
        <v>2.9433970928662439E-2</v>
      </c>
      <c r="AG132" s="30">
        <f t="shared" si="2"/>
        <v>6.1059280099075766</v>
      </c>
      <c r="AH132" s="30">
        <f t="shared" si="3"/>
        <v>6.7877929414450593</v>
      </c>
    </row>
    <row r="133" spans="1:34" x14ac:dyDescent="0.25">
      <c r="A133" s="2">
        <f>'Peak Areas'!A129</f>
        <v>119</v>
      </c>
      <c r="B133" s="62">
        <f>'Peak Areas'!B129</f>
        <v>45856</v>
      </c>
      <c r="C133" s="2" t="str">
        <f>'Peak Areas'!C129</f>
        <v>D+P high</v>
      </c>
      <c r="D133" s="2">
        <f>'Peak Areas'!D129</f>
        <v>0</v>
      </c>
      <c r="E133" s="2">
        <f>'Peak Areas'!E129</f>
        <v>0</v>
      </c>
      <c r="F133" s="30">
        <f>'Peak Areas'!F129</f>
        <v>0.1</v>
      </c>
      <c r="G133" s="30">
        <f>((1/'Peak Areas'!$G129)*(('Peak Areas'!$H129+('Internal Standard'!$E$10/1000))/'Peak Areas'!$F129)*'Peak Areas'!$J129)*H133</f>
        <v>4.3471437080987649E-2</v>
      </c>
      <c r="H133" s="30">
        <f>(('Internal Standard'!$F$13*('Peak Areas'!G129/'Internal Standard'!$C$10))/'Peak Areas'!AB129)</f>
        <v>1.0228573430820622</v>
      </c>
      <c r="I133" s="30">
        <f>IF('Peak Areas'!L129=0,0,((('Peak Areas'!L129*Coefficients!$G$21+Coefficients!$H$21)*$G133)))</f>
        <v>0</v>
      </c>
      <c r="J133" s="30">
        <f>IF('Peak Areas'!M129=0,0,((('Peak Areas'!M129*Coefficients!$G$20+Coefficients!$H$20)*$G133)))</f>
        <v>0.13465233067562318</v>
      </c>
      <c r="K133" s="30">
        <f>IF('Peak Areas'!N129=0,0,((('Peak Areas'!N129*Coefficients!$G$41+Coefficients!$H$41)*$G133)))</f>
        <v>0.11488117437657094</v>
      </c>
      <c r="L133" s="30">
        <f>IF('Peak Areas'!O129=0,0,((('Peak Areas'!O129*Coefficients!$G$10+Coefficients!$H$10)*$G133)))</f>
        <v>0</v>
      </c>
      <c r="M133" s="30">
        <f>IF('Peak Areas'!P129=0,0,((('Peak Areas'!P129*Coefficients!$G$32+Coefficients!$H$32)*$G133)))</f>
        <v>0.72824971726333398</v>
      </c>
      <c r="N133" s="30">
        <f>IF('Peak Areas'!Q129=0,0,((('Peak Areas'!Q129*Coefficients!$G$11+Coefficients!$H$11)*$G133)))</f>
        <v>0</v>
      </c>
      <c r="O133" s="30">
        <f>IF('Peak Areas'!R129=0,0,((('Peak Areas'!R129*Coefficients!$G$39+Coefficients!$H$39)*$G133)))</f>
        <v>9.5190345313975147E-2</v>
      </c>
      <c r="P133" s="30">
        <f>IF('Peak Areas'!S129=0,0,((('Peak Areas'!S129*Coefficients!$G$46+Coefficients!$H$46)*$G133)))</f>
        <v>0</v>
      </c>
      <c r="Q133" s="30">
        <f>IF('Peak Areas'!T129=0,0,((('Peak Areas'!T129*Coefficients!$G$51+Coefficients!$H$51)*$G133)))</f>
        <v>0.7640832554840693</v>
      </c>
      <c r="R133" s="30">
        <f>IF('Peak Areas'!U129=0,0,((('Peak Areas'!U129*Coefficients!$G$26+Coefficients!$H$26)*$G133)))</f>
        <v>0.32213641672464455</v>
      </c>
      <c r="S133" s="30">
        <f>IF('Peak Areas'!V129=0,0,((('Peak Areas'!V129*Coefficients!$G$13+Coefficients!$H$13)*$G133)))</f>
        <v>0.24267628249353737</v>
      </c>
      <c r="T133" s="30">
        <f>IF('Peak Areas'!W129=0,0,((('Peak Areas'!W129*Coefficients!$G$12+Coefficients!$H$12)*$G133)))</f>
        <v>0.20322319128375851</v>
      </c>
      <c r="U133" s="30">
        <f>IF('Peak Areas'!X129=0,0,((('Peak Areas'!X129*Coefficients!$G$27+Coefficients!$H$27)*$G133)))</f>
        <v>3.0723575017243949E-2</v>
      </c>
      <c r="V133" s="30">
        <f>IF('Peak Areas'!Y129=0,0,((('Peak Areas'!Y129*Coefficients!$G$34+Coefficients!$H$34)*$G133)))</f>
        <v>0.50622798383294598</v>
      </c>
      <c r="W133" s="30">
        <f>IF('Peak Areas'!Z129=0,0,((('Peak Areas'!Z129*Coefficients!$G$52+Coefficients!$H$52)*$G133)))</f>
        <v>0.90467449259692923</v>
      </c>
      <c r="X133" s="30">
        <f>IF('Peak Areas'!AA129=0,0,((('Peak Areas'!AA129*Coefficients!$G$33+Coefficients!$H$33)*$G133)))</f>
        <v>0.10187576917461302</v>
      </c>
      <c r="Y133" s="30">
        <f>IF('Peak Areas'!AC129=0,0,((('Peak Areas'!AC129*Coefficients!$G$19+Coefficients!$H$19)*$G133)))</f>
        <v>0.39624252415170441</v>
      </c>
      <c r="Z133" s="30">
        <f>IF('Peak Areas'!AD129=0,0,((('Peak Areas'!AD129*Coefficients!$G$18+Coefficients!$H$18)*$G133)))</f>
        <v>0.10524376665581421</v>
      </c>
      <c r="AA133" s="30">
        <f>IF('Peak Areas'!AE129=0,0,((('Peak Areas'!AE129*Coefficients!$G$18+Coefficients!$H$18)*$G133)))</f>
        <v>6.3231301774764086</v>
      </c>
      <c r="AB133" s="30">
        <f>IF('Peak Areas'!AF129=0,0,((('Peak Areas'!AF129*Coefficients!$G$18+Coefficients!$H$18)*$G133)))</f>
        <v>0.63213782437848942</v>
      </c>
      <c r="AC133" s="30">
        <f>IF('Peak Areas'!AG129=0,0,((('Peak Areas'!AG129*Coefficients!$G$7+Coefficients!$H$7)*$G133)))</f>
        <v>0</v>
      </c>
      <c r="AD133" s="30">
        <f>IF('Peak Areas'!AH129=0,0,((('Peak Areas'!AH129*Coefficients!$G$6+Coefficients!$H$6)*$G133)))</f>
        <v>1.030256617191583</v>
      </c>
      <c r="AF133" s="30">
        <f>IF('Peak Areas'!K129=0,0,((('Peak Areas'!K129*Coefficients!$G$22+Coefficients!$H$22)*$G133)))</f>
        <v>6.694472224561028E-2</v>
      </c>
      <c r="AG133" s="30">
        <f t="shared" si="2"/>
        <v>6.3900748997220189</v>
      </c>
      <c r="AH133" s="30">
        <f t="shared" si="3"/>
        <v>7.1274564907563223</v>
      </c>
    </row>
    <row r="134" spans="1:34" x14ac:dyDescent="0.25">
      <c r="A134" s="2">
        <f>'Peak Areas'!A130</f>
        <v>120</v>
      </c>
      <c r="B134" s="62">
        <f>'Peak Areas'!B130</f>
        <v>45856</v>
      </c>
      <c r="C134" s="2" t="str">
        <f>'Peak Areas'!C130</f>
        <v>D+P high</v>
      </c>
      <c r="D134" s="2">
        <f>'Peak Areas'!D130</f>
        <v>0</v>
      </c>
      <c r="E134" s="2">
        <f>'Peak Areas'!E130</f>
        <v>0</v>
      </c>
      <c r="F134" s="30">
        <f>'Peak Areas'!F130</f>
        <v>0.1</v>
      </c>
      <c r="G134" s="30">
        <f>((1/'Peak Areas'!$G130)*(('Peak Areas'!$H130+('Internal Standard'!$E$10/1000))/'Peak Areas'!$F130)*'Peak Areas'!$J130)*H134</f>
        <v>4.1942995109197863E-2</v>
      </c>
      <c r="H134" s="30">
        <f>(('Internal Standard'!$F$13*('Peak Areas'!G130/'Internal Standard'!$C$10))/'Peak Areas'!AB130)</f>
        <v>0.98689400256936144</v>
      </c>
      <c r="I134" s="30">
        <f>IF('Peak Areas'!L130=0,0,((('Peak Areas'!L130*Coefficients!$G$21+Coefficients!$H$21)*$G134)))</f>
        <v>0</v>
      </c>
      <c r="J134" s="30">
        <f>IF('Peak Areas'!M130=0,0,((('Peak Areas'!M130*Coefficients!$G$20+Coefficients!$H$20)*$G134)))</f>
        <v>6.7481663119873955E-2</v>
      </c>
      <c r="K134" s="30">
        <f>IF('Peak Areas'!N130=0,0,((('Peak Areas'!N130*Coefficients!$G$41+Coefficients!$H$41)*$G134)))</f>
        <v>5.494438759317035E-2</v>
      </c>
      <c r="L134" s="30">
        <f>IF('Peak Areas'!O130=0,0,((('Peak Areas'!O130*Coefficients!$G$10+Coefficients!$H$10)*$G134)))</f>
        <v>0</v>
      </c>
      <c r="M134" s="30">
        <f>IF('Peak Areas'!P130=0,0,((('Peak Areas'!P130*Coefficients!$G$32+Coefficients!$H$32)*$G134)))</f>
        <v>0.69223900758861256</v>
      </c>
      <c r="N134" s="30">
        <f>IF('Peak Areas'!Q130=0,0,((('Peak Areas'!Q130*Coefficients!$G$11+Coefficients!$H$11)*$G134)))</f>
        <v>0</v>
      </c>
      <c r="O134" s="30">
        <f>IF('Peak Areas'!R130=0,0,((('Peak Areas'!R130*Coefficients!$G$39+Coefficients!$H$39)*$G134)))</f>
        <v>8.9492362675740358E-2</v>
      </c>
      <c r="P134" s="30">
        <f>IF('Peak Areas'!S130=0,0,((('Peak Areas'!S130*Coefficients!$G$46+Coefficients!$H$46)*$G134)))</f>
        <v>0</v>
      </c>
      <c r="Q134" s="30">
        <f>IF('Peak Areas'!T130=0,0,((('Peak Areas'!T130*Coefficients!$G$51+Coefficients!$H$51)*$G134)))</f>
        <v>0.74166940986267282</v>
      </c>
      <c r="R134" s="30">
        <f>IF('Peak Areas'!U130=0,0,((('Peak Areas'!U130*Coefficients!$G$26+Coefficients!$H$26)*$G134)))</f>
        <v>0.30473454086131524</v>
      </c>
      <c r="S134" s="30">
        <f>IF('Peak Areas'!V130=0,0,((('Peak Areas'!V130*Coefficients!$G$13+Coefficients!$H$13)*$G134)))</f>
        <v>0.24023097188276468</v>
      </c>
      <c r="T134" s="30">
        <f>IF('Peak Areas'!W130=0,0,((('Peak Areas'!W130*Coefficients!$G$12+Coefficients!$H$12)*$G134)))</f>
        <v>0.23723226481446802</v>
      </c>
      <c r="U134" s="30">
        <f>IF('Peak Areas'!X130=0,0,((('Peak Areas'!X130*Coefficients!$G$27+Coefficients!$H$27)*$G134)))</f>
        <v>2.1617337817459305E-2</v>
      </c>
      <c r="V134" s="30">
        <f>IF('Peak Areas'!Y130=0,0,((('Peak Areas'!Y130*Coefficients!$G$34+Coefficients!$H$34)*$G134)))</f>
        <v>0.45949475235395432</v>
      </c>
      <c r="W134" s="30">
        <f>IF('Peak Areas'!Z130=0,0,((('Peak Areas'!Z130*Coefficients!$G$52+Coefficients!$H$52)*$G134)))</f>
        <v>0.84220954666327641</v>
      </c>
      <c r="X134" s="30">
        <f>IF('Peak Areas'!AA130=0,0,((('Peak Areas'!AA130*Coefficients!$G$33+Coefficients!$H$33)*$G134)))</f>
        <v>8.748137607623388E-2</v>
      </c>
      <c r="Y134" s="30">
        <f>IF('Peak Areas'!AC130=0,0,((('Peak Areas'!AC130*Coefficients!$G$19+Coefficients!$H$19)*$G134)))</f>
        <v>0.36997692345773514</v>
      </c>
      <c r="Z134" s="30">
        <f>IF('Peak Areas'!AD130=0,0,((('Peak Areas'!AD130*Coefficients!$G$18+Coefficients!$H$18)*$G134)))</f>
        <v>0.17097046935782867</v>
      </c>
      <c r="AA134" s="30">
        <f>IF('Peak Areas'!AE130=0,0,((('Peak Areas'!AE130*Coefficients!$G$18+Coefficients!$H$18)*$G134)))</f>
        <v>6.0008697900969707</v>
      </c>
      <c r="AB134" s="30">
        <f>IF('Peak Areas'!AF130=0,0,((('Peak Areas'!AF130*Coefficients!$G$18+Coefficients!$H$18)*$G134)))</f>
        <v>0.6188743622027767</v>
      </c>
      <c r="AC134" s="30">
        <f>IF('Peak Areas'!AG130=0,0,((('Peak Areas'!AG130*Coefficients!$G$7+Coefficients!$H$7)*$G134)))</f>
        <v>0</v>
      </c>
      <c r="AD134" s="30">
        <f>IF('Peak Areas'!AH130=0,0,((('Peak Areas'!AH130*Coefficients!$G$6+Coefficients!$H$6)*$G134)))</f>
        <v>1.1105897083655696</v>
      </c>
      <c r="AF134" s="30">
        <f>IF('Peak Areas'!K130=0,0,((('Peak Areas'!K130*Coefficients!$G$22+Coefficients!$H$22)*$G134)))</f>
        <v>3.2512640812638875E-2</v>
      </c>
      <c r="AG134" s="30">
        <f t="shared" si="2"/>
        <v>6.0333824309096098</v>
      </c>
      <c r="AH134" s="30">
        <f t="shared" si="3"/>
        <v>6.8232272624702155</v>
      </c>
    </row>
    <row r="135" spans="1:34" x14ac:dyDescent="0.25">
      <c r="A135" s="2">
        <f>'Peak Areas'!A131</f>
        <v>121</v>
      </c>
      <c r="B135" s="62">
        <f>'Peak Areas'!B131</f>
        <v>45856</v>
      </c>
      <c r="C135" s="2" t="str">
        <f>'Peak Areas'!C131</f>
        <v>D+P low nut</v>
      </c>
      <c r="D135" s="2">
        <f>'Peak Areas'!D131</f>
        <v>0</v>
      </c>
      <c r="E135" s="2">
        <f>'Peak Areas'!E131</f>
        <v>0</v>
      </c>
      <c r="F135" s="30">
        <f>'Peak Areas'!F131</f>
        <v>0.1</v>
      </c>
      <c r="G135" s="30">
        <f>((1/'Peak Areas'!$G131)*(('Peak Areas'!$H131+('Internal Standard'!$E$10/1000))/'Peak Areas'!$F131)*'Peak Areas'!$J131)*H135</f>
        <v>4.1957600167342214E-2</v>
      </c>
      <c r="H135" s="30">
        <f>(('Internal Standard'!$F$13*('Peak Areas'!G131/'Internal Standard'!$C$10))/'Peak Areas'!AB131)</f>
        <v>0.98723765099628735</v>
      </c>
      <c r="I135" s="30">
        <f>IF('Peak Areas'!L131=0,0,((('Peak Areas'!L131*Coefficients!$G$21+Coefficients!$H$21)*$G135)))</f>
        <v>4.8160241703335396E-2</v>
      </c>
      <c r="J135" s="30">
        <f>IF('Peak Areas'!M131=0,0,((('Peak Areas'!M131*Coefficients!$G$20+Coefficients!$H$20)*$G135)))</f>
        <v>0.31096399865390467</v>
      </c>
      <c r="K135" s="30">
        <f>IF('Peak Areas'!N131=0,0,((('Peak Areas'!N131*Coefficients!$G$41+Coefficients!$H$41)*$G135)))</f>
        <v>0.11550273257431823</v>
      </c>
      <c r="L135" s="30">
        <f>IF('Peak Areas'!O131=0,0,((('Peak Areas'!O131*Coefficients!$G$10+Coefficients!$H$10)*$G135)))</f>
        <v>0</v>
      </c>
      <c r="M135" s="30">
        <f>IF('Peak Areas'!P131=0,0,((('Peak Areas'!P131*Coefficients!$G$32+Coefficients!$H$32)*$G135)))</f>
        <v>1.4705691420287805</v>
      </c>
      <c r="N135" s="30">
        <f>IF('Peak Areas'!Q131=0,0,((('Peak Areas'!Q131*Coefficients!$G$11+Coefficients!$H$11)*$G135)))</f>
        <v>0</v>
      </c>
      <c r="O135" s="30">
        <f>IF('Peak Areas'!R131=0,0,((('Peak Areas'!R131*Coefficients!$G$39+Coefficients!$H$39)*$G135)))</f>
        <v>0.46940400645024571</v>
      </c>
      <c r="P135" s="30">
        <f>IF('Peak Areas'!S131=0,0,((('Peak Areas'!S131*Coefficients!$G$46+Coefficients!$H$46)*$G135)))</f>
        <v>0</v>
      </c>
      <c r="Q135" s="30">
        <f>IF('Peak Areas'!T131=0,0,((('Peak Areas'!T131*Coefficients!$G$51+Coefficients!$H$51)*$G135)))</f>
        <v>0.9465054908410061</v>
      </c>
      <c r="R135" s="30">
        <f>IF('Peak Areas'!U131=0,0,((('Peak Areas'!U131*Coefficients!$G$26+Coefficients!$H$26)*$G135)))</f>
        <v>0.41896525078107993</v>
      </c>
      <c r="S135" s="30">
        <f>IF('Peak Areas'!V131=0,0,((('Peak Areas'!V131*Coefficients!$G$13+Coefficients!$H$13)*$G135)))</f>
        <v>0.25097327591355895</v>
      </c>
      <c r="T135" s="30">
        <f>IF('Peak Areas'!W131=0,0,((('Peak Areas'!W131*Coefficients!$G$12+Coefficients!$H$12)*$G135)))</f>
        <v>0.45072693856963592</v>
      </c>
      <c r="U135" s="30">
        <f>IF('Peak Areas'!X131=0,0,((('Peak Areas'!X131*Coefficients!$G$27+Coefficients!$H$27)*$G135)))</f>
        <v>3.6126984838311303E-2</v>
      </c>
      <c r="V135" s="30">
        <f>IF('Peak Areas'!Y131=0,0,((('Peak Areas'!Y131*Coefficients!$G$34+Coefficients!$H$34)*$G135)))</f>
        <v>1.3270657257381742</v>
      </c>
      <c r="W135" s="30">
        <f>IF('Peak Areas'!Z131=0,0,((('Peak Areas'!Z131*Coefficients!$G$52+Coefficients!$H$52)*$G135)))</f>
        <v>1.5164310726604726</v>
      </c>
      <c r="X135" s="30">
        <f>IF('Peak Areas'!AA131=0,0,((('Peak Areas'!AA131*Coefficients!$G$33+Coefficients!$H$33)*$G135)))</f>
        <v>0.12089751070758253</v>
      </c>
      <c r="Y135" s="30">
        <f>IF('Peak Areas'!AC131=0,0,((('Peak Areas'!AC131*Coefficients!$G$19+Coefficients!$H$19)*$G135)))</f>
        <v>1.4048830309824742</v>
      </c>
      <c r="Z135" s="30">
        <f>IF('Peak Areas'!AD131=0,0,((('Peak Areas'!AD131*Coefficients!$G$18+Coefficients!$H$18)*$G135)))</f>
        <v>0.27195708049586403</v>
      </c>
      <c r="AA135" s="30">
        <f>IF('Peak Areas'!AE131=0,0,((('Peak Areas'!AE131*Coefficients!$G$18+Coefficients!$H$18)*$G135)))</f>
        <v>13.850154103874987</v>
      </c>
      <c r="AB135" s="30">
        <f>IF('Peak Areas'!AF131=0,0,((('Peak Areas'!AF131*Coefficients!$G$18+Coefficients!$H$18)*$G135)))</f>
        <v>1.1248701445406326</v>
      </c>
      <c r="AC135" s="30">
        <f>IF('Peak Areas'!AG131=0,0,((('Peak Areas'!AG131*Coefficients!$G$7+Coefficients!$H$7)*$G135)))</f>
        <v>0.19039511979683268</v>
      </c>
      <c r="AD135" s="30">
        <f>IF('Peak Areas'!AH131=0,0,((('Peak Areas'!AH131*Coefficients!$G$6+Coefficients!$H$6)*$G135)))</f>
        <v>2.0456794983849025</v>
      </c>
      <c r="AF135" s="30">
        <f>IF('Peak Areas'!K131=0,0,((('Peak Areas'!K131*Coefficients!$G$22+Coefficients!$H$22)*$G135)))</f>
        <v>0.15720042055363911</v>
      </c>
      <c r="AG135" s="30">
        <f t="shared" si="2"/>
        <v>14.007354524428626</v>
      </c>
      <c r="AH135" s="30">
        <f t="shared" si="3"/>
        <v>15.404181749465124</v>
      </c>
    </row>
    <row r="136" spans="1:34" x14ac:dyDescent="0.25">
      <c r="A136" s="2">
        <f>'Peak Areas'!A132</f>
        <v>122</v>
      </c>
      <c r="B136" s="62">
        <f>'Peak Areas'!B132</f>
        <v>45856</v>
      </c>
      <c r="C136" s="2" t="str">
        <f>'Peak Areas'!C132</f>
        <v>D+P low nut</v>
      </c>
      <c r="D136" s="2">
        <f>'Peak Areas'!D132</f>
        <v>0</v>
      </c>
      <c r="E136" s="2">
        <f>'Peak Areas'!E132</f>
        <v>0</v>
      </c>
      <c r="F136" s="30">
        <f>'Peak Areas'!F132</f>
        <v>0.1</v>
      </c>
      <c r="G136" s="30">
        <f>((1/'Peak Areas'!$G132)*(('Peak Areas'!$H132+('Internal Standard'!$E$10/1000))/'Peak Areas'!$F132)*'Peak Areas'!$J132)*H136</f>
        <v>4.0724981398809527E-2</v>
      </c>
      <c r="H136" s="30">
        <f>(('Internal Standard'!$F$13*('Peak Areas'!G132/'Internal Standard'!$C$10))/'Peak Areas'!AB132)</f>
        <v>0.958234856442577</v>
      </c>
      <c r="I136" s="30">
        <f>IF('Peak Areas'!L132=0,0,((('Peak Areas'!L132*Coefficients!$G$21+Coefficients!$H$21)*$G136)))</f>
        <v>7.006546395183734E-2</v>
      </c>
      <c r="J136" s="30">
        <f>IF('Peak Areas'!M132=0,0,((('Peak Areas'!M132*Coefficients!$G$20+Coefficients!$H$20)*$G136)))</f>
        <v>0.38947232319746322</v>
      </c>
      <c r="K136" s="30">
        <f>IF('Peak Areas'!N132=0,0,((('Peak Areas'!N132*Coefficients!$G$41+Coefficients!$H$41)*$G136)))</f>
        <v>0.12821802774944197</v>
      </c>
      <c r="L136" s="30">
        <f>IF('Peak Areas'!O132=0,0,((('Peak Areas'!O132*Coefficients!$G$10+Coefficients!$H$10)*$G136)))</f>
        <v>0</v>
      </c>
      <c r="M136" s="30">
        <f>IF('Peak Areas'!P132=0,0,((('Peak Areas'!P132*Coefficients!$G$32+Coefficients!$H$32)*$G136)))</f>
        <v>1.5265253295106609</v>
      </c>
      <c r="N136" s="30">
        <f>IF('Peak Areas'!Q132=0,0,((('Peak Areas'!Q132*Coefficients!$G$11+Coefficients!$H$11)*$G136)))</f>
        <v>0</v>
      </c>
      <c r="O136" s="30">
        <f>IF('Peak Areas'!R132=0,0,((('Peak Areas'!R132*Coefficients!$G$39+Coefficients!$H$39)*$G136)))</f>
        <v>0.48315356136235771</v>
      </c>
      <c r="P136" s="30">
        <f>IF('Peak Areas'!S132=0,0,((('Peak Areas'!S132*Coefficients!$G$46+Coefficients!$H$46)*$G136)))</f>
        <v>0</v>
      </c>
      <c r="Q136" s="30">
        <f>IF('Peak Areas'!T132=0,0,((('Peak Areas'!T132*Coefficients!$G$51+Coefficients!$H$51)*$G136)))</f>
        <v>0.96045725672173354</v>
      </c>
      <c r="R136" s="30">
        <f>IF('Peak Areas'!U132=0,0,((('Peak Areas'!U132*Coefficients!$G$26+Coefficients!$H$26)*$G136)))</f>
        <v>0.43487311365765413</v>
      </c>
      <c r="S136" s="30">
        <f>IF('Peak Areas'!V132=0,0,((('Peak Areas'!V132*Coefficients!$G$13+Coefficients!$H$13)*$G136)))</f>
        <v>0.25627012475175504</v>
      </c>
      <c r="T136" s="30">
        <f>IF('Peak Areas'!W132=0,0,((('Peak Areas'!W132*Coefficients!$G$12+Coefficients!$H$12)*$G136)))</f>
        <v>0.43445185414707105</v>
      </c>
      <c r="U136" s="30">
        <f>IF('Peak Areas'!X132=0,0,((('Peak Areas'!X132*Coefficients!$G$27+Coefficients!$H$27)*$G136)))</f>
        <v>2.8787592269887696E-2</v>
      </c>
      <c r="V136" s="30">
        <f>IF('Peak Areas'!Y132=0,0,((('Peak Areas'!Y132*Coefficients!$G$34+Coefficients!$H$34)*$G136)))</f>
        <v>1.4710176913633339</v>
      </c>
      <c r="W136" s="30">
        <f>IF('Peak Areas'!Z132=0,0,((('Peak Areas'!Z132*Coefficients!$G$52+Coefficients!$H$52)*$G136)))</f>
        <v>1.599399173140839</v>
      </c>
      <c r="X136" s="30">
        <f>IF('Peak Areas'!AA132=0,0,((('Peak Areas'!AA132*Coefficients!$G$33+Coefficients!$H$33)*$G136)))</f>
        <v>0.13496696960861213</v>
      </c>
      <c r="Y136" s="30">
        <f>IF('Peak Areas'!AC132=0,0,((('Peak Areas'!AC132*Coefficients!$G$19+Coefficients!$H$19)*$G136)))</f>
        <v>1.5551100435571292</v>
      </c>
      <c r="Z136" s="30">
        <f>IF('Peak Areas'!AD132=0,0,((('Peak Areas'!AD132*Coefficients!$G$18+Coefficients!$H$18)*$G136)))</f>
        <v>0.30251986354864219</v>
      </c>
      <c r="AA136" s="30">
        <f>IF('Peak Areas'!AE132=0,0,((('Peak Areas'!AE132*Coefficients!$G$18+Coefficients!$H$18)*$G136)))</f>
        <v>15.333115423653741</v>
      </c>
      <c r="AB136" s="30">
        <f>IF('Peak Areas'!AF132=0,0,((('Peak Areas'!AF132*Coefficients!$G$18+Coefficients!$H$18)*$G136)))</f>
        <v>1.2378952110746839</v>
      </c>
      <c r="AC136" s="30">
        <f>IF('Peak Areas'!AG132=0,0,((('Peak Areas'!AG132*Coefficients!$G$7+Coefficients!$H$7)*$G136)))</f>
        <v>0.21211864279026227</v>
      </c>
      <c r="AD136" s="30">
        <f>IF('Peak Areas'!AH132=0,0,((('Peak Areas'!AH132*Coefficients!$G$6+Coefficients!$H$6)*$G136)))</f>
        <v>2.2383807235223494</v>
      </c>
      <c r="AF136" s="30">
        <f>IF('Peak Areas'!K132=0,0,((('Peak Areas'!K132*Coefficients!$G$22+Coefficients!$H$22)*$G136)))</f>
        <v>0.17718152776013044</v>
      </c>
      <c r="AG136" s="30">
        <f t="shared" si="2"/>
        <v>15.510296951413871</v>
      </c>
      <c r="AH136" s="30">
        <f t="shared" si="3"/>
        <v>17.050712026037196</v>
      </c>
    </row>
    <row r="137" spans="1:34" x14ac:dyDescent="0.25">
      <c r="A137" s="2">
        <f>'Peak Areas'!A133</f>
        <v>123</v>
      </c>
      <c r="B137" s="62">
        <f>'Peak Areas'!B133</f>
        <v>45856</v>
      </c>
      <c r="C137" s="2" t="str">
        <f>'Peak Areas'!C133</f>
        <v>D+P high nut</v>
      </c>
      <c r="D137" s="2">
        <f>'Peak Areas'!D133</f>
        <v>0</v>
      </c>
      <c r="E137" s="2">
        <f>'Peak Areas'!E133</f>
        <v>0</v>
      </c>
      <c r="F137" s="30">
        <f>'Peak Areas'!F133</f>
        <v>0.1</v>
      </c>
      <c r="G137" s="30">
        <f>((1/'Peak Areas'!$G133)*(('Peak Areas'!$H133+('Internal Standard'!$E$10/1000))/'Peak Areas'!$F133)*'Peak Areas'!$J133)*H137</f>
        <v>3.8053075605317392E-2</v>
      </c>
      <c r="H137" s="30">
        <f>(('Internal Standard'!$F$13*('Peak Areas'!G133/'Internal Standard'!$C$10))/'Peak Areas'!AB133)</f>
        <v>0.89536648483099734</v>
      </c>
      <c r="I137" s="30">
        <f>IF('Peak Areas'!L133=0,0,((('Peak Areas'!L133*Coefficients!$G$21+Coefficients!$H$21)*$G137)))</f>
        <v>0</v>
      </c>
      <c r="J137" s="30">
        <f>IF('Peak Areas'!M133=0,0,((('Peak Areas'!M133*Coefficients!$G$20+Coefficients!$H$20)*$G137)))</f>
        <v>0.18347761255879028</v>
      </c>
      <c r="K137" s="30">
        <f>IF('Peak Areas'!N133=0,0,((('Peak Areas'!N133*Coefficients!$G$41+Coefficients!$H$41)*$G137)))</f>
        <v>7.4017136602324035E-2</v>
      </c>
      <c r="L137" s="30">
        <f>IF('Peak Areas'!O133=0,0,((('Peak Areas'!O133*Coefficients!$G$10+Coefficients!$H$10)*$G137)))</f>
        <v>0</v>
      </c>
      <c r="M137" s="30">
        <f>IF('Peak Areas'!P133=0,0,((('Peak Areas'!P133*Coefficients!$G$32+Coefficients!$H$32)*$G137)))</f>
        <v>0.9377703835052339</v>
      </c>
      <c r="N137" s="30">
        <f>IF('Peak Areas'!Q133=0,0,((('Peak Areas'!Q133*Coefficients!$G$11+Coefficients!$H$11)*$G137)))</f>
        <v>0</v>
      </c>
      <c r="O137" s="30">
        <f>IF('Peak Areas'!R133=0,0,((('Peak Areas'!R133*Coefficients!$G$39+Coefficients!$H$39)*$G137)))</f>
        <v>0.26976543677411474</v>
      </c>
      <c r="P137" s="30">
        <f>IF('Peak Areas'!S133=0,0,((('Peak Areas'!S133*Coefficients!$G$46+Coefficients!$H$46)*$G137)))</f>
        <v>0</v>
      </c>
      <c r="Q137" s="30">
        <f>IF('Peak Areas'!T133=0,0,((('Peak Areas'!T133*Coefficients!$G$51+Coefficients!$H$51)*$G137)))</f>
        <v>0.67181431727713492</v>
      </c>
      <c r="R137" s="30">
        <f>IF('Peak Areas'!U133=0,0,((('Peak Areas'!U133*Coefficients!$G$26+Coefficients!$H$26)*$G137)))</f>
        <v>0.30188060173551312</v>
      </c>
      <c r="S137" s="30">
        <f>IF('Peak Areas'!V133=0,0,((('Peak Areas'!V133*Coefficients!$G$13+Coefficients!$H$13)*$G137)))</f>
        <v>0.18046755331433834</v>
      </c>
      <c r="T137" s="30">
        <f>IF('Peak Areas'!W133=0,0,((('Peak Areas'!W133*Coefficients!$G$12+Coefficients!$H$12)*$G137)))</f>
        <v>0.28424521989285173</v>
      </c>
      <c r="U137" s="30">
        <f>IF('Peak Areas'!X133=0,0,((('Peak Areas'!X133*Coefficients!$G$27+Coefficients!$H$27)*$G137)))</f>
        <v>2.2224945051666282E-2</v>
      </c>
      <c r="V137" s="30">
        <f>IF('Peak Areas'!Y133=0,0,((('Peak Areas'!Y133*Coefficients!$G$34+Coefficients!$H$34)*$G137)))</f>
        <v>0.92313728785184745</v>
      </c>
      <c r="W137" s="30">
        <f>IF('Peak Areas'!Z133=0,0,((('Peak Areas'!Z133*Coefficients!$G$52+Coefficients!$H$52)*$G137)))</f>
        <v>1.0131855948010469</v>
      </c>
      <c r="X137" s="30">
        <f>IF('Peak Areas'!AA133=0,0,((('Peak Areas'!AA133*Coefficients!$G$33+Coefficients!$H$33)*$G137)))</f>
        <v>0.13122417512452839</v>
      </c>
      <c r="Y137" s="30">
        <f>IF('Peak Areas'!AC133=0,0,((('Peak Areas'!AC133*Coefficients!$G$19+Coefficients!$H$19)*$G137)))</f>
        <v>0.95425216856791084</v>
      </c>
      <c r="Z137" s="30">
        <f>IF('Peak Areas'!AD133=0,0,((('Peak Areas'!AD133*Coefficients!$G$18+Coefficients!$H$18)*$G137)))</f>
        <v>0.14923547120158656</v>
      </c>
      <c r="AA137" s="30">
        <f>IF('Peak Areas'!AE133=0,0,((('Peak Areas'!AE133*Coefficients!$G$18+Coefficients!$H$18)*$G137)))</f>
        <v>9.4178892402447616</v>
      </c>
      <c r="AB137" s="30">
        <f>IF('Peak Areas'!AF133=0,0,((('Peak Areas'!AF133*Coefficients!$G$18+Coefficients!$H$18)*$G137)))</f>
        <v>0.81215278911246647</v>
      </c>
      <c r="AC137" s="30">
        <f>IF('Peak Areas'!AG133=0,0,((('Peak Areas'!AG133*Coefficients!$G$7+Coefficients!$H$7)*$G137)))</f>
        <v>0.18059662529337792</v>
      </c>
      <c r="AD137" s="30">
        <f>IF('Peak Areas'!AH133=0,0,((('Peak Areas'!AH133*Coefficients!$G$6+Coefficients!$H$6)*$G137)))</f>
        <v>1.6022065596614834</v>
      </c>
      <c r="AF137" s="30">
        <f>IF('Peak Areas'!K133=0,0,((('Peak Areas'!K133*Coefficients!$G$22+Coefficients!$H$22)*$G137)))</f>
        <v>3.9901226912154281E-2</v>
      </c>
      <c r="AG137" s="30">
        <f t="shared" si="2"/>
        <v>9.4577904671569151</v>
      </c>
      <c r="AH137" s="30">
        <f t="shared" si="3"/>
        <v>10.419178727470969</v>
      </c>
    </row>
    <row r="138" spans="1:34" x14ac:dyDescent="0.25">
      <c r="A138" s="2">
        <f>'Peak Areas'!A134</f>
        <v>124</v>
      </c>
      <c r="B138" s="62">
        <f>'Peak Areas'!B134</f>
        <v>45856</v>
      </c>
      <c r="C138" s="2" t="str">
        <f>'Peak Areas'!C134</f>
        <v>D+P high nut</v>
      </c>
      <c r="D138" s="2">
        <f>'Peak Areas'!D134</f>
        <v>0</v>
      </c>
      <c r="E138" s="2">
        <f>'Peak Areas'!E134</f>
        <v>0</v>
      </c>
      <c r="F138" s="30">
        <f>'Peak Areas'!F134</f>
        <v>0.1</v>
      </c>
      <c r="G138" s="30">
        <f>((1/'Peak Areas'!$G134)*(('Peak Areas'!$H134+('Internal Standard'!$E$10/1000))/'Peak Areas'!$F134)*'Peak Areas'!$J134)*H138</f>
        <v>3.7224586442101894E-2</v>
      </c>
      <c r="H138" s="30">
        <f>(('Internal Standard'!$F$13*('Peak Areas'!G134/'Internal Standard'!$C$10))/'Peak Areas'!AB134)</f>
        <v>0.87587262216710338</v>
      </c>
      <c r="I138" s="30">
        <f>IF('Peak Areas'!L134=0,0,((('Peak Areas'!L134*Coefficients!$G$21+Coefficients!$H$21)*$G138)))</f>
        <v>0</v>
      </c>
      <c r="J138" s="30">
        <f>IF('Peak Areas'!M134=0,0,((('Peak Areas'!M134*Coefficients!$G$20+Coefficients!$H$20)*$G138)))</f>
        <v>0.20047119811156003</v>
      </c>
      <c r="K138" s="30">
        <f>IF('Peak Areas'!N134=0,0,((('Peak Areas'!N134*Coefficients!$G$41+Coefficients!$H$41)*$G138)))</f>
        <v>9.8217747177077291E-2</v>
      </c>
      <c r="L138" s="30">
        <f>IF('Peak Areas'!O134=0,0,((('Peak Areas'!O134*Coefficients!$G$10+Coefficients!$H$10)*$G138)))</f>
        <v>0</v>
      </c>
      <c r="M138" s="30">
        <f>IF('Peak Areas'!P134=0,0,((('Peak Areas'!P134*Coefficients!$G$32+Coefficients!$H$32)*$G138)))</f>
        <v>0.92727730776671669</v>
      </c>
      <c r="N138" s="30">
        <f>IF('Peak Areas'!Q134=0,0,((('Peak Areas'!Q134*Coefficients!$G$11+Coefficients!$H$11)*$G138)))</f>
        <v>0</v>
      </c>
      <c r="O138" s="30">
        <f>IF('Peak Areas'!R134=0,0,((('Peak Areas'!R134*Coefficients!$G$39+Coefficients!$H$39)*$G138)))</f>
        <v>0.2645163754061306</v>
      </c>
      <c r="P138" s="30">
        <f>IF('Peak Areas'!S134=0,0,((('Peak Areas'!S134*Coefficients!$G$46+Coefficients!$H$46)*$G138)))</f>
        <v>0</v>
      </c>
      <c r="Q138" s="30">
        <f>IF('Peak Areas'!T134=0,0,((('Peak Areas'!T134*Coefficients!$G$51+Coefficients!$H$51)*$G138)))</f>
        <v>0.78479433390393494</v>
      </c>
      <c r="R138" s="30">
        <f>IF('Peak Areas'!U134=0,0,((('Peak Areas'!U134*Coefficients!$G$26+Coefficients!$H$26)*$G138)))</f>
        <v>0.33157808567691927</v>
      </c>
      <c r="S138" s="30">
        <f>IF('Peak Areas'!V134=0,0,((('Peak Areas'!V134*Coefficients!$G$13+Coefficients!$H$13)*$G138)))</f>
        <v>0.19264342038710258</v>
      </c>
      <c r="T138" s="30">
        <f>IF('Peak Areas'!W134=0,0,((('Peak Areas'!W134*Coefficients!$G$12+Coefficients!$H$12)*$G138)))</f>
        <v>0.32774432814231497</v>
      </c>
      <c r="U138" s="30">
        <f>IF('Peak Areas'!X134=0,0,((('Peak Areas'!X134*Coefficients!$G$27+Coefficients!$H$27)*$G138)))</f>
        <v>0</v>
      </c>
      <c r="V138" s="30">
        <f>IF('Peak Areas'!Y134=0,0,((('Peak Areas'!Y134*Coefficients!$G$34+Coefficients!$H$34)*$G138)))</f>
        <v>4.4721673223827869E-2</v>
      </c>
      <c r="W138" s="30">
        <f>IF('Peak Areas'!Z134=0,0,((('Peak Areas'!Z134*Coefficients!$G$52+Coefficients!$H$52)*$G138)))</f>
        <v>1.0006548373460338</v>
      </c>
      <c r="X138" s="30">
        <f>IF('Peak Areas'!AA134=0,0,((('Peak Areas'!AA134*Coefficients!$G$33+Coefficients!$H$33)*$G138)))</f>
        <v>0.1511438146749938</v>
      </c>
      <c r="Y138" s="30">
        <f>IF('Peak Areas'!AC134=0,0,((('Peak Areas'!AC134*Coefficients!$G$19+Coefficients!$H$19)*$G138)))</f>
        <v>0.93373081642791866</v>
      </c>
      <c r="Z138" s="30">
        <f>IF('Peak Areas'!AD134=0,0,((('Peak Areas'!AD134*Coefficients!$G$18+Coefficients!$H$18)*$G138)))</f>
        <v>0.13128143054390115</v>
      </c>
      <c r="AA138" s="30">
        <f>IF('Peak Areas'!AE134=0,0,((('Peak Areas'!AE134*Coefficients!$G$18+Coefficients!$H$18)*$G138)))</f>
        <v>9.3432186208326673</v>
      </c>
      <c r="AB138" s="30">
        <f>IF('Peak Areas'!AF134=0,0,((('Peak Areas'!AF134*Coefficients!$G$18+Coefficients!$H$18)*$G138)))</f>
        <v>0.8045499882814845</v>
      </c>
      <c r="AC138" s="30">
        <f>IF('Peak Areas'!AG134=0,0,((('Peak Areas'!AG134*Coefficients!$G$7+Coefficients!$H$7)*$G138)))</f>
        <v>0</v>
      </c>
      <c r="AD138" s="30">
        <f>IF('Peak Areas'!AH134=0,0,((('Peak Areas'!AH134*Coefficients!$G$6+Coefficients!$H$6)*$G138)))</f>
        <v>1.419529338311091</v>
      </c>
      <c r="AF138" s="30">
        <f>IF('Peak Areas'!K134=0,0,((('Peak Areas'!K134*Coefficients!$G$22+Coefficients!$H$22)*$G138)))</f>
        <v>0.11743561911421575</v>
      </c>
      <c r="AG138" s="30">
        <f t="shared" si="2"/>
        <v>9.4606542399468836</v>
      </c>
      <c r="AH138" s="30">
        <f t="shared" si="3"/>
        <v>10.396485658772269</v>
      </c>
    </row>
    <row r="139" spans="1:34" x14ac:dyDescent="0.25">
      <c r="A139" s="2">
        <f>'Peak Areas'!A135</f>
        <v>125</v>
      </c>
      <c r="B139" s="62">
        <f>'Peak Areas'!B135</f>
        <v>45856</v>
      </c>
      <c r="C139" s="2" t="str">
        <f>'Peak Areas'!C135</f>
        <v>D+Q low</v>
      </c>
      <c r="D139" s="2">
        <f>'Peak Areas'!D135</f>
        <v>0</v>
      </c>
      <c r="E139" s="2">
        <f>'Peak Areas'!E135</f>
        <v>0</v>
      </c>
      <c r="F139" s="30">
        <f>'Peak Areas'!F135</f>
        <v>0.1</v>
      </c>
      <c r="G139" s="30">
        <f>((1/'Peak Areas'!$G135)*(('Peak Areas'!$H135+('Internal Standard'!$E$10/1000))/'Peak Areas'!$F135)*'Peak Areas'!$J135)*H139</f>
        <v>4.1058530041208761E-2</v>
      </c>
      <c r="H139" s="30">
        <f>(('Internal Standard'!$F$13*('Peak Areas'!G135/'Internal Standard'!$C$10))/'Peak Areas'!AB135)</f>
        <v>0.96608305979314724</v>
      </c>
      <c r="I139" s="30">
        <f>IF('Peak Areas'!L135=0,0,((('Peak Areas'!L135*Coefficients!$G$21+Coefficients!$H$21)*$G139)))</f>
        <v>0</v>
      </c>
      <c r="J139" s="30">
        <f>IF('Peak Areas'!M135=0,0,((('Peak Areas'!M135*Coefficients!$G$20+Coefficients!$H$20)*$G139)))</f>
        <v>0.11848267894831561</v>
      </c>
      <c r="K139" s="30">
        <f>IF('Peak Areas'!N135=0,0,((('Peak Areas'!N135*Coefficients!$G$41+Coefficients!$H$41)*$G139)))</f>
        <v>0.1040385091629223</v>
      </c>
      <c r="L139" s="30">
        <f>IF('Peak Areas'!O135=0,0,((('Peak Areas'!O135*Coefficients!$G$10+Coefficients!$H$10)*$G139)))</f>
        <v>0</v>
      </c>
      <c r="M139" s="30">
        <f>IF('Peak Areas'!P135=0,0,((('Peak Areas'!P135*Coefficients!$G$32+Coefficients!$H$32)*$G139)))</f>
        <v>0.73078289205213487</v>
      </c>
      <c r="N139" s="30">
        <f>IF('Peak Areas'!Q135=0,0,((('Peak Areas'!Q135*Coefficients!$G$11+Coefficients!$H$11)*$G139)))</f>
        <v>0</v>
      </c>
      <c r="O139" s="30">
        <f>IF('Peak Areas'!R135=0,0,((('Peak Areas'!R135*Coefficients!$G$39+Coefficients!$H$39)*$G139)))</f>
        <v>0.16483116795587319</v>
      </c>
      <c r="P139" s="30">
        <f>IF('Peak Areas'!S135=0,0,((('Peak Areas'!S135*Coefficients!$G$46+Coefficients!$H$46)*$G139)))</f>
        <v>0</v>
      </c>
      <c r="Q139" s="30">
        <f>IF('Peak Areas'!T135=0,0,((('Peak Areas'!T135*Coefficients!$G$51+Coefficients!$H$51)*$G139)))</f>
        <v>0.69813645634128207</v>
      </c>
      <c r="R139" s="30">
        <f>IF('Peak Areas'!U135=0,0,((('Peak Areas'!U135*Coefficients!$G$26+Coefficients!$H$26)*$G139)))</f>
        <v>0.30546800217305908</v>
      </c>
      <c r="S139" s="30">
        <f>IF('Peak Areas'!V135=0,0,((('Peak Areas'!V135*Coefficients!$G$13+Coefficients!$H$13)*$G139)))</f>
        <v>0.22382982312518546</v>
      </c>
      <c r="T139" s="30">
        <f>IF('Peak Areas'!W135=0,0,((('Peak Areas'!W135*Coefficients!$G$12+Coefficients!$H$12)*$G139)))</f>
        <v>0.25783745364192184</v>
      </c>
      <c r="U139" s="30">
        <f>IF('Peak Areas'!X135=0,0,((('Peak Areas'!X135*Coefficients!$G$27+Coefficients!$H$27)*$G139)))</f>
        <v>3.7310636929762844E-2</v>
      </c>
      <c r="V139" s="30">
        <f>IF('Peak Areas'!Y135=0,0,((('Peak Areas'!Y135*Coefficients!$G$34+Coefficients!$H$34)*$G139)))</f>
        <v>0.54120167957039156</v>
      </c>
      <c r="W139" s="30">
        <f>IF('Peak Areas'!Z135=0,0,((('Peak Areas'!Z135*Coefficients!$G$52+Coefficients!$H$52)*$G139)))</f>
        <v>0.89471993525114824</v>
      </c>
      <c r="X139" s="30">
        <f>IF('Peak Areas'!AA135=0,0,((('Peak Areas'!AA135*Coefficients!$G$33+Coefficients!$H$33)*$G139)))</f>
        <v>0.12215780881537948</v>
      </c>
      <c r="Y139" s="30">
        <f>IF('Peak Areas'!AC135=0,0,((('Peak Areas'!AC135*Coefficients!$G$19+Coefficients!$H$19)*$G139)))</f>
        <v>0.42649356911789726</v>
      </c>
      <c r="Z139" s="30">
        <f>IF('Peak Areas'!AD135=0,0,((('Peak Areas'!AD135*Coefficients!$G$18+Coefficients!$H$18)*$G139)))</f>
        <v>0.17768974772458593</v>
      </c>
      <c r="AA139" s="30">
        <f>IF('Peak Areas'!AE135=0,0,((('Peak Areas'!AE135*Coefficients!$G$18+Coefficients!$H$18)*$G139)))</f>
        <v>6.440852609392552</v>
      </c>
      <c r="AB139" s="30">
        <f>IF('Peak Areas'!AF135=0,0,((('Peak Areas'!AF135*Coefficients!$G$18+Coefficients!$H$18)*$G139)))</f>
        <v>0.63715968710709503</v>
      </c>
      <c r="AC139" s="30">
        <f>IF('Peak Areas'!AG135=0,0,((('Peak Areas'!AG135*Coefficients!$G$7+Coefficients!$H$7)*$G139)))</f>
        <v>0</v>
      </c>
      <c r="AD139" s="30">
        <f>IF('Peak Areas'!AH135=0,0,((('Peak Areas'!AH135*Coefficients!$G$6+Coefficients!$H$6)*$G139)))</f>
        <v>1.251152842454768</v>
      </c>
      <c r="AF139" s="30">
        <f>IF('Peak Areas'!K135=0,0,((('Peak Areas'!K135*Coefficients!$G$22+Coefficients!$H$22)*$G139)))</f>
        <v>3.613080974527192E-2</v>
      </c>
      <c r="AG139" s="30">
        <f t="shared" si="2"/>
        <v>6.4769834191378237</v>
      </c>
      <c r="AH139" s="30">
        <f t="shared" si="3"/>
        <v>7.2918328539695052</v>
      </c>
    </row>
    <row r="140" spans="1:34" x14ac:dyDescent="0.25">
      <c r="A140" s="2">
        <f>'Peak Areas'!A136</f>
        <v>126</v>
      </c>
      <c r="B140" s="62">
        <f>'Peak Areas'!B136</f>
        <v>45856</v>
      </c>
      <c r="C140" s="2" t="str">
        <f>'Peak Areas'!C136</f>
        <v>D+Q low</v>
      </c>
      <c r="D140" s="2">
        <f>'Peak Areas'!D136</f>
        <v>0</v>
      </c>
      <c r="E140" s="2">
        <f>'Peak Areas'!E136</f>
        <v>0</v>
      </c>
      <c r="F140" s="30">
        <f>'Peak Areas'!F136</f>
        <v>0.1</v>
      </c>
      <c r="G140" s="30">
        <f>((1/'Peak Areas'!$G136)*(('Peak Areas'!$H136+('Internal Standard'!$E$10/1000))/'Peak Areas'!$F136)*'Peak Areas'!$J136)*H140</f>
        <v>4.0057013861982869E-2</v>
      </c>
      <c r="H140" s="30">
        <f>(('Internal Standard'!$F$13*('Peak Areas'!G136/'Internal Standard'!$C$10))/'Peak Areas'!AB136)</f>
        <v>0.94251797322312625</v>
      </c>
      <c r="I140" s="30">
        <f>IF('Peak Areas'!L136=0,0,((('Peak Areas'!L136*Coefficients!$G$21+Coefficients!$H$21)*$G140)))</f>
        <v>0</v>
      </c>
      <c r="J140" s="30">
        <f>IF('Peak Areas'!M136=0,0,((('Peak Areas'!M136*Coefficients!$G$20+Coefficients!$H$20)*$G140)))</f>
        <v>0.12952780165336877</v>
      </c>
      <c r="K140" s="30">
        <f>IF('Peak Areas'!N136=0,0,((('Peak Areas'!N136*Coefficients!$G$41+Coefficients!$H$41)*$G140)))</f>
        <v>0.14051385507506781</v>
      </c>
      <c r="L140" s="30">
        <f>IF('Peak Areas'!O136=0,0,((('Peak Areas'!O136*Coefficients!$G$10+Coefficients!$H$10)*$G140)))</f>
        <v>0</v>
      </c>
      <c r="M140" s="30">
        <f>IF('Peak Areas'!P136=0,0,((('Peak Areas'!P136*Coefficients!$G$32+Coefficients!$H$32)*$G140)))</f>
        <v>0.69768968664971054</v>
      </c>
      <c r="N140" s="30">
        <f>IF('Peak Areas'!Q136=0,0,((('Peak Areas'!Q136*Coefficients!$G$11+Coefficients!$H$11)*$G140)))</f>
        <v>0</v>
      </c>
      <c r="O140" s="30">
        <f>IF('Peak Areas'!R136=0,0,((('Peak Areas'!R136*Coefficients!$G$39+Coefficients!$H$39)*$G140)))</f>
        <v>0.17723120295972419</v>
      </c>
      <c r="P140" s="30">
        <f>IF('Peak Areas'!S136=0,0,((('Peak Areas'!S136*Coefficients!$G$46+Coefficients!$H$46)*$G140)))</f>
        <v>0</v>
      </c>
      <c r="Q140" s="30">
        <f>IF('Peak Areas'!T136=0,0,((('Peak Areas'!T136*Coefficients!$G$51+Coefficients!$H$51)*$G140)))</f>
        <v>0.63743721095324557</v>
      </c>
      <c r="R140" s="30">
        <f>IF('Peak Areas'!U136=0,0,((('Peak Areas'!U136*Coefficients!$G$26+Coefficients!$H$26)*$G140)))</f>
        <v>0.31700447406346216</v>
      </c>
      <c r="S140" s="30">
        <f>IF('Peak Areas'!V136=0,0,((('Peak Areas'!V136*Coefficients!$G$13+Coefficients!$H$13)*$G140)))</f>
        <v>0.24674023980470169</v>
      </c>
      <c r="T140" s="30">
        <f>IF('Peak Areas'!W136=0,0,((('Peak Areas'!W136*Coefficients!$G$12+Coefficients!$H$12)*$G140)))</f>
        <v>0.26705495816920916</v>
      </c>
      <c r="U140" s="30">
        <f>IF('Peak Areas'!X136=0,0,((('Peak Areas'!X136*Coefficients!$G$27+Coefficients!$H$27)*$G140)))</f>
        <v>4.1570617687693157E-2</v>
      </c>
      <c r="V140" s="30">
        <f>IF('Peak Areas'!Y136=0,0,((('Peak Areas'!Y136*Coefficients!$G$34+Coefficients!$H$34)*$G140)))</f>
        <v>0.51388313243611849</v>
      </c>
      <c r="W140" s="30">
        <f>IF('Peak Areas'!Z136=0,0,((('Peak Areas'!Z136*Coefficients!$G$52+Coefficients!$H$52)*$G140)))</f>
        <v>0.8913034308316311</v>
      </c>
      <c r="X140" s="30">
        <f>IF('Peak Areas'!AA136=0,0,((('Peak Areas'!AA136*Coefficients!$G$33+Coefficients!$H$33)*$G140)))</f>
        <v>0.11498459783929792</v>
      </c>
      <c r="Y140" s="30">
        <f>IF('Peak Areas'!AC136=0,0,((('Peak Areas'!AC136*Coefficients!$G$19+Coefficients!$H$19)*$G140)))</f>
        <v>0.40082300573009499</v>
      </c>
      <c r="Z140" s="30">
        <f>IF('Peak Areas'!AD136=0,0,((('Peak Areas'!AD136*Coefficients!$G$18+Coefficients!$H$18)*$G140)))</f>
        <v>0.15917963521271905</v>
      </c>
      <c r="AA140" s="30">
        <f>IF('Peak Areas'!AE136=0,0,((('Peak Areas'!AE136*Coefficients!$G$18+Coefficients!$H$18)*$G140)))</f>
        <v>6.1550860276786299</v>
      </c>
      <c r="AB140" s="30">
        <f>IF('Peak Areas'!AF136=0,0,((('Peak Areas'!AF136*Coefficients!$G$18+Coefficients!$H$18)*$G140)))</f>
        <v>0.64270501350413278</v>
      </c>
      <c r="AC140" s="30">
        <f>IF('Peak Areas'!AG136=0,0,((('Peak Areas'!AG136*Coefficients!$G$7+Coefficients!$H$7)*$G140)))</f>
        <v>0</v>
      </c>
      <c r="AD140" s="30">
        <f>IF('Peak Areas'!AH136=0,0,((('Peak Areas'!AH136*Coefficients!$G$6+Coefficients!$H$6)*$G140)))</f>
        <v>0.71137510131238912</v>
      </c>
      <c r="AF140" s="30">
        <f>IF('Peak Areas'!K136=0,0,((('Peak Areas'!K136*Coefficients!$G$22+Coefficients!$H$22)*$G140)))</f>
        <v>6.3054676409098079E-2</v>
      </c>
      <c r="AG140" s="30">
        <f t="shared" si="2"/>
        <v>6.2181407040877277</v>
      </c>
      <c r="AH140" s="30">
        <f t="shared" si="3"/>
        <v>7.0200253528045797</v>
      </c>
    </row>
    <row r="141" spans="1:34" x14ac:dyDescent="0.25">
      <c r="A141" s="2">
        <f>'Peak Areas'!A137</f>
        <v>127</v>
      </c>
      <c r="B141" s="62">
        <f>'Peak Areas'!B137</f>
        <v>45856</v>
      </c>
      <c r="C141" s="2" t="str">
        <f>'Peak Areas'!C137</f>
        <v>D+Q high</v>
      </c>
      <c r="D141" s="2">
        <f>'Peak Areas'!D137</f>
        <v>0</v>
      </c>
      <c r="E141" s="2">
        <f>'Peak Areas'!E137</f>
        <v>0</v>
      </c>
      <c r="F141" s="30">
        <f>'Peak Areas'!F137</f>
        <v>0.1</v>
      </c>
      <c r="G141" s="30">
        <f>((1/'Peak Areas'!$G137)*(('Peak Areas'!$H137+('Internal Standard'!$E$10/1000))/'Peak Areas'!$F137)*'Peak Areas'!$J137)*H141</f>
        <v>4.3885137259628615E-2</v>
      </c>
      <c r="H141" s="30">
        <f>(('Internal Standard'!$F$13*('Peak Areas'!G137/'Internal Standard'!$C$10))/'Peak Areas'!AB137)</f>
        <v>1.0325914649324379</v>
      </c>
      <c r="I141" s="30">
        <f>IF('Peak Areas'!L137=0,0,((('Peak Areas'!L137*Coefficients!$G$21+Coefficients!$H$21)*$G141)))</f>
        <v>0</v>
      </c>
      <c r="J141" s="30">
        <f>IF('Peak Areas'!M137=0,0,((('Peak Areas'!M137*Coefficients!$G$20+Coefficients!$H$20)*$G141)))</f>
        <v>0.10006230789571145</v>
      </c>
      <c r="K141" s="30">
        <f>IF('Peak Areas'!N137=0,0,((('Peak Areas'!N137*Coefficients!$G$41+Coefficients!$H$41)*$G141)))</f>
        <v>9.2030406313599683E-2</v>
      </c>
      <c r="L141" s="30">
        <f>IF('Peak Areas'!O137=0,0,((('Peak Areas'!O137*Coefficients!$G$10+Coefficients!$H$10)*$G141)))</f>
        <v>0</v>
      </c>
      <c r="M141" s="30">
        <f>IF('Peak Areas'!P137=0,0,((('Peak Areas'!P137*Coefficients!$G$32+Coefficients!$H$32)*$G141)))</f>
        <v>0.66601185400860285</v>
      </c>
      <c r="N141" s="30">
        <f>IF('Peak Areas'!Q137=0,0,((('Peak Areas'!Q137*Coefficients!$G$11+Coefficients!$H$11)*$G141)))</f>
        <v>0</v>
      </c>
      <c r="O141" s="30">
        <f>IF('Peak Areas'!R137=0,0,((('Peak Areas'!R137*Coefficients!$G$39+Coefficients!$H$39)*$G141)))</f>
        <v>8.5159171075290044E-2</v>
      </c>
      <c r="P141" s="30">
        <f>IF('Peak Areas'!S137=0,0,((('Peak Areas'!S137*Coefficients!$G$46+Coefficients!$H$46)*$G141)))</f>
        <v>0</v>
      </c>
      <c r="Q141" s="30">
        <f>IF('Peak Areas'!T137=0,0,((('Peak Areas'!T137*Coefficients!$G$51+Coefficients!$H$51)*$G141)))</f>
        <v>0.66590845060536452</v>
      </c>
      <c r="R141" s="30">
        <f>IF('Peak Areas'!U137=0,0,((('Peak Areas'!U137*Coefficients!$G$26+Coefficients!$H$26)*$G141)))</f>
        <v>0.30730653060027063</v>
      </c>
      <c r="S141" s="30">
        <f>IF('Peak Areas'!V137=0,0,((('Peak Areas'!V137*Coefficients!$G$13+Coefficients!$H$13)*$G141)))</f>
        <v>0.24683158603259303</v>
      </c>
      <c r="T141" s="30">
        <f>IF('Peak Areas'!W137=0,0,((('Peak Areas'!W137*Coefficients!$G$12+Coefficients!$H$12)*$G141)))</f>
        <v>0.25047068021834584</v>
      </c>
      <c r="U141" s="30">
        <f>IF('Peak Areas'!X137=0,0,((('Peak Areas'!X137*Coefficients!$G$27+Coefficients!$H$27)*$G141)))</f>
        <v>4.1248705523612976E-2</v>
      </c>
      <c r="V141" s="30">
        <f>IF('Peak Areas'!Y137=0,0,((('Peak Areas'!Y137*Coefficients!$G$34+Coefficients!$H$34)*$G141)))</f>
        <v>0.46474124411437168</v>
      </c>
      <c r="W141" s="30">
        <f>IF('Peak Areas'!Z137=0,0,((('Peak Areas'!Z137*Coefficients!$G$52+Coefficients!$H$52)*$G141)))</f>
        <v>0.87382142479482494</v>
      </c>
      <c r="X141" s="30">
        <f>IF('Peak Areas'!AA137=0,0,((('Peak Areas'!AA137*Coefficients!$G$33+Coefficients!$H$33)*$G141)))</f>
        <v>8.7667016289808455E-2</v>
      </c>
      <c r="Y141" s="30">
        <f>IF('Peak Areas'!AC137=0,0,((('Peak Areas'!AC137*Coefficients!$G$19+Coefficients!$H$19)*$G141)))</f>
        <v>0.3450123119710749</v>
      </c>
      <c r="Z141" s="30">
        <f>IF('Peak Areas'!AD137=0,0,((('Peak Areas'!AD137*Coefficients!$G$18+Coefficients!$H$18)*$G141)))</f>
        <v>0.16420402628025033</v>
      </c>
      <c r="AA141" s="30">
        <f>IF('Peak Areas'!AE137=0,0,((('Peak Areas'!AE137*Coefficients!$G$18+Coefficients!$H$18)*$G141)))</f>
        <v>5.7902138485020442</v>
      </c>
      <c r="AB141" s="30">
        <f>IF('Peak Areas'!AF137=0,0,((('Peak Areas'!AF137*Coefficients!$G$18+Coefficients!$H$18)*$G141)))</f>
        <v>0.61766727130011811</v>
      </c>
      <c r="AC141" s="30">
        <f>IF('Peak Areas'!AG137=0,0,((('Peak Areas'!AG137*Coefficients!$G$7+Coefficients!$H$7)*$G141)))</f>
        <v>0</v>
      </c>
      <c r="AD141" s="30">
        <f>IF('Peak Areas'!AH137=0,0,((('Peak Areas'!AH137*Coefficients!$G$6+Coefficients!$H$6)*$G141)))</f>
        <v>1.2636514763401623</v>
      </c>
      <c r="AF141" s="30">
        <f>IF('Peak Areas'!K137=0,0,((('Peak Areas'!K137*Coefficients!$G$22+Coefficients!$H$22)*$G141)))</f>
        <v>2.905930058047608E-2</v>
      </c>
      <c r="AG141" s="30">
        <f t="shared" si="2"/>
        <v>5.8192731490825205</v>
      </c>
      <c r="AH141" s="30">
        <f t="shared" si="3"/>
        <v>6.6011444466628895</v>
      </c>
    </row>
    <row r="142" spans="1:34" x14ac:dyDescent="0.25">
      <c r="A142" s="2">
        <f>'Peak Areas'!A138</f>
        <v>128</v>
      </c>
      <c r="B142" s="62">
        <f>'Peak Areas'!B138</f>
        <v>45856</v>
      </c>
      <c r="C142" s="2" t="str">
        <f>'Peak Areas'!C138</f>
        <v>D+Q high</v>
      </c>
      <c r="D142" s="2">
        <f>'Peak Areas'!D138</f>
        <v>0</v>
      </c>
      <c r="E142" s="2">
        <f>'Peak Areas'!E138</f>
        <v>0</v>
      </c>
      <c r="F142" s="30">
        <f>'Peak Areas'!F138</f>
        <v>0.1</v>
      </c>
      <c r="G142" s="30">
        <f>((1/'Peak Areas'!$G138)*(('Peak Areas'!$H138+('Internal Standard'!$E$10/1000))/'Peak Areas'!$F138)*'Peak Areas'!$J138)*H142</f>
        <v>4.2261020877279752E-2</v>
      </c>
      <c r="H142" s="30">
        <f>(('Internal Standard'!$F$13*('Peak Areas'!G138/'Internal Standard'!$C$10))/'Peak Areas'!AB138)</f>
        <v>0.994376961818347</v>
      </c>
      <c r="I142" s="30">
        <f>IF('Peak Areas'!L138=0,0,((('Peak Areas'!L138*Coefficients!$G$21+Coefficients!$H$21)*$G142)))</f>
        <v>0</v>
      </c>
      <c r="J142" s="30">
        <f>IF('Peak Areas'!M138=0,0,((('Peak Areas'!M138*Coefficients!$G$20+Coefficients!$H$20)*$G142)))</f>
        <v>0.11621054817813589</v>
      </c>
      <c r="K142" s="30">
        <f>IF('Peak Areas'!N138=0,0,((('Peak Areas'!N138*Coefficients!$G$41+Coefficients!$H$41)*$G142)))</f>
        <v>0.14186667180266191</v>
      </c>
      <c r="L142" s="30">
        <f>IF('Peak Areas'!O138=0,0,((('Peak Areas'!O138*Coefficients!$G$10+Coefficients!$H$10)*$G142)))</f>
        <v>0</v>
      </c>
      <c r="M142" s="30">
        <f>IF('Peak Areas'!P138=0,0,((('Peak Areas'!P138*Coefficients!$G$32+Coefficients!$H$32)*$G142)))</f>
        <v>0.6608914493157857</v>
      </c>
      <c r="N142" s="30">
        <f>IF('Peak Areas'!Q138=0,0,((('Peak Areas'!Q138*Coefficients!$G$11+Coefficients!$H$11)*$G142)))</f>
        <v>0</v>
      </c>
      <c r="O142" s="30">
        <f>IF('Peak Areas'!R138=0,0,((('Peak Areas'!R138*Coefficients!$G$39+Coefficients!$H$39)*$G142)))</f>
        <v>8.8071025805077571E-2</v>
      </c>
      <c r="P142" s="30">
        <f>IF('Peak Areas'!S138=0,0,((('Peak Areas'!S138*Coefficients!$G$46+Coefficients!$H$46)*$G142)))</f>
        <v>0</v>
      </c>
      <c r="Q142" s="30">
        <f>IF('Peak Areas'!T138=0,0,((('Peak Areas'!T138*Coefficients!$G$51+Coefficients!$H$51)*$G142)))</f>
        <v>0.64490214473226903</v>
      </c>
      <c r="R142" s="30">
        <f>IF('Peak Areas'!U138=0,0,((('Peak Areas'!U138*Coefficients!$G$26+Coefficients!$H$26)*$G142)))</f>
        <v>0.31075667860180106</v>
      </c>
      <c r="S142" s="30">
        <f>IF('Peak Areas'!V138=0,0,((('Peak Areas'!V138*Coefficients!$G$13+Coefficients!$H$13)*$G142)))</f>
        <v>0.25098046280474007</v>
      </c>
      <c r="T142" s="30">
        <f>IF('Peak Areas'!W138=0,0,((('Peak Areas'!W138*Coefficients!$G$12+Coefficients!$H$12)*$G142)))</f>
        <v>0.25194976656959367</v>
      </c>
      <c r="U142" s="30">
        <f>IF('Peak Areas'!X138=0,0,((('Peak Areas'!X138*Coefficients!$G$27+Coefficients!$H$27)*$G142)))</f>
        <v>4.5809725074472347E-2</v>
      </c>
      <c r="V142" s="30">
        <f>IF('Peak Areas'!Y138=0,0,((('Peak Areas'!Y138*Coefficients!$G$34+Coefficients!$H$34)*$G142)))</f>
        <v>0.46466345613945892</v>
      </c>
      <c r="W142" s="30">
        <f>IF('Peak Areas'!Z138=0,0,((('Peak Areas'!Z138*Coefficients!$G$52+Coefficients!$H$52)*$G142)))</f>
        <v>0.88840644188343343</v>
      </c>
      <c r="X142" s="30">
        <f>IF('Peak Areas'!AA138=0,0,((('Peak Areas'!AA138*Coefficients!$G$33+Coefficients!$H$33)*$G142)))</f>
        <v>0.10609072121603746</v>
      </c>
      <c r="Y142" s="30">
        <f>IF('Peak Areas'!AC138=0,0,((('Peak Areas'!AC138*Coefficients!$G$19+Coefficients!$H$19)*$G142)))</f>
        <v>0.34251340599461116</v>
      </c>
      <c r="Z142" s="30">
        <f>IF('Peak Areas'!AD138=0,0,((('Peak Areas'!AD138*Coefficients!$G$18+Coefficients!$H$18)*$G142)))</f>
        <v>0.15901416554565995</v>
      </c>
      <c r="AA142" s="30">
        <f>IF('Peak Areas'!AE138=0,0,((('Peak Areas'!AE138*Coefficients!$G$18+Coefficients!$H$18)*$G142)))</f>
        <v>5.8882432781555165</v>
      </c>
      <c r="AB142" s="30">
        <f>IF('Peak Areas'!AF138=0,0,((('Peak Areas'!AF138*Coefficients!$G$18+Coefficients!$H$18)*$G142)))</f>
        <v>0.65191727403110789</v>
      </c>
      <c r="AC142" s="30">
        <f>IF('Peak Areas'!AG138=0,0,((('Peak Areas'!AG138*Coefficients!$G$7+Coefficients!$H$7)*$G142)))</f>
        <v>0</v>
      </c>
      <c r="AD142" s="30">
        <f>IF('Peak Areas'!AH138=0,0,((('Peak Areas'!AH138*Coefficients!$G$6+Coefficients!$H$6)*$G142)))</f>
        <v>1.2223366005431038</v>
      </c>
      <c r="AF142" s="30">
        <f>IF('Peak Areas'!K138=0,0,((('Peak Areas'!K138*Coefficients!$G$22+Coefficients!$H$22)*$G142)))</f>
        <v>4.6063973505608535E-2</v>
      </c>
      <c r="AG142" s="30">
        <f t="shared" si="2"/>
        <v>5.9343072516611253</v>
      </c>
      <c r="AH142" s="30">
        <f t="shared" si="3"/>
        <v>6.7452386912378932</v>
      </c>
    </row>
    <row r="143" spans="1:34" x14ac:dyDescent="0.25">
      <c r="A143" s="2">
        <f>'Peak Areas'!A139</f>
        <v>129</v>
      </c>
      <c r="B143" s="62">
        <f>'Peak Areas'!B139</f>
        <v>45856</v>
      </c>
      <c r="C143" s="2" t="str">
        <f>'Peak Areas'!C139</f>
        <v>D+Q low nut</v>
      </c>
      <c r="D143" s="2">
        <f>'Peak Areas'!D139</f>
        <v>0</v>
      </c>
      <c r="E143" s="2">
        <f>'Peak Areas'!E139</f>
        <v>0</v>
      </c>
      <c r="F143" s="30">
        <f>'Peak Areas'!F139</f>
        <v>0.1</v>
      </c>
      <c r="G143" s="30">
        <f>((1/'Peak Areas'!$G139)*(('Peak Areas'!$H139+('Internal Standard'!$E$10/1000))/'Peak Areas'!$F139)*'Peak Areas'!$J139)*H143</f>
        <v>4.2062867450393414E-2</v>
      </c>
      <c r="H143" s="30">
        <f>(('Internal Standard'!$F$13*('Peak Areas'!G139/'Internal Standard'!$C$10))/'Peak Areas'!AB139)</f>
        <v>0.98971452824455086</v>
      </c>
      <c r="I143" s="30">
        <f>IF('Peak Areas'!L139=0,0,((('Peak Areas'!L139*Coefficients!$G$21+Coefficients!$H$21)*$G143)))</f>
        <v>5.6774962853480583E-2</v>
      </c>
      <c r="J143" s="30">
        <f>IF('Peak Areas'!M139=0,0,((('Peak Areas'!M139*Coefficients!$G$20+Coefficients!$H$20)*$G143)))</f>
        <v>0.31445664979288829</v>
      </c>
      <c r="K143" s="30">
        <f>IF('Peak Areas'!N139=0,0,((('Peak Areas'!N139*Coefficients!$G$41+Coefficients!$H$41)*$G143)))</f>
        <v>0.13282426231009928</v>
      </c>
      <c r="L143" s="30">
        <f>IF('Peak Areas'!O139=0,0,((('Peak Areas'!O139*Coefficients!$G$10+Coefficients!$H$10)*$G143)))</f>
        <v>0</v>
      </c>
      <c r="M143" s="30">
        <f>IF('Peak Areas'!P139=0,0,((('Peak Areas'!P139*Coefficients!$G$32+Coefficients!$H$32)*$G143)))</f>
        <v>1.2952487223324474</v>
      </c>
      <c r="N143" s="30">
        <f>IF('Peak Areas'!Q139=0,0,((('Peak Areas'!Q139*Coefficients!$G$11+Coefficients!$H$11)*$G143)))</f>
        <v>0</v>
      </c>
      <c r="O143" s="30">
        <f>IF('Peak Areas'!R139=0,0,((('Peak Areas'!R139*Coefficients!$G$39+Coefficients!$H$39)*$G143)))</f>
        <v>0.41245212710410994</v>
      </c>
      <c r="P143" s="30">
        <f>IF('Peak Areas'!S139=0,0,((('Peak Areas'!S139*Coefficients!$G$46+Coefficients!$H$46)*$G143)))</f>
        <v>0</v>
      </c>
      <c r="Q143" s="30">
        <f>IF('Peak Areas'!T139=0,0,((('Peak Areas'!T139*Coefficients!$G$51+Coefficients!$H$51)*$G143)))</f>
        <v>1.01657861747393</v>
      </c>
      <c r="R143" s="30">
        <f>IF('Peak Areas'!U139=0,0,((('Peak Areas'!U139*Coefficients!$G$26+Coefficients!$H$26)*$G143)))</f>
        <v>0.47835998472759811</v>
      </c>
      <c r="S143" s="30">
        <f>IF('Peak Areas'!V139=0,0,((('Peak Areas'!V139*Coefficients!$G$13+Coefficients!$H$13)*$G143)))</f>
        <v>0.26621266236626584</v>
      </c>
      <c r="T143" s="30">
        <f>IF('Peak Areas'!W139=0,0,((('Peak Areas'!W139*Coefficients!$G$12+Coefficients!$H$12)*$G143)))</f>
        <v>0.48088120628104464</v>
      </c>
      <c r="U143" s="30">
        <f>IF('Peak Areas'!X139=0,0,((('Peak Areas'!X139*Coefficients!$G$27+Coefficients!$H$27)*$G143)))</f>
        <v>2.7202596178836212E-2</v>
      </c>
      <c r="V143" s="30">
        <f>IF('Peak Areas'!Y139=0,0,((('Peak Areas'!Y139*Coefficients!$G$34+Coefficients!$H$34)*$G143)))</f>
        <v>1.496675302781735</v>
      </c>
      <c r="W143" s="30">
        <f>IF('Peak Areas'!Z139=0,0,((('Peak Areas'!Z139*Coefficients!$G$52+Coefficients!$H$52)*$G143)))</f>
        <v>1.6370344706213156</v>
      </c>
      <c r="X143" s="30">
        <f>IF('Peak Areas'!AA139=0,0,((('Peak Areas'!AA139*Coefficients!$G$33+Coefficients!$H$33)*$G143)))</f>
        <v>0.13393033630824849</v>
      </c>
      <c r="Y143" s="30">
        <f>IF('Peak Areas'!AC139=0,0,((('Peak Areas'!AC139*Coefficients!$G$19+Coefficients!$H$19)*$G143)))</f>
        <v>1.5633952968411551</v>
      </c>
      <c r="Z143" s="30">
        <f>IF('Peak Areas'!AD139=0,0,((('Peak Areas'!AD139*Coefficients!$G$18+Coefficients!$H$18)*$G143)))</f>
        <v>0.17788660894667152</v>
      </c>
      <c r="AA143" s="30">
        <f>IF('Peak Areas'!AE139=0,0,((('Peak Areas'!AE139*Coefficients!$G$18+Coefficients!$H$18)*$G143)))</f>
        <v>14.708789288625802</v>
      </c>
      <c r="AB143" s="30">
        <f>IF('Peak Areas'!AF139=0,0,((('Peak Areas'!AF139*Coefficients!$G$18+Coefficients!$H$18)*$G143)))</f>
        <v>1.2567369312431567</v>
      </c>
      <c r="AC143" s="30">
        <f>IF('Peak Areas'!AG139=0,0,((('Peak Areas'!AG139*Coefficients!$G$7+Coefficients!$H$7)*$G143)))</f>
        <v>0.25591786699572577</v>
      </c>
      <c r="AD143" s="30">
        <f>IF('Peak Areas'!AH139=0,0,((('Peak Areas'!AH139*Coefficients!$G$6+Coefficients!$H$6)*$G143)))</f>
        <v>2.7691880827991082</v>
      </c>
      <c r="AF143" s="30">
        <f>IF('Peak Areas'!K139=0,0,((('Peak Areas'!K139*Coefficients!$G$22+Coefficients!$H$22)*$G143)))</f>
        <v>0.12268157669396219</v>
      </c>
      <c r="AG143" s="30">
        <f t="shared" si="2"/>
        <v>14.831470865319764</v>
      </c>
      <c r="AH143" s="30">
        <f t="shared" si="3"/>
        <v>16.266094405509595</v>
      </c>
    </row>
    <row r="144" spans="1:34" x14ac:dyDescent="0.25">
      <c r="A144" s="2">
        <f>'Peak Areas'!A140</f>
        <v>130</v>
      </c>
      <c r="B144" s="62">
        <f>'Peak Areas'!B140</f>
        <v>45856</v>
      </c>
      <c r="C144" s="2" t="str">
        <f>'Peak Areas'!C140</f>
        <v>D+Q low nut</v>
      </c>
      <c r="D144" s="2">
        <f>'Peak Areas'!D140</f>
        <v>0</v>
      </c>
      <c r="E144" s="2">
        <f>'Peak Areas'!E140</f>
        <v>0</v>
      </c>
      <c r="F144" s="30">
        <f>'Peak Areas'!F140</f>
        <v>0.1</v>
      </c>
      <c r="G144" s="30">
        <f>((1/'Peak Areas'!$G140)*(('Peak Areas'!$H140+('Internal Standard'!$E$10/1000))/'Peak Areas'!$F140)*'Peak Areas'!$J140)*H144</f>
        <v>4.1784363095223251E-2</v>
      </c>
      <c r="H144" s="30">
        <f>(('Internal Standard'!$F$13*('Peak Areas'!G140/'Internal Standard'!$C$10))/'Peak Areas'!AB140)</f>
        <v>0.98316148459348818</v>
      </c>
      <c r="I144" s="30">
        <f>IF('Peak Areas'!L140=0,0,((('Peak Areas'!L140*Coefficients!$G$21+Coefficients!$H$21)*$G144)))</f>
        <v>7.2212145084274482E-2</v>
      </c>
      <c r="J144" s="30">
        <f>IF('Peak Areas'!M140=0,0,((('Peak Areas'!M140*Coefficients!$G$20+Coefficients!$H$20)*$G144)))</f>
        <v>0.36552691646961832</v>
      </c>
      <c r="K144" s="30">
        <f>IF('Peak Areas'!N140=0,0,((('Peak Areas'!N140*Coefficients!$G$41+Coefficients!$H$41)*$G144)))</f>
        <v>0.13718578161348163</v>
      </c>
      <c r="L144" s="30">
        <f>IF('Peak Areas'!O140=0,0,((('Peak Areas'!O140*Coefficients!$G$10+Coefficients!$H$10)*$G144)))</f>
        <v>0</v>
      </c>
      <c r="M144" s="30">
        <f>IF('Peak Areas'!P140=0,0,((('Peak Areas'!P140*Coefficients!$G$32+Coefficients!$H$32)*$G144)))</f>
        <v>1.4390490759282049</v>
      </c>
      <c r="N144" s="30">
        <f>IF('Peak Areas'!Q140=0,0,((('Peak Areas'!Q140*Coefficients!$G$11+Coefficients!$H$11)*$G144)))</f>
        <v>0</v>
      </c>
      <c r="O144" s="30">
        <f>IF('Peak Areas'!R140=0,0,((('Peak Areas'!R140*Coefficients!$G$39+Coefficients!$H$39)*$G144)))</f>
        <v>0.44735907509993228</v>
      </c>
      <c r="P144" s="30">
        <f>IF('Peak Areas'!S140=0,0,((('Peak Areas'!S140*Coefficients!$G$46+Coefficients!$H$46)*$G144)))</f>
        <v>0</v>
      </c>
      <c r="Q144" s="30">
        <f>IF('Peak Areas'!T140=0,0,((('Peak Areas'!T140*Coefficients!$G$51+Coefficients!$H$51)*$G144)))</f>
        <v>1.0445901927655288</v>
      </c>
      <c r="R144" s="30">
        <f>IF('Peak Areas'!U140=0,0,((('Peak Areas'!U140*Coefficients!$G$26+Coefficients!$H$26)*$G144)))</f>
        <v>0.49278354084107567</v>
      </c>
      <c r="S144" s="30">
        <f>IF('Peak Areas'!V140=0,0,((('Peak Areas'!V140*Coefficients!$G$13+Coefficients!$H$13)*$G144)))</f>
        <v>0.27868918706737517</v>
      </c>
      <c r="T144" s="30">
        <f>IF('Peak Areas'!W140=0,0,((('Peak Areas'!W140*Coefficients!$G$12+Coefficients!$H$12)*$G144)))</f>
        <v>0.52717435455386308</v>
      </c>
      <c r="U144" s="30">
        <f>IF('Peak Areas'!X140=0,0,((('Peak Areas'!X140*Coefficients!$G$27+Coefficients!$H$27)*$G144)))</f>
        <v>4.0332921737363879E-2</v>
      </c>
      <c r="V144" s="30">
        <f>IF('Peak Areas'!Y140=0,0,((('Peak Areas'!Y140*Coefficients!$G$34+Coefficients!$H$34)*$G144)))</f>
        <v>1.6596597437355411</v>
      </c>
      <c r="W144" s="30">
        <f>IF('Peak Areas'!Z140=0,0,((('Peak Areas'!Z140*Coefficients!$G$52+Coefficients!$H$52)*$G144)))</f>
        <v>1.7662766367543468</v>
      </c>
      <c r="X144" s="30">
        <f>IF('Peak Areas'!AA140=0,0,((('Peak Areas'!AA140*Coefficients!$G$33+Coefficients!$H$33)*$G144)))</f>
        <v>0.13611156077862033</v>
      </c>
      <c r="Y144" s="30">
        <f>IF('Peak Areas'!AC140=0,0,((('Peak Areas'!AC140*Coefficients!$G$19+Coefficients!$H$19)*$G144)))</f>
        <v>1.6315104045754854</v>
      </c>
      <c r="Z144" s="30">
        <f>IF('Peak Areas'!AD140=0,0,((('Peak Areas'!AD140*Coefficients!$G$18+Coefficients!$H$18)*$G144)))</f>
        <v>0.20226614305925791</v>
      </c>
      <c r="AA144" s="30">
        <f>IF('Peak Areas'!AE140=0,0,((('Peak Areas'!AE140*Coefficients!$G$18+Coefficients!$H$18)*$G144)))</f>
        <v>15.047541562640896</v>
      </c>
      <c r="AB144" s="30">
        <f>IF('Peak Areas'!AF140=0,0,((('Peak Areas'!AF140*Coefficients!$G$18+Coefficients!$H$18)*$G144)))</f>
        <v>1.2331200755288154</v>
      </c>
      <c r="AC144" s="30">
        <f>IF('Peak Areas'!AG140=0,0,((('Peak Areas'!AG140*Coefficients!$G$7+Coefficients!$H$7)*$G144)))</f>
        <v>0</v>
      </c>
      <c r="AD144" s="30">
        <f>IF('Peak Areas'!AH140=0,0,((('Peak Areas'!AH140*Coefficients!$G$6+Coefficients!$H$6)*$G144)))</f>
        <v>0.86464789432359535</v>
      </c>
      <c r="AF144" s="30">
        <f>IF('Peak Areas'!K140=0,0,((('Peak Areas'!K140*Coefficients!$G$22+Coefficients!$H$22)*$G144)))</f>
        <v>0.14653158899551699</v>
      </c>
      <c r="AG144" s="30">
        <f t="shared" ref="AG144:AG207" si="4">AA144+AF144</f>
        <v>15.194073151636413</v>
      </c>
      <c r="AH144" s="30">
        <f t="shared" ref="AH144:AH207" si="5">Z144+AA144+AB144+AF144</f>
        <v>16.629459370224488</v>
      </c>
    </row>
    <row r="145" spans="1:34" x14ac:dyDescent="0.25">
      <c r="A145" s="2">
        <f>'Peak Areas'!A141</f>
        <v>131</v>
      </c>
      <c r="B145" s="62">
        <f>'Peak Areas'!B141</f>
        <v>45856</v>
      </c>
      <c r="C145" s="2" t="str">
        <f>'Peak Areas'!C141</f>
        <v>D+Q high nut</v>
      </c>
      <c r="D145" s="2">
        <f>'Peak Areas'!D141</f>
        <v>0</v>
      </c>
      <c r="E145" s="2">
        <f>'Peak Areas'!E141</f>
        <v>0</v>
      </c>
      <c r="F145" s="30">
        <f>'Peak Areas'!F141</f>
        <v>0.1</v>
      </c>
      <c r="G145" s="30">
        <f>((1/'Peak Areas'!$G141)*(('Peak Areas'!$H141+('Internal Standard'!$E$10/1000))/'Peak Areas'!$F141)*'Peak Areas'!$J141)*H145</f>
        <v>4.20160168528474E-2</v>
      </c>
      <c r="H145" s="30">
        <f>(('Internal Standard'!$F$13*('Peak Areas'!G141/'Internal Standard'!$C$10))/'Peak Areas'!AB141)</f>
        <v>0.98861216124346818</v>
      </c>
      <c r="I145" s="30">
        <f>IF('Peak Areas'!L141=0,0,((('Peak Areas'!L141*Coefficients!$G$21+Coefficients!$H$21)*$G145)))</f>
        <v>7.7192636056069533E-2</v>
      </c>
      <c r="J145" s="30">
        <f>IF('Peak Areas'!M141=0,0,((('Peak Areas'!M141*Coefficients!$G$20+Coefficients!$H$20)*$G145)))</f>
        <v>0.36538646949038728</v>
      </c>
      <c r="K145" s="30">
        <f>IF('Peak Areas'!N141=0,0,((('Peak Areas'!N141*Coefficients!$G$41+Coefficients!$H$41)*$G145)))</f>
        <v>0.14366829242035475</v>
      </c>
      <c r="L145" s="30">
        <f>IF('Peak Areas'!O141=0,0,((('Peak Areas'!O141*Coefficients!$G$10+Coefficients!$H$10)*$G145)))</f>
        <v>0</v>
      </c>
      <c r="M145" s="30">
        <f>IF('Peak Areas'!P141=0,0,((('Peak Areas'!P141*Coefficients!$G$32+Coefficients!$H$32)*$G145)))</f>
        <v>1.5473568797500186</v>
      </c>
      <c r="N145" s="30">
        <f>IF('Peak Areas'!Q141=0,0,((('Peak Areas'!Q141*Coefficients!$G$11+Coefficients!$H$11)*$G145)))</f>
        <v>0</v>
      </c>
      <c r="O145" s="30">
        <f>IF('Peak Areas'!R141=0,0,((('Peak Areas'!R141*Coefficients!$G$39+Coefficients!$H$39)*$G145)))</f>
        <v>0.50714726671981158</v>
      </c>
      <c r="P145" s="30">
        <f>IF('Peak Areas'!S141=0,0,((('Peak Areas'!S141*Coefficients!$G$46+Coefficients!$H$46)*$G145)))</f>
        <v>0</v>
      </c>
      <c r="Q145" s="30">
        <f>IF('Peak Areas'!T141=0,0,((('Peak Areas'!T141*Coefficients!$G$51+Coefficients!$H$51)*$G145)))</f>
        <v>1.1152043862884946</v>
      </c>
      <c r="R145" s="30">
        <f>IF('Peak Areas'!U141=0,0,((('Peak Areas'!U141*Coefficients!$G$26+Coefficients!$H$26)*$G145)))</f>
        <v>0.51092636392105939</v>
      </c>
      <c r="S145" s="30">
        <f>IF('Peak Areas'!V141=0,0,((('Peak Areas'!V141*Coefficients!$G$13+Coefficients!$H$13)*$G145)))</f>
        <v>0.29104291163931445</v>
      </c>
      <c r="T145" s="30">
        <f>IF('Peak Areas'!W141=0,0,((('Peak Areas'!W141*Coefficients!$G$12+Coefficients!$H$12)*$G145)))</f>
        <v>0.52908536439284637</v>
      </c>
      <c r="U145" s="30">
        <f>IF('Peak Areas'!X141=0,0,((('Peak Areas'!X141*Coefficients!$G$27+Coefficients!$H$27)*$G145)))</f>
        <v>3.2548017182008705E-2</v>
      </c>
      <c r="V145" s="30">
        <f>IF('Peak Areas'!Y141=0,0,((('Peak Areas'!Y141*Coefficients!$G$34+Coefficients!$H$34)*$G145)))</f>
        <v>1.7176851807686109</v>
      </c>
      <c r="W145" s="30">
        <f>IF('Peak Areas'!Z141=0,0,((('Peak Areas'!Z141*Coefficients!$G$52+Coefficients!$H$52)*$G145)))</f>
        <v>1.7938843251839369</v>
      </c>
      <c r="X145" s="30">
        <f>IF('Peak Areas'!AA141=0,0,((('Peak Areas'!AA141*Coefficients!$G$33+Coefficients!$H$33)*$G145)))</f>
        <v>0.14040153888751133</v>
      </c>
      <c r="Y145" s="30">
        <f>IF('Peak Areas'!AC141=0,0,((('Peak Areas'!AC141*Coefficients!$G$19+Coefficients!$H$19)*$G145)))</f>
        <v>1.7560633461397701</v>
      </c>
      <c r="Z145" s="30">
        <f>IF('Peak Areas'!AD141=0,0,((('Peak Areas'!AD141*Coefficients!$G$18+Coefficients!$H$18)*$G145)))</f>
        <v>0.20827332831393758</v>
      </c>
      <c r="AA145" s="30">
        <f>IF('Peak Areas'!AE141=0,0,((('Peak Areas'!AE141*Coefficients!$G$18+Coefficients!$H$18)*$G145)))</f>
        <v>15.969174009902869</v>
      </c>
      <c r="AB145" s="30">
        <f>IF('Peak Areas'!AF141=0,0,((('Peak Areas'!AF141*Coefficients!$G$18+Coefficients!$H$18)*$G145)))</f>
        <v>1.3672523134809609</v>
      </c>
      <c r="AC145" s="30">
        <f>IF('Peak Areas'!AG141=0,0,((('Peak Areas'!AG141*Coefficients!$G$7+Coefficients!$H$7)*$G145)))</f>
        <v>0</v>
      </c>
      <c r="AD145" s="30">
        <f>IF('Peak Areas'!AH141=0,0,((('Peak Areas'!AH141*Coefficients!$G$6+Coefficients!$H$6)*$G145)))</f>
        <v>0.88531338491861833</v>
      </c>
      <c r="AF145" s="30">
        <f>IF('Peak Areas'!K141=0,0,((('Peak Areas'!K141*Coefficients!$G$22+Coefficients!$H$22)*$G145)))</f>
        <v>0.14462668045043198</v>
      </c>
      <c r="AG145" s="30">
        <f t="shared" si="4"/>
        <v>16.113800690353301</v>
      </c>
      <c r="AH145" s="30">
        <f t="shared" si="5"/>
        <v>17.689326332148198</v>
      </c>
    </row>
    <row r="146" spans="1:34" x14ac:dyDescent="0.25">
      <c r="A146" s="2">
        <f>'Peak Areas'!A142</f>
        <v>132</v>
      </c>
      <c r="B146" s="62">
        <f>'Peak Areas'!B142</f>
        <v>45856</v>
      </c>
      <c r="C146" s="2" t="str">
        <f>'Peak Areas'!C142</f>
        <v>D+Q high nut</v>
      </c>
      <c r="D146" s="2">
        <f>'Peak Areas'!D142</f>
        <v>0</v>
      </c>
      <c r="E146" s="2">
        <f>'Peak Areas'!E142</f>
        <v>0</v>
      </c>
      <c r="F146" s="30">
        <f>'Peak Areas'!F142</f>
        <v>0.1</v>
      </c>
      <c r="G146" s="30">
        <f>((1/'Peak Areas'!$G142)*(('Peak Areas'!$H142+('Internal Standard'!$E$10/1000))/'Peak Areas'!$F142)*'Peak Areas'!$J142)*H146</f>
        <v>4.1251172977552722E-2</v>
      </c>
      <c r="H146" s="30">
        <f>(('Internal Standard'!$F$13*('Peak Areas'!G142/'Internal Standard'!$C$10))/'Peak Areas'!AB142)</f>
        <v>0.97061583476594637</v>
      </c>
      <c r="I146" s="30">
        <f>IF('Peak Areas'!L142=0,0,((('Peak Areas'!L142*Coefficients!$G$21+Coefficients!$H$21)*$G146)))</f>
        <v>6.3114736272563046E-2</v>
      </c>
      <c r="J146" s="30">
        <f>IF('Peak Areas'!M142=0,0,((('Peak Areas'!M142*Coefficients!$G$20+Coefficients!$H$20)*$G146)))</f>
        <v>0.35461787608401718</v>
      </c>
      <c r="K146" s="30">
        <f>IF('Peak Areas'!N142=0,0,((('Peak Areas'!N142*Coefficients!$G$41+Coefficients!$H$41)*$G146)))</f>
        <v>0.16585715499000786</v>
      </c>
      <c r="L146" s="30">
        <f>IF('Peak Areas'!O142=0,0,((('Peak Areas'!O142*Coefficients!$G$10+Coefficients!$H$10)*$G146)))</f>
        <v>0</v>
      </c>
      <c r="M146" s="30">
        <f>IF('Peak Areas'!P142=0,0,((('Peak Areas'!P142*Coefficients!$G$32+Coefficients!$H$32)*$G146)))</f>
        <v>1.6515284014355753</v>
      </c>
      <c r="N146" s="30">
        <f>IF('Peak Areas'!Q142=0,0,((('Peak Areas'!Q142*Coefficients!$G$11+Coefficients!$H$11)*$G146)))</f>
        <v>0</v>
      </c>
      <c r="O146" s="30">
        <f>IF('Peak Areas'!R142=0,0,((('Peak Areas'!R142*Coefficients!$G$39+Coefficients!$H$39)*$G146)))</f>
        <v>0.62206430739365326</v>
      </c>
      <c r="P146" s="30">
        <f>IF('Peak Areas'!S142=0,0,((('Peak Areas'!S142*Coefficients!$G$46+Coefficients!$H$46)*$G146)))</f>
        <v>0</v>
      </c>
      <c r="Q146" s="30">
        <f>IF('Peak Areas'!T142=0,0,((('Peak Areas'!T142*Coefficients!$G$51+Coefficients!$H$51)*$G146)))</f>
        <v>1.1252733426264485</v>
      </c>
      <c r="R146" s="30">
        <f>IF('Peak Areas'!U142=0,0,((('Peak Areas'!U142*Coefficients!$G$26+Coefficients!$H$26)*$G146)))</f>
        <v>0.50722904244492417</v>
      </c>
      <c r="S146" s="30">
        <f>IF('Peak Areas'!V142=0,0,((('Peak Areas'!V142*Coefficients!$G$13+Coefficients!$H$13)*$G146)))</f>
        <v>0.27337824397736876</v>
      </c>
      <c r="T146" s="30">
        <f>IF('Peak Areas'!W142=0,0,((('Peak Areas'!W142*Coefficients!$G$12+Coefficients!$H$12)*$G146)))</f>
        <v>0.53812966290716846</v>
      </c>
      <c r="U146" s="30">
        <f>IF('Peak Areas'!X142=0,0,((('Peak Areas'!X142*Coefficients!$G$27+Coefficients!$H$27)*$G146)))</f>
        <v>4.351018179874315E-2</v>
      </c>
      <c r="V146" s="30">
        <f>IF('Peak Areas'!Y142=0,0,((('Peak Areas'!Y142*Coefficients!$G$34+Coefficients!$H$34)*$G146)))</f>
        <v>1.8176323929726577</v>
      </c>
      <c r="W146" s="30">
        <f>IF('Peak Areas'!Z142=0,0,((('Peak Areas'!Z142*Coefficients!$G$52+Coefficients!$H$52)*$G146)))</f>
        <v>1.8398595873003956</v>
      </c>
      <c r="X146" s="30">
        <f>IF('Peak Areas'!AA142=0,0,((('Peak Areas'!AA142*Coefficients!$G$33+Coefficients!$H$33)*$G146)))</f>
        <v>0.14858302279382077</v>
      </c>
      <c r="Y146" s="30">
        <f>IF('Peak Areas'!AC142=0,0,((('Peak Areas'!AC142*Coefficients!$G$19+Coefficients!$H$19)*$G146)))</f>
        <v>1.9189164968989809</v>
      </c>
      <c r="Z146" s="30">
        <f>IF('Peak Areas'!AD142=0,0,((('Peak Areas'!AD142*Coefficients!$G$18+Coefficients!$H$18)*$G146)))</f>
        <v>0.21011010223304449</v>
      </c>
      <c r="AA146" s="30">
        <f>IF('Peak Areas'!AE142=0,0,((('Peak Areas'!AE142*Coefficients!$G$18+Coefficients!$H$18)*$G146)))</f>
        <v>16.702861289542614</v>
      </c>
      <c r="AB146" s="30">
        <f>IF('Peak Areas'!AF142=0,0,((('Peak Areas'!AF142*Coefficients!$G$18+Coefficients!$H$18)*$G146)))</f>
        <v>1.4259710095011799</v>
      </c>
      <c r="AC146" s="30">
        <f>IF('Peak Areas'!AG142=0,0,((('Peak Areas'!AG142*Coefficients!$G$7+Coefficients!$H$7)*$G146)))</f>
        <v>0.15803637018590677</v>
      </c>
      <c r="AD146" s="30">
        <f>IF('Peak Areas'!AH142=0,0,((('Peak Areas'!AH142*Coefficients!$G$6+Coefficients!$H$6)*$G146)))</f>
        <v>1.4377948533918095</v>
      </c>
      <c r="AF146" s="30">
        <f>IF('Peak Areas'!K142=0,0,((('Peak Areas'!K142*Coefficients!$G$22+Coefficients!$H$22)*$G146)))</f>
        <v>0.1340954057531725</v>
      </c>
      <c r="AG146" s="30">
        <f t="shared" si="4"/>
        <v>16.836956695295786</v>
      </c>
      <c r="AH146" s="30">
        <f t="shared" si="5"/>
        <v>18.473037807030011</v>
      </c>
    </row>
    <row r="147" spans="1:34" x14ac:dyDescent="0.25">
      <c r="A147" s="2">
        <f>'Peak Areas'!A143</f>
        <v>133</v>
      </c>
      <c r="B147" s="62">
        <f>'Peak Areas'!B143</f>
        <v>45884</v>
      </c>
      <c r="C147" s="2" t="str">
        <f>'Peak Areas'!C143</f>
        <v>control</v>
      </c>
      <c r="D147" s="2">
        <f>'Peak Areas'!D143</f>
        <v>0</v>
      </c>
      <c r="E147" s="2">
        <f>'Peak Areas'!E143</f>
        <v>0</v>
      </c>
      <c r="F147" s="30">
        <f>'Peak Areas'!F143</f>
        <v>0.1</v>
      </c>
      <c r="G147" s="30">
        <f>((1/'Peak Areas'!$G143)*(('Peak Areas'!$H143+('Internal Standard'!$E$10/1000))/'Peak Areas'!$F143)*'Peak Areas'!$J143)*H147</f>
        <v>4.1091772307178975E-2</v>
      </c>
      <c r="H147" s="30">
        <f>(('Internal Standard'!$F$13*('Peak Areas'!G143/'Internal Standard'!$C$10))/'Peak Areas'!AB143)</f>
        <v>0.96686523075715236</v>
      </c>
      <c r="I147" s="30">
        <f>IF('Peak Areas'!L143=0,0,((('Peak Areas'!L143*Coefficients!$G$21+Coefficients!$H$21)*$G147)))</f>
        <v>0</v>
      </c>
      <c r="J147" s="30">
        <f>IF('Peak Areas'!M143=0,0,((('Peak Areas'!M143*Coefficients!$G$20+Coefficients!$H$20)*$G147)))</f>
        <v>0.13949688838691693</v>
      </c>
      <c r="K147" s="30">
        <f>IF('Peak Areas'!N143=0,0,((('Peak Areas'!N143*Coefficients!$G$41+Coefficients!$H$41)*$G147)))</f>
        <v>6.3531553920077144E-2</v>
      </c>
      <c r="L147" s="30">
        <f>IF('Peak Areas'!O143=0,0,((('Peak Areas'!O143*Coefficients!$G$10+Coefficients!$H$10)*$G147)))</f>
        <v>0</v>
      </c>
      <c r="M147" s="30">
        <f>IF('Peak Areas'!P143=0,0,((('Peak Areas'!P143*Coefficients!$G$32+Coefficients!$H$32)*$G147)))</f>
        <v>0.83876224956697387</v>
      </c>
      <c r="N147" s="30">
        <f>IF('Peak Areas'!Q143=0,0,((('Peak Areas'!Q143*Coefficients!$G$11+Coefficients!$H$11)*$G147)))</f>
        <v>0</v>
      </c>
      <c r="O147" s="30">
        <f>IF('Peak Areas'!R143=0,0,((('Peak Areas'!R143*Coefficients!$G$39+Coefficients!$H$39)*$G147)))</f>
        <v>0.19108050929705817</v>
      </c>
      <c r="P147" s="30">
        <f>IF('Peak Areas'!S143=0,0,((('Peak Areas'!S143*Coefficients!$G$46+Coefficients!$H$46)*$G147)))</f>
        <v>0</v>
      </c>
      <c r="Q147" s="30">
        <f>IF('Peak Areas'!T143=0,0,((('Peak Areas'!T143*Coefficients!$G$51+Coefficients!$H$51)*$G147)))</f>
        <v>0.86990687051563231</v>
      </c>
      <c r="R147" s="30">
        <f>IF('Peak Areas'!U143=0,0,((('Peak Areas'!U143*Coefficients!$G$26+Coefficients!$H$26)*$G147)))</f>
        <v>0.32518963483343505</v>
      </c>
      <c r="S147" s="30">
        <f>IF('Peak Areas'!V143=0,0,((('Peak Areas'!V143*Coefficients!$G$13+Coefficients!$H$13)*$G147)))</f>
        <v>0.22620454131055584</v>
      </c>
      <c r="T147" s="30">
        <f>IF('Peak Areas'!W143=0,0,((('Peak Areas'!W143*Coefficients!$G$12+Coefficients!$H$12)*$G147)))</f>
        <v>0.27554493526861629</v>
      </c>
      <c r="U147" s="30">
        <f>IF('Peak Areas'!X143=0,0,((('Peak Areas'!X143*Coefficients!$G$27+Coefficients!$H$27)*$G147)))</f>
        <v>3.945921963298351E-2</v>
      </c>
      <c r="V147" s="30">
        <f>IF('Peak Areas'!Y143=0,0,((('Peak Areas'!Y143*Coefficients!$G$34+Coefficients!$H$34)*$G147)))</f>
        <v>0.74043349539429248</v>
      </c>
      <c r="W147" s="30">
        <f>IF('Peak Areas'!Z143=0,0,((('Peak Areas'!Z143*Coefficients!$G$52+Coefficients!$H$52)*$G147)))</f>
        <v>0.54699885401088266</v>
      </c>
      <c r="X147" s="30">
        <f>IF('Peak Areas'!AA143=0,0,((('Peak Areas'!AA143*Coefficients!$G$33+Coefficients!$H$33)*$G147)))</f>
        <v>5.2062243218841224E-2</v>
      </c>
      <c r="Y147" s="30">
        <f>IF('Peak Areas'!AC143=0,0,((('Peak Areas'!AC143*Coefficients!$G$19+Coefficients!$H$19)*$G147)))</f>
        <v>0.67950635147868022</v>
      </c>
      <c r="Z147" s="30">
        <f>IF('Peak Areas'!AD143=0,0,((('Peak Areas'!AD143*Coefficients!$G$18+Coefficients!$H$18)*$G147)))</f>
        <v>9.3082759174531945E-2</v>
      </c>
      <c r="AA147" s="30">
        <f>IF('Peak Areas'!AE143=0,0,((('Peak Areas'!AE143*Coefficients!$G$18+Coefficients!$H$18)*$G147)))</f>
        <v>6.9325092677508104</v>
      </c>
      <c r="AB147" s="30">
        <f>IF('Peak Areas'!AF143=0,0,((('Peak Areas'!AF143*Coefficients!$G$18+Coefficients!$H$18)*$G147)))</f>
        <v>0.59097891893259635</v>
      </c>
      <c r="AC147" s="30">
        <f>IF('Peak Areas'!AG143=0,0,((('Peak Areas'!AG143*Coefficients!$G$7+Coefficients!$H$7)*$G147)))</f>
        <v>0</v>
      </c>
      <c r="AD147" s="30">
        <f>IF('Peak Areas'!AH143=0,0,((('Peak Areas'!AH143*Coefficients!$G$6+Coefficients!$H$6)*$G147)))</f>
        <v>0.26677795501277596</v>
      </c>
      <c r="AF147" s="30">
        <f>IF('Peak Areas'!K143=0,0,((('Peak Areas'!K143*Coefficients!$G$22+Coefficients!$H$22)*$G147)))</f>
        <v>6.1145142633315219E-2</v>
      </c>
      <c r="AG147" s="30">
        <f t="shared" si="4"/>
        <v>6.9936544103841261</v>
      </c>
      <c r="AH147" s="30">
        <f t="shared" si="5"/>
        <v>7.6777160884912545</v>
      </c>
    </row>
    <row r="148" spans="1:34" x14ac:dyDescent="0.25">
      <c r="A148" s="2">
        <f>'Peak Areas'!A144</f>
        <v>134</v>
      </c>
      <c r="B148" s="62">
        <f>'Peak Areas'!B144</f>
        <v>45884</v>
      </c>
      <c r="C148" s="2" t="str">
        <f>'Peak Areas'!C144</f>
        <v>control</v>
      </c>
      <c r="D148" s="2">
        <f>'Peak Areas'!D144</f>
        <v>0</v>
      </c>
      <c r="E148" s="2">
        <f>'Peak Areas'!E144</f>
        <v>0</v>
      </c>
      <c r="F148" s="30">
        <f>'Peak Areas'!F144</f>
        <v>0.1</v>
      </c>
      <c r="G148" s="30">
        <f>((1/'Peak Areas'!$G144)*(('Peak Areas'!$H144+('Internal Standard'!$E$10/1000))/'Peak Areas'!$F144)*'Peak Areas'!$J144)*H148</f>
        <v>4.0422254817253297E-2</v>
      </c>
      <c r="H148" s="30">
        <f>(('Internal Standard'!$F$13*('Peak Areas'!G144/'Internal Standard'!$C$10))/'Peak Areas'!AB144)</f>
        <v>0.95111187805301878</v>
      </c>
      <c r="I148" s="30">
        <f>IF('Peak Areas'!L144=0,0,((('Peak Areas'!L144*Coefficients!$G$21+Coefficients!$H$21)*$G148)))</f>
        <v>0</v>
      </c>
      <c r="J148" s="30">
        <f>IF('Peak Areas'!M144=0,0,((('Peak Areas'!M144*Coefficients!$G$20+Coefficients!$H$20)*$G148)))</f>
        <v>5.682197477275909E-2</v>
      </c>
      <c r="K148" s="30">
        <f>IF('Peak Areas'!N144=0,0,((('Peak Areas'!N144*Coefficients!$G$41+Coefficients!$H$41)*$G148)))</f>
        <v>2.6886363819382569E-2</v>
      </c>
      <c r="L148" s="30">
        <f>IF('Peak Areas'!O144=0,0,((('Peak Areas'!O144*Coefficients!$G$10+Coefficients!$H$10)*$G148)))</f>
        <v>0</v>
      </c>
      <c r="M148" s="30">
        <f>IF('Peak Areas'!P144=0,0,((('Peak Areas'!P144*Coefficients!$G$32+Coefficients!$H$32)*$G148)))</f>
        <v>0.74823291029553429</v>
      </c>
      <c r="N148" s="30">
        <f>IF('Peak Areas'!Q144=0,0,((('Peak Areas'!Q144*Coefficients!$G$11+Coefficients!$H$11)*$G148)))</f>
        <v>0</v>
      </c>
      <c r="O148" s="30">
        <f>IF('Peak Areas'!R144=0,0,((('Peak Areas'!R144*Coefficients!$G$39+Coefficients!$H$39)*$G148)))</f>
        <v>0.13816815668142265</v>
      </c>
      <c r="P148" s="30">
        <f>IF('Peak Areas'!S144=0,0,((('Peak Areas'!S144*Coefficients!$G$46+Coefficients!$H$46)*$G148)))</f>
        <v>0</v>
      </c>
      <c r="Q148" s="30">
        <f>IF('Peak Areas'!T144=0,0,((('Peak Areas'!T144*Coefficients!$G$51+Coefficients!$H$51)*$G148)))</f>
        <v>0.83275730132205616</v>
      </c>
      <c r="R148" s="30">
        <f>IF('Peak Areas'!U144=0,0,((('Peak Areas'!U144*Coefficients!$G$26+Coefficients!$H$26)*$G148)))</f>
        <v>0.27916141110749104</v>
      </c>
      <c r="S148" s="30">
        <f>IF('Peak Areas'!V144=0,0,((('Peak Areas'!V144*Coefficients!$G$13+Coefficients!$H$13)*$G148)))</f>
        <v>0.20085464997703023</v>
      </c>
      <c r="T148" s="30">
        <f>IF('Peak Areas'!W144=0,0,((('Peak Areas'!W144*Coefficients!$G$12+Coefficients!$H$12)*$G148)))</f>
        <v>0.20333802418402447</v>
      </c>
      <c r="U148" s="30">
        <f>IF('Peak Areas'!X144=0,0,((('Peak Areas'!X144*Coefficients!$G$27+Coefficients!$H$27)*$G148)))</f>
        <v>2.650992448780096E-2</v>
      </c>
      <c r="V148" s="30">
        <f>IF('Peak Areas'!Y144=0,0,((('Peak Areas'!Y144*Coefficients!$G$34+Coefficients!$H$34)*$G148)))</f>
        <v>0.59305546980003254</v>
      </c>
      <c r="W148" s="30">
        <f>IF('Peak Areas'!Z144=0,0,((('Peak Areas'!Z144*Coefficients!$G$52+Coefficients!$H$52)*$G148)))</f>
        <v>0.357914573269072</v>
      </c>
      <c r="X148" s="30">
        <f>IF('Peak Areas'!AA144=0,0,((('Peak Areas'!AA144*Coefficients!$G$33+Coefficients!$H$33)*$G148)))</f>
        <v>0.10778622194805883</v>
      </c>
      <c r="Y148" s="30">
        <f>IF('Peak Areas'!AC144=0,0,((('Peak Areas'!AC144*Coefficients!$G$19+Coefficients!$H$19)*$G148)))</f>
        <v>0.5345673979896407</v>
      </c>
      <c r="Z148" s="30">
        <f>IF('Peak Areas'!AD144=0,0,((('Peak Areas'!AD144*Coefficients!$G$18+Coefficients!$H$18)*$G148)))</f>
        <v>0.10919720465264068</v>
      </c>
      <c r="AA148" s="30">
        <f>IF('Peak Areas'!AE144=0,0,((('Peak Areas'!AE144*Coefficients!$G$18+Coefficients!$H$18)*$G148)))</f>
        <v>5.8425849806873034</v>
      </c>
      <c r="AB148" s="30">
        <f>IF('Peak Areas'!AF144=0,0,((('Peak Areas'!AF144*Coefficients!$G$18+Coefficients!$H$18)*$G148)))</f>
        <v>0.54293155600019249</v>
      </c>
      <c r="AC148" s="30">
        <f>IF('Peak Areas'!AG144=0,0,((('Peak Areas'!AG144*Coefficients!$G$7+Coefficients!$H$7)*$G148)))</f>
        <v>0</v>
      </c>
      <c r="AD148" s="30">
        <f>IF('Peak Areas'!AH144=0,0,((('Peak Areas'!AH144*Coefficients!$G$6+Coefficients!$H$6)*$G148)))</f>
        <v>0.44340459391682024</v>
      </c>
      <c r="AF148" s="30">
        <f>IF('Peak Areas'!K144=0,0,((('Peak Areas'!K144*Coefficients!$G$22+Coefficients!$H$22)*$G148)))</f>
        <v>3.0907908986928488E-2</v>
      </c>
      <c r="AG148" s="30">
        <f t="shared" si="4"/>
        <v>5.8734928896742318</v>
      </c>
      <c r="AH148" s="30">
        <f t="shared" si="5"/>
        <v>6.5256216503270652</v>
      </c>
    </row>
    <row r="149" spans="1:34" x14ac:dyDescent="0.25">
      <c r="A149" s="2">
        <f>'Peak Areas'!A145</f>
        <v>135</v>
      </c>
      <c r="B149" s="62">
        <f>'Peak Areas'!B145</f>
        <v>45884</v>
      </c>
      <c r="C149" s="2" t="str">
        <f>'Peak Areas'!C145</f>
        <v>solvent</v>
      </c>
      <c r="D149" s="2">
        <f>'Peak Areas'!D145</f>
        <v>0</v>
      </c>
      <c r="E149" s="2">
        <f>'Peak Areas'!E145</f>
        <v>0</v>
      </c>
      <c r="F149" s="30">
        <f>'Peak Areas'!F145</f>
        <v>0.1</v>
      </c>
      <c r="G149" s="30">
        <f>((1/'Peak Areas'!$G145)*(('Peak Areas'!$H145+('Internal Standard'!$E$10/1000))/'Peak Areas'!$F145)*'Peak Areas'!$J145)*H149</f>
        <v>4.2337402458537773E-2</v>
      </c>
      <c r="H149" s="30">
        <f>(('Internal Standard'!$F$13*('Peak Areas'!G145/'Internal Standard'!$C$10))/'Peak Areas'!AB145)</f>
        <v>0.99617417549500631</v>
      </c>
      <c r="I149" s="30">
        <f>IF('Peak Areas'!L145=0,0,((('Peak Areas'!L145*Coefficients!$G$21+Coefficients!$H$21)*$G149)))</f>
        <v>0</v>
      </c>
      <c r="J149" s="30">
        <f>IF('Peak Areas'!M145=0,0,((('Peak Areas'!M145*Coefficients!$G$20+Coefficients!$H$20)*$G149)))</f>
        <v>8.9172210902621937E-2</v>
      </c>
      <c r="K149" s="30">
        <f>IF('Peak Areas'!N145=0,0,((('Peak Areas'!N145*Coefficients!$G$41+Coefficients!$H$41)*$G149)))</f>
        <v>7.1157022359597186E-2</v>
      </c>
      <c r="L149" s="30">
        <f>IF('Peak Areas'!O145=0,0,((('Peak Areas'!O145*Coefficients!$G$10+Coefficients!$H$10)*$G149)))</f>
        <v>0</v>
      </c>
      <c r="M149" s="30">
        <f>IF('Peak Areas'!P145=0,0,((('Peak Areas'!P145*Coefficients!$G$32+Coefficients!$H$32)*$G149)))</f>
        <v>0.72123549499555473</v>
      </c>
      <c r="N149" s="30">
        <f>IF('Peak Areas'!Q145=0,0,((('Peak Areas'!Q145*Coefficients!$G$11+Coefficients!$H$11)*$G149)))</f>
        <v>0</v>
      </c>
      <c r="O149" s="30">
        <f>IF('Peak Areas'!R145=0,0,((('Peak Areas'!R145*Coefficients!$G$39+Coefficients!$H$39)*$G149)))</f>
        <v>9.8722372642315606E-2</v>
      </c>
      <c r="P149" s="30">
        <f>IF('Peak Areas'!S145=0,0,((('Peak Areas'!S145*Coefficients!$G$46+Coefficients!$H$46)*$G149)))</f>
        <v>0</v>
      </c>
      <c r="Q149" s="30">
        <f>IF('Peak Areas'!T145=0,0,((('Peak Areas'!T145*Coefficients!$G$51+Coefficients!$H$51)*$G149)))</f>
        <v>0.91841422583515753</v>
      </c>
      <c r="R149" s="30">
        <f>IF('Peak Areas'!U145=0,0,((('Peak Areas'!U145*Coefficients!$G$26+Coefficients!$H$26)*$G149)))</f>
        <v>0.25714918216416527</v>
      </c>
      <c r="S149" s="30">
        <f>IF('Peak Areas'!V145=0,0,((('Peak Areas'!V145*Coefficients!$G$13+Coefficients!$H$13)*$G149)))</f>
        <v>0.22539373722763148</v>
      </c>
      <c r="T149" s="30">
        <f>IF('Peak Areas'!W145=0,0,((('Peak Areas'!W145*Coefficients!$G$12+Coefficients!$H$12)*$G149)))</f>
        <v>0.21920374301531681</v>
      </c>
      <c r="U149" s="30">
        <f>IF('Peak Areas'!X145=0,0,((('Peak Areas'!X145*Coefficients!$G$27+Coefficients!$H$27)*$G149)))</f>
        <v>2.7506974804971131E-2</v>
      </c>
      <c r="V149" s="30">
        <f>IF('Peak Areas'!Y145=0,0,((('Peak Areas'!Y145*Coefficients!$G$34+Coefficients!$H$34)*$G149)))</f>
        <v>0.56891235862228373</v>
      </c>
      <c r="W149" s="30">
        <f>IF('Peak Areas'!Z145=0,0,((('Peak Areas'!Z145*Coefficients!$G$52+Coefficients!$H$52)*$G149)))</f>
        <v>0.4519341105869592</v>
      </c>
      <c r="X149" s="30">
        <f>IF('Peak Areas'!AA145=0,0,((('Peak Areas'!AA145*Coefficients!$G$33+Coefficients!$H$33)*$G149)))</f>
        <v>5.8080206725316511E-2</v>
      </c>
      <c r="Y149" s="30">
        <f>IF('Peak Areas'!AC145=0,0,((('Peak Areas'!AC145*Coefficients!$G$19+Coefficients!$H$19)*$G149)))</f>
        <v>0.49731719341527603</v>
      </c>
      <c r="Z149" s="30">
        <f>IF('Peak Areas'!AD145=0,0,((('Peak Areas'!AD145*Coefficients!$G$18+Coefficients!$H$18)*$G149)))</f>
        <v>0.11565048277947669</v>
      </c>
      <c r="AA149" s="30">
        <f>IF('Peak Areas'!AE145=0,0,((('Peak Areas'!AE145*Coefficients!$G$18+Coefficients!$H$18)*$G149)))</f>
        <v>5.5270693381455844</v>
      </c>
      <c r="AB149" s="30">
        <f>IF('Peak Areas'!AF145=0,0,((('Peak Areas'!AF145*Coefficients!$G$18+Coefficients!$H$18)*$G149)))</f>
        <v>0.53296619442264748</v>
      </c>
      <c r="AC149" s="30">
        <f>IF('Peak Areas'!AG145=0,0,((('Peak Areas'!AG145*Coefficients!$G$7+Coefficients!$H$7)*$G149)))</f>
        <v>0</v>
      </c>
      <c r="AD149" s="30">
        <f>IF('Peak Areas'!AH145=0,0,((('Peak Areas'!AH145*Coefficients!$G$6+Coefficients!$H$6)*$G149)))</f>
        <v>0.26621557837613241</v>
      </c>
      <c r="AF149" s="30">
        <f>IF('Peak Areas'!K145=0,0,((('Peak Areas'!K145*Coefficients!$G$22+Coefficients!$H$22)*$G149)))</f>
        <v>3.615635349414055E-2</v>
      </c>
      <c r="AG149" s="30">
        <f t="shared" si="4"/>
        <v>5.5632256916397251</v>
      </c>
      <c r="AH149" s="30">
        <f t="shared" si="5"/>
        <v>6.2118423688418494</v>
      </c>
    </row>
    <row r="150" spans="1:34" x14ac:dyDescent="0.25">
      <c r="A150" s="2">
        <f>'Peak Areas'!A146</f>
        <v>136</v>
      </c>
      <c r="B150" s="62">
        <f>'Peak Areas'!B146</f>
        <v>45884</v>
      </c>
      <c r="C150" s="2" t="str">
        <f>'Peak Areas'!C146</f>
        <v>solvent</v>
      </c>
      <c r="D150" s="2">
        <f>'Peak Areas'!D146</f>
        <v>0</v>
      </c>
      <c r="E150" s="2">
        <f>'Peak Areas'!E146</f>
        <v>0</v>
      </c>
      <c r="F150" s="30">
        <f>'Peak Areas'!F146</f>
        <v>0.1</v>
      </c>
      <c r="G150" s="30">
        <f>((1/'Peak Areas'!$G146)*(('Peak Areas'!$H146+('Internal Standard'!$E$10/1000))/'Peak Areas'!$F146)*'Peak Areas'!$J146)*H150</f>
        <v>4.1868133413326333E-2</v>
      </c>
      <c r="H150" s="30">
        <f>(('Internal Standard'!$F$13*('Peak Areas'!G146/'Internal Standard'!$C$10))/'Peak Areas'!AB146)</f>
        <v>0.98513255090179608</v>
      </c>
      <c r="I150" s="30">
        <f>IF('Peak Areas'!L146=0,0,((('Peak Areas'!L146*Coefficients!$G$21+Coefficients!$H$21)*$G150)))</f>
        <v>0</v>
      </c>
      <c r="J150" s="30">
        <f>IF('Peak Areas'!M146=0,0,((('Peak Areas'!M146*Coefficients!$G$20+Coefficients!$H$20)*$G150)))</f>
        <v>9.5727434861035174E-2</v>
      </c>
      <c r="K150" s="30">
        <f>IF('Peak Areas'!N146=0,0,((('Peak Areas'!N146*Coefficients!$G$41+Coefficients!$H$41)*$G150)))</f>
        <v>8.2403854511544306E-2</v>
      </c>
      <c r="L150" s="30">
        <f>IF('Peak Areas'!O146=0,0,((('Peak Areas'!O146*Coefficients!$G$10+Coefficients!$H$10)*$G150)))</f>
        <v>0</v>
      </c>
      <c r="M150" s="30">
        <f>IF('Peak Areas'!P146=0,0,((('Peak Areas'!P146*Coefficients!$G$32+Coefficients!$H$32)*$G150)))</f>
        <v>0.70012953820671586</v>
      </c>
      <c r="N150" s="30">
        <f>IF('Peak Areas'!Q146=0,0,((('Peak Areas'!Q146*Coefficients!$G$11+Coefficients!$H$11)*$G150)))</f>
        <v>0</v>
      </c>
      <c r="O150" s="30">
        <f>IF('Peak Areas'!R146=0,0,((('Peak Areas'!R146*Coefficients!$G$39+Coefficients!$H$39)*$G150)))</f>
        <v>0.16758076379389969</v>
      </c>
      <c r="P150" s="30">
        <f>IF('Peak Areas'!S146=0,0,((('Peak Areas'!S146*Coefficients!$G$46+Coefficients!$H$46)*$G150)))</f>
        <v>0</v>
      </c>
      <c r="Q150" s="30">
        <f>IF('Peak Areas'!T146=0,0,((('Peak Areas'!T146*Coefficients!$G$51+Coefficients!$H$51)*$G150)))</f>
        <v>0.85687306307956601</v>
      </c>
      <c r="R150" s="30">
        <f>IF('Peak Areas'!U146=0,0,((('Peak Areas'!U146*Coefficients!$G$26+Coefficients!$H$26)*$G150)))</f>
        <v>0.27061290992619536</v>
      </c>
      <c r="S150" s="30">
        <f>IF('Peak Areas'!V146=0,0,((('Peak Areas'!V146*Coefficients!$G$13+Coefficients!$H$13)*$G150)))</f>
        <v>0.20196783686431963</v>
      </c>
      <c r="T150" s="30">
        <f>IF('Peak Areas'!W146=0,0,((('Peak Areas'!W146*Coefficients!$G$12+Coefficients!$H$12)*$G150)))</f>
        <v>0.22997399085970371</v>
      </c>
      <c r="U150" s="30">
        <f>IF('Peak Areas'!X146=0,0,((('Peak Areas'!X146*Coefficients!$G$27+Coefficients!$H$27)*$G150)))</f>
        <v>2.848771842875197E-2</v>
      </c>
      <c r="V150" s="30">
        <f>IF('Peak Areas'!Y146=0,0,((('Peak Areas'!Y146*Coefficients!$G$34+Coefficients!$H$34)*$G150)))</f>
        <v>0.54989697973504648</v>
      </c>
      <c r="W150" s="30">
        <f>IF('Peak Areas'!Z146=0,0,((('Peak Areas'!Z146*Coefficients!$G$52+Coefficients!$H$52)*$G150)))</f>
        <v>0.46596787549139779</v>
      </c>
      <c r="X150" s="30">
        <f>IF('Peak Areas'!AA146=0,0,((('Peak Areas'!AA146*Coefficients!$G$33+Coefficients!$H$33)*$G150)))</f>
        <v>0.11785727927140491</v>
      </c>
      <c r="Y150" s="30">
        <f>IF('Peak Areas'!AC146=0,0,((('Peak Areas'!AC146*Coefficients!$G$19+Coefficients!$H$19)*$G150)))</f>
        <v>0.49646241122255003</v>
      </c>
      <c r="Z150" s="30">
        <f>IF('Peak Areas'!AD146=0,0,((('Peak Areas'!AD146*Coefficients!$G$18+Coefficients!$H$18)*$G150)))</f>
        <v>0.11672382582431851</v>
      </c>
      <c r="AA150" s="30">
        <f>IF('Peak Areas'!AE146=0,0,((('Peak Areas'!AE146*Coefficients!$G$18+Coefficients!$H$18)*$G150)))</f>
        <v>5.3307864408051016</v>
      </c>
      <c r="AB150" s="30">
        <f>IF('Peak Areas'!AF146=0,0,((('Peak Areas'!AF146*Coefficients!$G$18+Coefficients!$H$18)*$G150)))</f>
        <v>0.56282643435421276</v>
      </c>
      <c r="AC150" s="30">
        <f>IF('Peak Areas'!AG146=0,0,((('Peak Areas'!AG146*Coefficients!$G$7+Coefficients!$H$7)*$G150)))</f>
        <v>0</v>
      </c>
      <c r="AD150" s="30">
        <f>IF('Peak Areas'!AH146=0,0,((('Peak Areas'!AH146*Coefficients!$G$6+Coefficients!$H$6)*$G150)))</f>
        <v>0.25136096193770552</v>
      </c>
      <c r="AF150" s="30">
        <f>IF('Peak Areas'!K146=0,0,((('Peak Areas'!K146*Coefficients!$G$22+Coefficients!$H$22)*$G150)))</f>
        <v>4.1634998749421115E-2</v>
      </c>
      <c r="AG150" s="30">
        <f t="shared" si="4"/>
        <v>5.3724214395545227</v>
      </c>
      <c r="AH150" s="30">
        <f t="shared" si="5"/>
        <v>6.0519716997330537</v>
      </c>
    </row>
    <row r="151" spans="1:34" x14ac:dyDescent="0.25">
      <c r="A151" s="2">
        <f>'Peak Areas'!A147</f>
        <v>137</v>
      </c>
      <c r="B151" s="62">
        <f>'Peak Areas'!B147</f>
        <v>45884</v>
      </c>
      <c r="C151" s="2" t="str">
        <f>'Peak Areas'!C147</f>
        <v>nut</v>
      </c>
      <c r="D151" s="2">
        <f>'Peak Areas'!D147</f>
        <v>0</v>
      </c>
      <c r="E151" s="2">
        <f>'Peak Areas'!E147</f>
        <v>0</v>
      </c>
      <c r="F151" s="30">
        <f>'Peak Areas'!F147</f>
        <v>0.1</v>
      </c>
      <c r="G151" s="30">
        <f>((1/'Peak Areas'!$G147)*(('Peak Areas'!$H147+('Internal Standard'!$E$10/1000))/'Peak Areas'!$F147)*'Peak Areas'!$J147)*H151</f>
        <v>4.164907842810571E-2</v>
      </c>
      <c r="H151" s="30">
        <f>(('Internal Standard'!$F$13*('Peak Areas'!G147/'Internal Standard'!$C$10))/'Peak Areas'!AB147)</f>
        <v>0.97997831595542839</v>
      </c>
      <c r="I151" s="30">
        <f>IF('Peak Areas'!L147=0,0,((('Peak Areas'!L147*Coefficients!$G$21+Coefficients!$H$21)*$G151)))</f>
        <v>0</v>
      </c>
      <c r="J151" s="30">
        <f>IF('Peak Areas'!M147=0,0,((('Peak Areas'!M147*Coefficients!$G$20+Coefficients!$H$20)*$G151)))</f>
        <v>0.30769768283655974</v>
      </c>
      <c r="K151" s="30">
        <f>IF('Peak Areas'!N147=0,0,((('Peak Areas'!N147*Coefficients!$G$41+Coefficients!$H$41)*$G151)))</f>
        <v>8.8735735755145928E-2</v>
      </c>
      <c r="L151" s="30">
        <f>IF('Peak Areas'!O147=0,0,((('Peak Areas'!O147*Coefficients!$G$10+Coefficients!$H$10)*$G151)))</f>
        <v>0</v>
      </c>
      <c r="M151" s="30">
        <f>IF('Peak Areas'!P147=0,0,((('Peak Areas'!P147*Coefficients!$G$32+Coefficients!$H$32)*$G151)))</f>
        <v>1.4993940928127139</v>
      </c>
      <c r="N151" s="30">
        <f>IF('Peak Areas'!Q147=0,0,((('Peak Areas'!Q147*Coefficients!$G$11+Coefficients!$H$11)*$G151)))</f>
        <v>0</v>
      </c>
      <c r="O151" s="30">
        <f>IF('Peak Areas'!R147=0,0,((('Peak Areas'!R147*Coefficients!$G$39+Coefficients!$H$39)*$G151)))</f>
        <v>0.24282891533423506</v>
      </c>
      <c r="P151" s="30">
        <f>IF('Peak Areas'!S147=0,0,((('Peak Areas'!S147*Coefficients!$G$46+Coefficients!$H$46)*$G151)))</f>
        <v>0</v>
      </c>
      <c r="Q151" s="30">
        <f>IF('Peak Areas'!T147=0,0,((('Peak Areas'!T147*Coefficients!$G$51+Coefficients!$H$51)*$G151)))</f>
        <v>1.1298824704235872</v>
      </c>
      <c r="R151" s="30">
        <f>IF('Peak Areas'!U147=0,0,((('Peak Areas'!U147*Coefficients!$G$26+Coefficients!$H$26)*$G151)))</f>
        <v>0.44427417820796089</v>
      </c>
      <c r="S151" s="30">
        <f>IF('Peak Areas'!V147=0,0,((('Peak Areas'!V147*Coefficients!$G$13+Coefficients!$H$13)*$G151)))</f>
        <v>0.25652707127799068</v>
      </c>
      <c r="T151" s="30">
        <f>IF('Peak Areas'!W147=0,0,((('Peak Areas'!W147*Coefficients!$G$12+Coefficients!$H$12)*$G151)))</f>
        <v>0.68969073643074597</v>
      </c>
      <c r="U151" s="30">
        <f>IF('Peak Areas'!X147=0,0,((('Peak Areas'!X147*Coefficients!$G$27+Coefficients!$H$27)*$G151)))</f>
        <v>2.644110731156761E-2</v>
      </c>
      <c r="V151" s="30">
        <f>IF('Peak Areas'!Y147=0,0,((('Peak Areas'!Y147*Coefficients!$G$34+Coefficients!$H$34)*$G151)))</f>
        <v>1.4977001442587186</v>
      </c>
      <c r="W151" s="30">
        <f>IF('Peak Areas'!Z147=0,0,((('Peak Areas'!Z147*Coefficients!$G$52+Coefficients!$H$52)*$G151)))</f>
        <v>0.49690279219637573</v>
      </c>
      <c r="X151" s="30">
        <f>IF('Peak Areas'!AA147=0,0,((('Peak Areas'!AA147*Coefficients!$G$33+Coefficients!$H$33)*$G151)))</f>
        <v>0.13093868841272216</v>
      </c>
      <c r="Y151" s="30">
        <f>IF('Peak Areas'!AC147=0,0,((('Peak Areas'!AC147*Coefficients!$G$19+Coefficients!$H$19)*$G151)))</f>
        <v>1.4977537121222251</v>
      </c>
      <c r="Z151" s="30">
        <f>IF('Peak Areas'!AD147=0,0,((('Peak Areas'!AD147*Coefficients!$G$18+Coefficients!$H$18)*$G151)))</f>
        <v>0.11214419195809784</v>
      </c>
      <c r="AA151" s="30">
        <f>IF('Peak Areas'!AE147=0,0,((('Peak Areas'!AE147*Coefficients!$G$18+Coefficients!$H$18)*$G151)))</f>
        <v>12.014674834400701</v>
      </c>
      <c r="AB151" s="30">
        <f>IF('Peak Areas'!AF147=0,0,((('Peak Areas'!AF147*Coefficients!$G$18+Coefficients!$H$18)*$G151)))</f>
        <v>0.98569394540532018</v>
      </c>
      <c r="AC151" s="30">
        <f>IF('Peak Areas'!AG147=0,0,((('Peak Areas'!AG147*Coefficients!$G$7+Coefficients!$H$7)*$G151)))</f>
        <v>0</v>
      </c>
      <c r="AD151" s="30">
        <f>IF('Peak Areas'!AH147=0,0,((('Peak Areas'!AH147*Coefficients!$G$6+Coefficients!$H$6)*$G151)))</f>
        <v>0.26412243229087057</v>
      </c>
      <c r="AF151" s="30">
        <f>IF('Peak Areas'!K147=0,0,((('Peak Areas'!K147*Coefficients!$G$22+Coefficients!$H$22)*$G151)))</f>
        <v>0.13646327391744981</v>
      </c>
      <c r="AG151" s="30">
        <f t="shared" si="4"/>
        <v>12.15113810831815</v>
      </c>
      <c r="AH151" s="30">
        <f t="shared" si="5"/>
        <v>13.248976245681568</v>
      </c>
    </row>
    <row r="152" spans="1:34" x14ac:dyDescent="0.25">
      <c r="A152" s="2">
        <f>'Peak Areas'!A148</f>
        <v>138</v>
      </c>
      <c r="B152" s="62">
        <f>'Peak Areas'!B148</f>
        <v>45884</v>
      </c>
      <c r="C152" s="2" t="str">
        <f>'Peak Areas'!C148</f>
        <v>nut</v>
      </c>
      <c r="D152" s="2">
        <f>'Peak Areas'!D148</f>
        <v>0</v>
      </c>
      <c r="E152" s="2">
        <f>'Peak Areas'!E148</f>
        <v>0</v>
      </c>
      <c r="F152" s="30">
        <f>'Peak Areas'!F148</f>
        <v>0.1</v>
      </c>
      <c r="G152" s="30">
        <f>((1/'Peak Areas'!$G148)*(('Peak Areas'!$H148+('Internal Standard'!$E$10/1000))/'Peak Areas'!$F148)*'Peak Areas'!$J148)*H152</f>
        <v>4.2365996220916996E-2</v>
      </c>
      <c r="H152" s="30">
        <f>(('Internal Standard'!$F$13*('Peak Areas'!G148/'Internal Standard'!$C$10))/'Peak Areas'!AB148)</f>
        <v>0.99684696990392929</v>
      </c>
      <c r="I152" s="30">
        <f>IF('Peak Areas'!L148=0,0,((('Peak Areas'!L148*Coefficients!$G$21+Coefficients!$H$21)*$G152)))</f>
        <v>0</v>
      </c>
      <c r="J152" s="30">
        <f>IF('Peak Areas'!M148=0,0,((('Peak Areas'!M148*Coefficients!$G$20+Coefficients!$H$20)*$G152)))</f>
        <v>0.34501133585802835</v>
      </c>
      <c r="K152" s="30">
        <f>IF('Peak Areas'!N148=0,0,((('Peak Areas'!N148*Coefficients!$G$41+Coefficients!$H$41)*$G152)))</f>
        <v>8.0583453762703178E-2</v>
      </c>
      <c r="L152" s="30">
        <f>IF('Peak Areas'!O148=0,0,((('Peak Areas'!O148*Coefficients!$G$10+Coefficients!$H$10)*$G152)))</f>
        <v>0</v>
      </c>
      <c r="M152" s="30">
        <f>IF('Peak Areas'!P148=0,0,((('Peak Areas'!P148*Coefficients!$G$32+Coefficients!$H$32)*$G152)))</f>
        <v>1.5904196857298551</v>
      </c>
      <c r="N152" s="30">
        <f>IF('Peak Areas'!Q148=0,0,((('Peak Areas'!Q148*Coefficients!$G$11+Coefficients!$H$11)*$G152)))</f>
        <v>0</v>
      </c>
      <c r="O152" s="30">
        <f>IF('Peak Areas'!R148=0,0,((('Peak Areas'!R148*Coefficients!$G$39+Coefficients!$H$39)*$G152)))</f>
        <v>0.46255930559997449</v>
      </c>
      <c r="P152" s="30">
        <f>IF('Peak Areas'!S148=0,0,((('Peak Areas'!S148*Coefficients!$G$46+Coefficients!$H$46)*$G152)))</f>
        <v>0</v>
      </c>
      <c r="Q152" s="30">
        <f>IF('Peak Areas'!T148=0,0,((('Peak Areas'!T148*Coefficients!$G$51+Coefficients!$H$51)*$G152)))</f>
        <v>1.1055737663233345</v>
      </c>
      <c r="R152" s="30">
        <f>IF('Peak Areas'!U148=0,0,((('Peak Areas'!U148*Coefficients!$G$26+Coefficients!$H$26)*$G152)))</f>
        <v>0.45537989797066553</v>
      </c>
      <c r="S152" s="30">
        <f>IF('Peak Areas'!V148=0,0,((('Peak Areas'!V148*Coefficients!$G$13+Coefficients!$H$13)*$G152)))</f>
        <v>0.23560668628957207</v>
      </c>
      <c r="T152" s="30">
        <f>IF('Peak Areas'!W148=0,0,((('Peak Areas'!W148*Coefficients!$G$12+Coefficients!$H$12)*$G152)))</f>
        <v>0.74151765624808907</v>
      </c>
      <c r="U152" s="30">
        <f>IF('Peak Areas'!X148=0,0,((('Peak Areas'!X148*Coefficients!$G$27+Coefficients!$H$27)*$G152)))</f>
        <v>2.8599075404290398E-2</v>
      </c>
      <c r="V152" s="30">
        <f>IF('Peak Areas'!Y148=0,0,((('Peak Areas'!Y148*Coefficients!$G$34+Coefficients!$H$34)*$G152)))</f>
        <v>1.4935476421186915</v>
      </c>
      <c r="W152" s="30">
        <f>IF('Peak Areas'!Z148=0,0,((('Peak Areas'!Z148*Coefficients!$G$52+Coefficients!$H$52)*$G152)))</f>
        <v>0.48676333419841294</v>
      </c>
      <c r="X152" s="30">
        <f>IF('Peak Areas'!AA148=0,0,((('Peak Areas'!AA148*Coefficients!$G$33+Coefficients!$H$33)*$G152)))</f>
        <v>0.13525123906462727</v>
      </c>
      <c r="Y152" s="30">
        <f>IF('Peak Areas'!AC148=0,0,((('Peak Areas'!AC148*Coefficients!$G$19+Coefficients!$H$19)*$G152)))</f>
        <v>1.510304154990161</v>
      </c>
      <c r="Z152" s="30">
        <f>IF('Peak Areas'!AD148=0,0,((('Peak Areas'!AD148*Coefficients!$G$18+Coefficients!$H$18)*$G152)))</f>
        <v>0.12549269022674497</v>
      </c>
      <c r="AA152" s="30">
        <f>IF('Peak Areas'!AE148=0,0,((('Peak Areas'!AE148*Coefficients!$G$18+Coefficients!$H$18)*$G152)))</f>
        <v>13.039145816836271</v>
      </c>
      <c r="AB152" s="30">
        <f>IF('Peak Areas'!AF148=0,0,((('Peak Areas'!AF148*Coefficients!$G$18+Coefficients!$H$18)*$G152)))</f>
        <v>1.0856825088153941</v>
      </c>
      <c r="AC152" s="30">
        <f>IF('Peak Areas'!AG148=0,0,((('Peak Areas'!AG148*Coefficients!$G$7+Coefficients!$H$7)*$G152)))</f>
        <v>0</v>
      </c>
      <c r="AD152" s="30">
        <f>IF('Peak Areas'!AH148=0,0,((('Peak Areas'!AH148*Coefficients!$G$6+Coefficients!$H$6)*$G152)))</f>
        <v>0.64916671928540925</v>
      </c>
      <c r="AF152" s="30">
        <f>IF('Peak Areas'!K148=0,0,((('Peak Areas'!K148*Coefficients!$G$22+Coefficients!$H$22)*$G152)))</f>
        <v>0.15545187134688518</v>
      </c>
      <c r="AG152" s="30">
        <f t="shared" si="4"/>
        <v>13.194597688183157</v>
      </c>
      <c r="AH152" s="30">
        <f t="shared" si="5"/>
        <v>14.405772887225295</v>
      </c>
    </row>
    <row r="153" spans="1:34" x14ac:dyDescent="0.25">
      <c r="A153" s="2">
        <f>'Peak Areas'!A149</f>
        <v>139</v>
      </c>
      <c r="B153" s="62">
        <f>'Peak Areas'!B149</f>
        <v>45884</v>
      </c>
      <c r="C153" s="2" t="str">
        <f>'Peak Areas'!C149</f>
        <v xml:space="preserve">solvent nut </v>
      </c>
      <c r="D153" s="2">
        <f>'Peak Areas'!D149</f>
        <v>0</v>
      </c>
      <c r="E153" s="2">
        <f>'Peak Areas'!E149</f>
        <v>0</v>
      </c>
      <c r="F153" s="30">
        <f>'Peak Areas'!F149</f>
        <v>0.1</v>
      </c>
      <c r="G153" s="30">
        <f>((1/'Peak Areas'!$G149)*(('Peak Areas'!$H149+('Internal Standard'!$E$10/1000))/'Peak Areas'!$F149)*'Peak Areas'!$J149)*H153</f>
        <v>4.1169446124122475E-2</v>
      </c>
      <c r="H153" s="30">
        <f>(('Internal Standard'!$F$13*('Peak Areas'!G149/'Internal Standard'!$C$10))/'Peak Areas'!AB149)</f>
        <v>0.96869284997935223</v>
      </c>
      <c r="I153" s="30">
        <f>IF('Peak Areas'!L149=0,0,((('Peak Areas'!L149*Coefficients!$G$21+Coefficients!$H$21)*$G153)))</f>
        <v>0</v>
      </c>
      <c r="J153" s="30">
        <f>IF('Peak Areas'!M149=0,0,((('Peak Areas'!M149*Coefficients!$G$20+Coefficients!$H$20)*$G153)))</f>
        <v>0.36950536094113834</v>
      </c>
      <c r="K153" s="30">
        <f>IF('Peak Areas'!N149=0,0,((('Peak Areas'!N149*Coefficients!$G$41+Coefficients!$H$41)*$G153)))</f>
        <v>8.1707227789584697E-2</v>
      </c>
      <c r="L153" s="30">
        <f>IF('Peak Areas'!O149=0,0,((('Peak Areas'!O149*Coefficients!$G$10+Coefficients!$H$10)*$G153)))</f>
        <v>0</v>
      </c>
      <c r="M153" s="30">
        <f>IF('Peak Areas'!P149=0,0,((('Peak Areas'!P149*Coefficients!$G$32+Coefficients!$H$32)*$G153)))</f>
        <v>1.5559838737672302</v>
      </c>
      <c r="N153" s="30">
        <f>IF('Peak Areas'!Q149=0,0,((('Peak Areas'!Q149*Coefficients!$G$11+Coefficients!$H$11)*$G153)))</f>
        <v>0</v>
      </c>
      <c r="O153" s="30">
        <f>IF('Peak Areas'!R149=0,0,((('Peak Areas'!R149*Coefficients!$G$39+Coefficients!$H$39)*$G153)))</f>
        <v>0.47987319689156044</v>
      </c>
      <c r="P153" s="30">
        <f>IF('Peak Areas'!S149=0,0,((('Peak Areas'!S149*Coefficients!$G$46+Coefficients!$H$46)*$G153)))</f>
        <v>0</v>
      </c>
      <c r="Q153" s="30">
        <f>IF('Peak Areas'!T149=0,0,((('Peak Areas'!T149*Coefficients!$G$51+Coefficients!$H$51)*$G153)))</f>
        <v>1.1790008107288079</v>
      </c>
      <c r="R153" s="30">
        <f>IF('Peak Areas'!U149=0,0,((('Peak Areas'!U149*Coefficients!$G$26+Coefficients!$H$26)*$G153)))</f>
        <v>0.4696210644666155</v>
      </c>
      <c r="S153" s="30">
        <f>IF('Peak Areas'!V149=0,0,((('Peak Areas'!V149*Coefficients!$G$13+Coefficients!$H$13)*$G153)))</f>
        <v>0.22466013114947334</v>
      </c>
      <c r="T153" s="30">
        <f>IF('Peak Areas'!W149=0,0,((('Peak Areas'!W149*Coefficients!$G$12+Coefficients!$H$12)*$G153)))</f>
        <v>0.61708746983010532</v>
      </c>
      <c r="U153" s="30">
        <f>IF('Peak Areas'!X149=0,0,((('Peak Areas'!X149*Coefficients!$G$27+Coefficients!$H$27)*$G153)))</f>
        <v>2.7842736137796711E-2</v>
      </c>
      <c r="V153" s="30">
        <f>IF('Peak Areas'!Y149=0,0,((('Peak Areas'!Y149*Coefficients!$G$34+Coefficients!$H$34)*$G153)))</f>
        <v>1.6333883151992048</v>
      </c>
      <c r="W153" s="30">
        <f>IF('Peak Areas'!Z149=0,0,((('Peak Areas'!Z149*Coefficients!$G$52+Coefficients!$H$52)*$G153)))</f>
        <v>0.67560615922982525</v>
      </c>
      <c r="X153" s="30">
        <f>IF('Peak Areas'!AA149=0,0,((('Peak Areas'!AA149*Coefficients!$G$33+Coefficients!$H$33)*$G153)))</f>
        <v>0.14811948826527768</v>
      </c>
      <c r="Y153" s="30">
        <f>IF('Peak Areas'!AC149=0,0,((('Peak Areas'!AC149*Coefficients!$G$19+Coefficients!$H$19)*$G153)))</f>
        <v>1.584094739512121</v>
      </c>
      <c r="Z153" s="30">
        <f>IF('Peak Areas'!AD149=0,0,((('Peak Areas'!AD149*Coefficients!$G$18+Coefficients!$H$18)*$G153)))</f>
        <v>0.20568419138007163</v>
      </c>
      <c r="AA153" s="30">
        <f>IF('Peak Areas'!AE149=0,0,((('Peak Areas'!AE149*Coefficients!$G$18+Coefficients!$H$18)*$G153)))</f>
        <v>12.841323275400514</v>
      </c>
      <c r="AB153" s="30">
        <f>IF('Peak Areas'!AF149=0,0,((('Peak Areas'!AF149*Coefficients!$G$18+Coefficients!$H$18)*$G153)))</f>
        <v>1.0605672131785646</v>
      </c>
      <c r="AC153" s="30">
        <f>IF('Peak Areas'!AG149=0,0,((('Peak Areas'!AG149*Coefficients!$G$7+Coefficients!$H$7)*$G153)))</f>
        <v>0</v>
      </c>
      <c r="AD153" s="30">
        <f>IF('Peak Areas'!AH149=0,0,((('Peak Areas'!AH149*Coefficients!$G$6+Coefficients!$H$6)*$G153)))</f>
        <v>0.56925379219835004</v>
      </c>
      <c r="AF153" s="30">
        <f>IF('Peak Areas'!K149=0,0,((('Peak Areas'!K149*Coefficients!$G$22+Coefficients!$H$22)*$G153)))</f>
        <v>0.17471758460613215</v>
      </c>
      <c r="AG153" s="30">
        <f t="shared" si="4"/>
        <v>13.016040860006646</v>
      </c>
      <c r="AH153" s="30">
        <f t="shared" si="5"/>
        <v>14.282292264565283</v>
      </c>
    </row>
    <row r="154" spans="1:34" x14ac:dyDescent="0.25">
      <c r="A154" s="2">
        <f>'Peak Areas'!A150</f>
        <v>140</v>
      </c>
      <c r="B154" s="62">
        <f>'Peak Areas'!B150</f>
        <v>45884</v>
      </c>
      <c r="C154" s="2" t="str">
        <f>'Peak Areas'!C150</f>
        <v xml:space="preserve">solvent nut </v>
      </c>
      <c r="D154" s="2">
        <f>'Peak Areas'!D150</f>
        <v>0</v>
      </c>
      <c r="E154" s="2">
        <f>'Peak Areas'!E150</f>
        <v>0</v>
      </c>
      <c r="F154" s="30">
        <f>'Peak Areas'!F150</f>
        <v>0.1</v>
      </c>
      <c r="G154" s="30">
        <f>((1/'Peak Areas'!$G150)*(('Peak Areas'!$H150+('Internal Standard'!$E$10/1000))/'Peak Areas'!$F150)*'Peak Areas'!$J150)*H154</f>
        <v>4.3317631107283358E-2</v>
      </c>
      <c r="H154" s="30">
        <f>(('Internal Standard'!$F$13*('Peak Areas'!G150/'Internal Standard'!$C$10))/'Peak Areas'!AB150)</f>
        <v>1.0192383789949024</v>
      </c>
      <c r="I154" s="30">
        <f>IF('Peak Areas'!L150=0,0,((('Peak Areas'!L150*Coefficients!$G$21+Coefficients!$H$21)*$G154)))</f>
        <v>0</v>
      </c>
      <c r="J154" s="30">
        <f>IF('Peak Areas'!M150=0,0,((('Peak Areas'!M150*Coefficients!$G$20+Coefficients!$H$20)*$G154)))</f>
        <v>0.36463537736442875</v>
      </c>
      <c r="K154" s="30">
        <f>IF('Peak Areas'!N150=0,0,((('Peak Areas'!N150*Coefficients!$G$41+Coefficients!$H$41)*$G154)))</f>
        <v>8.2333418764914706E-2</v>
      </c>
      <c r="L154" s="30">
        <f>IF('Peak Areas'!O150=0,0,((('Peak Areas'!O150*Coefficients!$G$10+Coefficients!$H$10)*$G154)))</f>
        <v>0</v>
      </c>
      <c r="M154" s="30">
        <f>IF('Peak Areas'!P150=0,0,((('Peak Areas'!P150*Coefficients!$G$32+Coefficients!$H$32)*$G154)))</f>
        <v>1.5461803307545341</v>
      </c>
      <c r="N154" s="30">
        <f>IF('Peak Areas'!Q150=0,0,((('Peak Areas'!Q150*Coefficients!$G$11+Coefficients!$H$11)*$G154)))</f>
        <v>0</v>
      </c>
      <c r="O154" s="30">
        <f>IF('Peak Areas'!R150=0,0,((('Peak Areas'!R150*Coefficients!$G$39+Coefficients!$H$39)*$G154)))</f>
        <v>0.50234985175707358</v>
      </c>
      <c r="P154" s="30">
        <f>IF('Peak Areas'!S150=0,0,((('Peak Areas'!S150*Coefficients!$G$46+Coefficients!$H$46)*$G154)))</f>
        <v>0</v>
      </c>
      <c r="Q154" s="30">
        <f>IF('Peak Areas'!T150=0,0,((('Peak Areas'!T150*Coefficients!$G$51+Coefficients!$H$51)*$G154)))</f>
        <v>1.1824487651104869</v>
      </c>
      <c r="R154" s="30">
        <f>IF('Peak Areas'!U150=0,0,((('Peak Areas'!U150*Coefficients!$G$26+Coefficients!$H$26)*$G154)))</f>
        <v>0.4610664348213056</v>
      </c>
      <c r="S154" s="30">
        <f>IF('Peak Areas'!V150=0,0,((('Peak Areas'!V150*Coefficients!$G$13+Coefficients!$H$13)*$G154)))</f>
        <v>0.21907129498190359</v>
      </c>
      <c r="T154" s="30">
        <f>IF('Peak Areas'!W150=0,0,((('Peak Areas'!W150*Coefficients!$G$12+Coefficients!$H$12)*$G154)))</f>
        <v>0.5862710700085878</v>
      </c>
      <c r="U154" s="30">
        <f>IF('Peak Areas'!X150=0,0,((('Peak Areas'!X150*Coefficients!$G$27+Coefficients!$H$27)*$G154)))</f>
        <v>2.8262793498073389E-2</v>
      </c>
      <c r="V154" s="30">
        <f>IF('Peak Areas'!Y150=0,0,((('Peak Areas'!Y150*Coefficients!$G$34+Coefficients!$H$34)*$G154)))</f>
        <v>1.7250906845747747</v>
      </c>
      <c r="W154" s="30">
        <f>IF('Peak Areas'!Z150=0,0,((('Peak Areas'!Z150*Coefficients!$G$52+Coefficients!$H$52)*$G154)))</f>
        <v>0.70054585252895896</v>
      </c>
      <c r="X154" s="30">
        <f>IF('Peak Areas'!AA150=0,0,((('Peak Areas'!AA150*Coefficients!$G$33+Coefficients!$H$33)*$G154)))</f>
        <v>0.15847936461751599</v>
      </c>
      <c r="Y154" s="30">
        <f>IF('Peak Areas'!AC150=0,0,((('Peak Areas'!AC150*Coefficients!$G$19+Coefficients!$H$19)*$G154)))</f>
        <v>1.6190576973044015</v>
      </c>
      <c r="Z154" s="30">
        <f>IF('Peak Areas'!AD150=0,0,((('Peak Areas'!AD150*Coefficients!$G$18+Coefficients!$H$18)*$G154)))</f>
        <v>0.23140083608170789</v>
      </c>
      <c r="AA154" s="30">
        <f>IF('Peak Areas'!AE150=0,0,((('Peak Areas'!AE150*Coefficients!$G$18+Coefficients!$H$18)*$G154)))</f>
        <v>12.127476871216919</v>
      </c>
      <c r="AB154" s="30">
        <f>IF('Peak Areas'!AF150=0,0,((('Peak Areas'!AF150*Coefficients!$G$18+Coefficients!$H$18)*$G154)))</f>
        <v>0.98408547311573313</v>
      </c>
      <c r="AC154" s="30">
        <f>IF('Peak Areas'!AG150=0,0,((('Peak Areas'!AG150*Coefficients!$G$7+Coefficients!$H$7)*$G154)))</f>
        <v>0</v>
      </c>
      <c r="AD154" s="30">
        <f>IF('Peak Areas'!AH150=0,0,((('Peak Areas'!AH150*Coefficients!$G$6+Coefficients!$H$6)*$G154)))</f>
        <v>0.2745916025135533</v>
      </c>
      <c r="AF154" s="30">
        <f>IF('Peak Areas'!K150=0,0,((('Peak Areas'!K150*Coefficients!$G$22+Coefficients!$H$22)*$G154)))</f>
        <v>0.18881544503068973</v>
      </c>
      <c r="AG154" s="30">
        <f t="shared" si="4"/>
        <v>12.316292316247608</v>
      </c>
      <c r="AH154" s="30">
        <f t="shared" si="5"/>
        <v>13.53177862544505</v>
      </c>
    </row>
    <row r="155" spans="1:34" x14ac:dyDescent="0.25">
      <c r="A155" s="2">
        <f>'Peak Areas'!A151</f>
        <v>141</v>
      </c>
      <c r="B155" s="62">
        <f>'Peak Areas'!B151</f>
        <v>45884</v>
      </c>
      <c r="C155" s="2" t="str">
        <f>'Peak Areas'!C151</f>
        <v>control 25</v>
      </c>
      <c r="D155" s="2">
        <f>'Peak Areas'!D151</f>
        <v>0</v>
      </c>
      <c r="E155" s="2">
        <f>'Peak Areas'!E151</f>
        <v>0</v>
      </c>
      <c r="F155" s="30">
        <f>'Peak Areas'!F151</f>
        <v>0.1</v>
      </c>
      <c r="G155" s="30">
        <f>((1/'Peak Areas'!$G151)*(('Peak Areas'!$H151+('Internal Standard'!$E$10/1000))/'Peak Areas'!$F151)*'Peak Areas'!$J151)*H155</f>
        <v>4.2187570842758045E-2</v>
      </c>
      <c r="H155" s="30">
        <f>(('Internal Standard'!$F$13*('Peak Areas'!G151/'Internal Standard'!$C$10))/'Peak Areas'!AB151)</f>
        <v>0.99264872571195395</v>
      </c>
      <c r="I155" s="30">
        <f>IF('Peak Areas'!L151=0,0,((('Peak Areas'!L151*Coefficients!$G$21+Coefficients!$H$21)*$G155)))</f>
        <v>0</v>
      </c>
      <c r="J155" s="30">
        <f>IF('Peak Areas'!M151=0,0,((('Peak Areas'!M151*Coefficients!$G$20+Coefficients!$H$20)*$G155)))</f>
        <v>6.7693582100054467E-2</v>
      </c>
      <c r="K155" s="30">
        <f>IF('Peak Areas'!N151=0,0,((('Peak Areas'!N151*Coefficients!$G$41+Coefficients!$H$41)*$G155)))</f>
        <v>1.9094928021081863E-2</v>
      </c>
      <c r="L155" s="30">
        <f>IF('Peak Areas'!O151=0,0,((('Peak Areas'!O151*Coefficients!$G$10+Coefficients!$H$10)*$G155)))</f>
        <v>0</v>
      </c>
      <c r="M155" s="30">
        <f>IF('Peak Areas'!P151=0,0,((('Peak Areas'!P151*Coefficients!$G$32+Coefficients!$H$32)*$G155)))</f>
        <v>0.36034172308362367</v>
      </c>
      <c r="N155" s="30">
        <f>IF('Peak Areas'!Q151=0,0,((('Peak Areas'!Q151*Coefficients!$G$11+Coefficients!$H$11)*$G155)))</f>
        <v>0</v>
      </c>
      <c r="O155" s="30">
        <f>IF('Peak Areas'!R151=0,0,((('Peak Areas'!R151*Coefficients!$G$39+Coefficients!$H$39)*$G155)))</f>
        <v>9.6158833109859967E-2</v>
      </c>
      <c r="P155" s="30">
        <f>IF('Peak Areas'!S151=0,0,((('Peak Areas'!S151*Coefficients!$G$46+Coefficients!$H$46)*$G155)))</f>
        <v>0</v>
      </c>
      <c r="Q155" s="30">
        <f>IF('Peak Areas'!T151=0,0,((('Peak Areas'!T151*Coefficients!$G$51+Coefficients!$H$51)*$G155)))</f>
        <v>0.31863855997836149</v>
      </c>
      <c r="R155" s="30">
        <f>IF('Peak Areas'!U151=0,0,((('Peak Areas'!U151*Coefficients!$G$26+Coefficients!$H$26)*$G155)))</f>
        <v>7.2495200836709503E-2</v>
      </c>
      <c r="S155" s="30">
        <f>IF('Peak Areas'!V151=0,0,((('Peak Areas'!V151*Coefficients!$G$13+Coefficients!$H$13)*$G155)))</f>
        <v>3.294544876039484E-2</v>
      </c>
      <c r="T155" s="30">
        <f>IF('Peak Areas'!W151=0,0,((('Peak Areas'!W151*Coefficients!$G$12+Coefficients!$H$12)*$G155)))</f>
        <v>0.11480084329944355</v>
      </c>
      <c r="U155" s="30">
        <f>IF('Peak Areas'!X151=0,0,((('Peak Areas'!X151*Coefficients!$G$27+Coefficients!$H$27)*$G155)))</f>
        <v>0</v>
      </c>
      <c r="V155" s="30">
        <f>IF('Peak Areas'!Y151=0,0,((('Peak Areas'!Y151*Coefficients!$G$34+Coefficients!$H$34)*$G155)))</f>
        <v>1.1279576380754804E-2</v>
      </c>
      <c r="W155" s="30">
        <f>IF('Peak Areas'!Z151=0,0,((('Peak Areas'!Z151*Coefficients!$G$52+Coefficients!$H$52)*$G155)))</f>
        <v>0.14776043710481621</v>
      </c>
      <c r="X155" s="30">
        <f>IF('Peak Areas'!AA151=0,0,((('Peak Areas'!AA151*Coefficients!$G$33+Coefficients!$H$33)*$G155)))</f>
        <v>5.8892122009027881E-2</v>
      </c>
      <c r="Y155" s="30">
        <f>IF('Peak Areas'!AC151=0,0,((('Peak Areas'!AC151*Coefficients!$G$19+Coefficients!$H$19)*$G155)))</f>
        <v>0.3508041003786711</v>
      </c>
      <c r="Z155" s="30">
        <f>IF('Peak Areas'!AD151=0,0,((('Peak Areas'!AD151*Coefficients!$G$18+Coefficients!$H$18)*$G155)))</f>
        <v>5.5026033339026996E-2</v>
      </c>
      <c r="AA155" s="30">
        <f>IF('Peak Areas'!AE151=0,0,((('Peak Areas'!AE151*Coefficients!$G$18+Coefficients!$H$18)*$G155)))</f>
        <v>2.7775306838084783</v>
      </c>
      <c r="AB155" s="30">
        <f>IF('Peak Areas'!AF151=0,0,((('Peak Areas'!AF151*Coefficients!$G$18+Coefficients!$H$18)*$G155)))</f>
        <v>0.24024079248274902</v>
      </c>
      <c r="AC155" s="30">
        <f>IF('Peak Areas'!AG151=0,0,((('Peak Areas'!AG151*Coefficients!$G$7+Coefficients!$H$7)*$G155)))</f>
        <v>0</v>
      </c>
      <c r="AD155" s="30">
        <f>IF('Peak Areas'!AH151=0,0,((('Peak Areas'!AH151*Coefficients!$G$6+Coefficients!$H$6)*$G155)))</f>
        <v>5.7798948913523121E-2</v>
      </c>
      <c r="AF155" s="30">
        <f>IF('Peak Areas'!K151=0,0,((('Peak Areas'!K151*Coefficients!$G$22+Coefficients!$H$22)*$G155)))</f>
        <v>0</v>
      </c>
      <c r="AG155" s="30">
        <f t="shared" si="4"/>
        <v>2.7775306838084783</v>
      </c>
      <c r="AH155" s="30">
        <f t="shared" si="5"/>
        <v>3.0727975096302544</v>
      </c>
    </row>
    <row r="156" spans="1:34" x14ac:dyDescent="0.25">
      <c r="A156" s="2">
        <f>'Peak Areas'!A152</f>
        <v>142</v>
      </c>
      <c r="B156" s="62">
        <f>'Peak Areas'!B152</f>
        <v>45884</v>
      </c>
      <c r="C156" s="2" t="str">
        <f>'Peak Areas'!C152</f>
        <v>control 25</v>
      </c>
      <c r="D156" s="2">
        <f>'Peak Areas'!D152</f>
        <v>0</v>
      </c>
      <c r="E156" s="2">
        <f>'Peak Areas'!E152</f>
        <v>0</v>
      </c>
      <c r="F156" s="30">
        <f>'Peak Areas'!F152</f>
        <v>0.1</v>
      </c>
      <c r="G156" s="30">
        <f>((1/'Peak Areas'!$G152)*(('Peak Areas'!$H152+('Internal Standard'!$E$10/1000))/'Peak Areas'!$F152)*'Peak Areas'!$J152)*H156</f>
        <v>4.3109469751567507E-2</v>
      </c>
      <c r="H156" s="30">
        <f>(('Internal Standard'!$F$13*('Peak Areas'!G152/'Internal Standard'!$C$10))/'Peak Areas'!AB152)</f>
        <v>1.0143404647427647</v>
      </c>
      <c r="I156" s="30">
        <f>IF('Peak Areas'!L152=0,0,((('Peak Areas'!L152*Coefficients!$G$21+Coefficients!$H$21)*$G156)))</f>
        <v>0</v>
      </c>
      <c r="J156" s="30">
        <f>IF('Peak Areas'!M152=0,0,((('Peak Areas'!M152*Coefficients!$G$20+Coefficients!$H$20)*$G156)))</f>
        <v>1.7492352284610449E-2</v>
      </c>
      <c r="K156" s="30">
        <f>IF('Peak Areas'!N152=0,0,((('Peak Areas'!N152*Coefficients!$G$41+Coefficients!$H$41)*$G156)))</f>
        <v>0</v>
      </c>
      <c r="L156" s="30">
        <f>IF('Peak Areas'!O152=0,0,((('Peak Areas'!O152*Coefficients!$G$10+Coefficients!$H$10)*$G156)))</f>
        <v>0</v>
      </c>
      <c r="M156" s="30">
        <f>IF('Peak Areas'!P152=0,0,((('Peak Areas'!P152*Coefficients!$G$32+Coefficients!$H$32)*$G156)))</f>
        <v>0.18029878459373488</v>
      </c>
      <c r="N156" s="30">
        <f>IF('Peak Areas'!Q152=0,0,((('Peak Areas'!Q152*Coefficients!$G$11+Coefficients!$H$11)*$G156)))</f>
        <v>0</v>
      </c>
      <c r="O156" s="30">
        <f>IF('Peak Areas'!R152=0,0,((('Peak Areas'!R152*Coefficients!$G$39+Coefficients!$H$39)*$G156)))</f>
        <v>3.4179183685781808E-2</v>
      </c>
      <c r="P156" s="30">
        <f>IF('Peak Areas'!S152=0,0,((('Peak Areas'!S152*Coefficients!$G$46+Coefficients!$H$46)*$G156)))</f>
        <v>0</v>
      </c>
      <c r="Q156" s="30">
        <f>IF('Peak Areas'!T152=0,0,((('Peak Areas'!T152*Coefficients!$G$51+Coefficients!$H$51)*$G156)))</f>
        <v>0.17071702598971733</v>
      </c>
      <c r="R156" s="30">
        <f>IF('Peak Areas'!U152=0,0,((('Peak Areas'!U152*Coefficients!$G$26+Coefficients!$H$26)*$G156)))</f>
        <v>5.9555716536462633E-2</v>
      </c>
      <c r="S156" s="30">
        <f>IF('Peak Areas'!V152=0,0,((('Peak Areas'!V152*Coefficients!$G$13+Coefficients!$H$13)*$G156)))</f>
        <v>4.723118976557146E-2</v>
      </c>
      <c r="T156" s="30">
        <f>IF('Peak Areas'!W152=0,0,((('Peak Areas'!W152*Coefficients!$G$12+Coefficients!$H$12)*$G156)))</f>
        <v>5.4825284836318426E-2</v>
      </c>
      <c r="U156" s="30">
        <f>IF('Peak Areas'!X152=0,0,((('Peak Areas'!X152*Coefficients!$G$27+Coefficients!$H$27)*$G156)))</f>
        <v>0</v>
      </c>
      <c r="V156" s="30">
        <f>IF('Peak Areas'!Y152=0,0,((('Peak Areas'!Y152*Coefficients!$G$34+Coefficients!$H$34)*$G156)))</f>
        <v>0.14112415390115393</v>
      </c>
      <c r="W156" s="30">
        <f>IF('Peak Areas'!Z152=0,0,((('Peak Areas'!Z152*Coefficients!$G$52+Coefficients!$H$52)*$G156)))</f>
        <v>8.285906654519673E-2</v>
      </c>
      <c r="X156" s="30">
        <f>IF('Peak Areas'!AA152=0,0,((('Peak Areas'!AA152*Coefficients!$G$33+Coefficients!$H$33)*$G156)))</f>
        <v>0</v>
      </c>
      <c r="Y156" s="30">
        <f>IF('Peak Areas'!AC152=0,0,((('Peak Areas'!AC152*Coefficients!$G$19+Coefficients!$H$19)*$G156)))</f>
        <v>0.17043982060967891</v>
      </c>
      <c r="Z156" s="30">
        <f>IF('Peak Areas'!AD152=0,0,((('Peak Areas'!AD152*Coefficients!$G$18+Coefficients!$H$18)*$G156)))</f>
        <v>0</v>
      </c>
      <c r="AA156" s="30">
        <f>IF('Peak Areas'!AE152=0,0,((('Peak Areas'!AE152*Coefficients!$G$18+Coefficients!$H$18)*$G156)))</f>
        <v>1.3824931738472805</v>
      </c>
      <c r="AB156" s="30">
        <f>IF('Peak Areas'!AF152=0,0,((('Peak Areas'!AF152*Coefficients!$G$18+Coefficients!$H$18)*$G156)))</f>
        <v>0.12955896732082786</v>
      </c>
      <c r="AC156" s="30">
        <f>IF('Peak Areas'!AG152=0,0,((('Peak Areas'!AG152*Coefficients!$G$7+Coefficients!$H$7)*$G156)))</f>
        <v>0</v>
      </c>
      <c r="AD156" s="30">
        <f>IF('Peak Areas'!AH152=0,0,((('Peak Areas'!AH152*Coefficients!$G$6+Coefficients!$H$6)*$G156)))</f>
        <v>2.8846117137095353E-2</v>
      </c>
      <c r="AF156" s="30">
        <f>IF('Peak Areas'!K152=0,0,((('Peak Areas'!K152*Coefficients!$G$22+Coefficients!$H$22)*$G156)))</f>
        <v>0</v>
      </c>
      <c r="AG156" s="30">
        <f t="shared" si="4"/>
        <v>1.3824931738472805</v>
      </c>
      <c r="AH156" s="30">
        <f t="shared" si="5"/>
        <v>1.5120521411681085</v>
      </c>
    </row>
    <row r="157" spans="1:34" x14ac:dyDescent="0.25">
      <c r="A157" s="2">
        <f>'Peak Areas'!A153</f>
        <v>143</v>
      </c>
      <c r="B157" s="62">
        <f>'Peak Areas'!B153</f>
        <v>45884</v>
      </c>
      <c r="C157" s="2" t="str">
        <f>'Peak Areas'!C153</f>
        <v>control 50</v>
      </c>
      <c r="D157" s="2">
        <f>'Peak Areas'!D153</f>
        <v>0</v>
      </c>
      <c r="E157" s="2">
        <f>'Peak Areas'!E153</f>
        <v>0</v>
      </c>
      <c r="F157" s="30">
        <f>'Peak Areas'!F153</f>
        <v>0.1</v>
      </c>
      <c r="G157" s="30">
        <f>((1/'Peak Areas'!$G153)*(('Peak Areas'!$H153+('Internal Standard'!$E$10/1000))/'Peak Areas'!$F153)*'Peak Areas'!$J153)*H157</f>
        <v>4.2498867667432973E-2</v>
      </c>
      <c r="H157" s="30">
        <f>(('Internal Standard'!$F$13*('Peak Areas'!G153/'Internal Standard'!$C$10))/'Peak Areas'!AB153)</f>
        <v>0.99997335688077582</v>
      </c>
      <c r="I157" s="30">
        <f>IF('Peak Areas'!L153=0,0,((('Peak Areas'!L153*Coefficients!$G$21+Coefficients!$H$21)*$G157)))</f>
        <v>0</v>
      </c>
      <c r="J157" s="30">
        <f>IF('Peak Areas'!M153=0,0,((('Peak Areas'!M153*Coefficients!$G$20+Coefficients!$H$20)*$G157)))</f>
        <v>3.7961437328131481E-2</v>
      </c>
      <c r="K157" s="30">
        <f>IF('Peak Areas'!N153=0,0,((('Peak Areas'!N153*Coefficients!$G$41+Coefficients!$H$41)*$G157)))</f>
        <v>2.0268029412088176E-2</v>
      </c>
      <c r="L157" s="30">
        <f>IF('Peak Areas'!O153=0,0,((('Peak Areas'!O153*Coefficients!$G$10+Coefficients!$H$10)*$G157)))</f>
        <v>0</v>
      </c>
      <c r="M157" s="30">
        <f>IF('Peak Areas'!P153=0,0,((('Peak Areas'!P153*Coefficients!$G$32+Coefficients!$H$32)*$G157)))</f>
        <v>0.33337475374503533</v>
      </c>
      <c r="N157" s="30">
        <f>IF('Peak Areas'!Q153=0,0,((('Peak Areas'!Q153*Coefficients!$G$11+Coefficients!$H$11)*$G157)))</f>
        <v>0</v>
      </c>
      <c r="O157" s="30">
        <f>IF('Peak Areas'!R153=0,0,((('Peak Areas'!R153*Coefficients!$G$39+Coefficients!$H$39)*$G157)))</f>
        <v>6.1431141282020332E-2</v>
      </c>
      <c r="P157" s="30">
        <f>IF('Peak Areas'!S153=0,0,((('Peak Areas'!S153*Coefficients!$G$46+Coefficients!$H$46)*$G157)))</f>
        <v>0</v>
      </c>
      <c r="Q157" s="30">
        <f>IF('Peak Areas'!T153=0,0,((('Peak Areas'!T153*Coefficients!$G$51+Coefficients!$H$51)*$G157)))</f>
        <v>0.38688090544547366</v>
      </c>
      <c r="R157" s="30">
        <f>IF('Peak Areas'!U153=0,0,((('Peak Areas'!U153*Coefficients!$G$26+Coefficients!$H$26)*$G157)))</f>
        <v>0.13281479602478791</v>
      </c>
      <c r="S157" s="30">
        <f>IF('Peak Areas'!V153=0,0,((('Peak Areas'!V153*Coefficients!$G$13+Coefficients!$H$13)*$G157)))</f>
        <v>8.6667991786088514E-2</v>
      </c>
      <c r="T157" s="30">
        <f>IF('Peak Areas'!W153=0,0,((('Peak Areas'!W153*Coefficients!$G$12+Coefficients!$H$12)*$G157)))</f>
        <v>9.2056055169458556E-2</v>
      </c>
      <c r="U157" s="30">
        <f>IF('Peak Areas'!X153=0,0,((('Peak Areas'!X153*Coefficients!$G$27+Coefficients!$H$27)*$G157)))</f>
        <v>0</v>
      </c>
      <c r="V157" s="30">
        <f>IF('Peak Areas'!Y153=0,0,((('Peak Areas'!Y153*Coefficients!$G$34+Coefficients!$H$34)*$G157)))</f>
        <v>9.328417947826434E-3</v>
      </c>
      <c r="W157" s="30">
        <f>IF('Peak Areas'!Z153=0,0,((('Peak Areas'!Z153*Coefficients!$G$52+Coefficients!$H$52)*$G157)))</f>
        <v>0.14318238673795777</v>
      </c>
      <c r="X157" s="30">
        <f>IF('Peak Areas'!AA153=0,0,((('Peak Areas'!AA153*Coefficients!$G$33+Coefficients!$H$33)*$G157)))</f>
        <v>5.3966475407852162E-2</v>
      </c>
      <c r="Y157" s="30">
        <f>IF('Peak Areas'!AC153=0,0,((('Peak Areas'!AC153*Coefficients!$G$19+Coefficients!$H$19)*$G157)))</f>
        <v>0.27127859827438938</v>
      </c>
      <c r="Z157" s="30">
        <f>IF('Peak Areas'!AD153=0,0,((('Peak Areas'!AD153*Coefficients!$G$18+Coefficients!$H$18)*$G157)))</f>
        <v>0</v>
      </c>
      <c r="AA157" s="30">
        <f>IF('Peak Areas'!AE153=0,0,((('Peak Areas'!AE153*Coefficients!$G$18+Coefficients!$H$18)*$G157)))</f>
        <v>2.4134446090942956</v>
      </c>
      <c r="AB157" s="30">
        <f>IF('Peak Areas'!AF153=0,0,((('Peak Areas'!AF153*Coefficients!$G$18+Coefficients!$H$18)*$G157)))</f>
        <v>0.2320938896300698</v>
      </c>
      <c r="AC157" s="30">
        <f>IF('Peak Areas'!AG153=0,0,((('Peak Areas'!AG153*Coefficients!$G$7+Coefficients!$H$7)*$G157)))</f>
        <v>0</v>
      </c>
      <c r="AD157" s="30">
        <f>IF('Peak Areas'!AH153=0,0,((('Peak Areas'!AH153*Coefficients!$G$6+Coefficients!$H$6)*$G157)))</f>
        <v>4.7402570155021938E-2</v>
      </c>
      <c r="AF157" s="30">
        <f>IF('Peak Areas'!K153=0,0,((('Peak Areas'!K153*Coefficients!$G$22+Coefficients!$H$22)*$G157)))</f>
        <v>0</v>
      </c>
      <c r="AG157" s="30">
        <f t="shared" si="4"/>
        <v>2.4134446090942956</v>
      </c>
      <c r="AH157" s="30">
        <f t="shared" si="5"/>
        <v>2.6455384987243655</v>
      </c>
    </row>
    <row r="158" spans="1:34" x14ac:dyDescent="0.25">
      <c r="A158" s="2">
        <f>'Peak Areas'!A154</f>
        <v>144</v>
      </c>
      <c r="B158" s="62">
        <f>'Peak Areas'!B154</f>
        <v>45884</v>
      </c>
      <c r="C158" s="2" t="str">
        <f>'Peak Areas'!C154</f>
        <v>control 50</v>
      </c>
      <c r="D158" s="2">
        <f>'Peak Areas'!D154</f>
        <v>0</v>
      </c>
      <c r="E158" s="2">
        <f>'Peak Areas'!E154</f>
        <v>0</v>
      </c>
      <c r="F158" s="30">
        <f>'Peak Areas'!F154</f>
        <v>0.1</v>
      </c>
      <c r="G158" s="30">
        <f>((1/'Peak Areas'!$G154)*(('Peak Areas'!$H154+('Internal Standard'!$E$10/1000))/'Peak Areas'!$F154)*'Peak Areas'!$J154)*H158</f>
        <v>4.3779030331386873E-2</v>
      </c>
      <c r="H158" s="30">
        <f>(('Internal Standard'!$F$13*('Peak Areas'!G154/'Internal Standard'!$C$10))/'Peak Areas'!AB154)</f>
        <v>1.0300948313267499</v>
      </c>
      <c r="I158" s="30">
        <f>IF('Peak Areas'!L154=0,0,((('Peak Areas'!L154*Coefficients!$G$21+Coefficients!$H$21)*$G158)))</f>
        <v>0</v>
      </c>
      <c r="J158" s="30">
        <f>IF('Peak Areas'!M154=0,0,((('Peak Areas'!M154*Coefficients!$G$20+Coefficients!$H$20)*$G158)))</f>
        <v>3.3465132855803673E-2</v>
      </c>
      <c r="K158" s="30">
        <f>IF('Peak Areas'!N154=0,0,((('Peak Areas'!N154*Coefficients!$G$41+Coefficients!$H$41)*$G158)))</f>
        <v>1.3070928393875763E-2</v>
      </c>
      <c r="L158" s="30">
        <f>IF('Peak Areas'!O154=0,0,((('Peak Areas'!O154*Coefficients!$G$10+Coefficients!$H$10)*$G158)))</f>
        <v>0</v>
      </c>
      <c r="M158" s="30">
        <f>IF('Peak Areas'!P154=0,0,((('Peak Areas'!P154*Coefficients!$G$32+Coefficients!$H$32)*$G158)))</f>
        <v>0.35763003081404399</v>
      </c>
      <c r="N158" s="30">
        <f>IF('Peak Areas'!Q154=0,0,((('Peak Areas'!Q154*Coefficients!$G$11+Coefficients!$H$11)*$G158)))</f>
        <v>0</v>
      </c>
      <c r="O158" s="30">
        <f>IF('Peak Areas'!R154=0,0,((('Peak Areas'!R154*Coefficients!$G$39+Coefficients!$H$39)*$G158)))</f>
        <v>6.7203971471299848E-2</v>
      </c>
      <c r="P158" s="30">
        <f>IF('Peak Areas'!S154=0,0,((('Peak Areas'!S154*Coefficients!$G$46+Coefficients!$H$46)*$G158)))</f>
        <v>0</v>
      </c>
      <c r="Q158" s="30">
        <f>IF('Peak Areas'!T154=0,0,((('Peak Areas'!T154*Coefficients!$G$51+Coefficients!$H$51)*$G158)))</f>
        <v>0.41915323858771686</v>
      </c>
      <c r="R158" s="30">
        <f>IF('Peak Areas'!U154=0,0,((('Peak Areas'!U154*Coefficients!$G$26+Coefficients!$H$26)*$G158)))</f>
        <v>0.13839091416231095</v>
      </c>
      <c r="S158" s="30">
        <f>IF('Peak Areas'!V154=0,0,((('Peak Areas'!V154*Coefficients!$G$13+Coefficients!$H$13)*$G158)))</f>
        <v>8.7567650933056948E-2</v>
      </c>
      <c r="T158" s="30">
        <f>IF('Peak Areas'!W154=0,0,((('Peak Areas'!W154*Coefficients!$G$12+Coefficients!$H$12)*$G158)))</f>
        <v>9.8431389622005538E-2</v>
      </c>
      <c r="U158" s="30">
        <f>IF('Peak Areas'!X154=0,0,((('Peak Areas'!X154*Coefficients!$G$27+Coefficients!$H$27)*$G158)))</f>
        <v>0</v>
      </c>
      <c r="V158" s="30">
        <f>IF('Peak Areas'!Y154=0,0,((('Peak Areas'!Y154*Coefficients!$G$34+Coefficients!$H$34)*$G158)))</f>
        <v>1.4837631786312267E-2</v>
      </c>
      <c r="W158" s="30">
        <f>IF('Peak Areas'!Z154=0,0,((('Peak Areas'!Z154*Coefficients!$G$52+Coefficients!$H$52)*$G158)))</f>
        <v>0.15553818307310224</v>
      </c>
      <c r="X158" s="30">
        <f>IF('Peak Areas'!AA154=0,0,((('Peak Areas'!AA154*Coefficients!$G$33+Coefficients!$H$33)*$G158)))</f>
        <v>3.8323176110078211E-2</v>
      </c>
      <c r="Y158" s="30">
        <f>IF('Peak Areas'!AC154=0,0,((('Peak Areas'!AC154*Coefficients!$G$19+Coefficients!$H$19)*$G158)))</f>
        <v>0.27178575703121571</v>
      </c>
      <c r="Z158" s="30">
        <f>IF('Peak Areas'!AD154=0,0,((('Peak Areas'!AD154*Coefficients!$G$18+Coefficients!$H$18)*$G158)))</f>
        <v>0</v>
      </c>
      <c r="AA158" s="30">
        <f>IF('Peak Areas'!AE154=0,0,((('Peak Areas'!AE154*Coefficients!$G$18+Coefficients!$H$18)*$G158)))</f>
        <v>2.5886763557771504</v>
      </c>
      <c r="AB158" s="30">
        <f>IF('Peak Areas'!AF154=0,0,((('Peak Areas'!AF154*Coefficients!$G$18+Coefficients!$H$18)*$G158)))</f>
        <v>0.25156404474049465</v>
      </c>
      <c r="AC158" s="30">
        <f>IF('Peak Areas'!AG154=0,0,((('Peak Areas'!AG154*Coefficients!$G$7+Coefficients!$H$7)*$G158)))</f>
        <v>0</v>
      </c>
      <c r="AD158" s="30">
        <f>IF('Peak Areas'!AH154=0,0,((('Peak Areas'!AH154*Coefficients!$G$6+Coefficients!$H$6)*$G158)))</f>
        <v>4.5182843376951415E-2</v>
      </c>
      <c r="AF158" s="30">
        <f>IF('Peak Areas'!K154=0,0,((('Peak Areas'!K154*Coefficients!$G$22+Coefficients!$H$22)*$G158)))</f>
        <v>0</v>
      </c>
      <c r="AG158" s="30">
        <f t="shared" si="4"/>
        <v>2.5886763557771504</v>
      </c>
      <c r="AH158" s="30">
        <f t="shared" si="5"/>
        <v>2.8402404005176449</v>
      </c>
    </row>
    <row r="159" spans="1:34" x14ac:dyDescent="0.25">
      <c r="A159" s="2">
        <f>'Peak Areas'!A155</f>
        <v>145</v>
      </c>
      <c r="B159" s="62">
        <f>'Peak Areas'!B155</f>
        <v>45884</v>
      </c>
      <c r="C159" s="2" t="str">
        <f>'Peak Areas'!C155</f>
        <v>control 75</v>
      </c>
      <c r="D159" s="2">
        <f>'Peak Areas'!D155</f>
        <v>0</v>
      </c>
      <c r="E159" s="2">
        <f>'Peak Areas'!E155</f>
        <v>0</v>
      </c>
      <c r="F159" s="30">
        <f>'Peak Areas'!F155</f>
        <v>0.1</v>
      </c>
      <c r="G159" s="30">
        <f>((1/'Peak Areas'!$G155)*(('Peak Areas'!$H155+('Internal Standard'!$E$10/1000))/'Peak Areas'!$F155)*'Peak Areas'!$J155)*H159</f>
        <v>4.5191813450112521E-2</v>
      </c>
      <c r="H159" s="30">
        <f>(('Internal Standard'!$F$13*('Peak Areas'!G155/'Internal Standard'!$C$10))/'Peak Areas'!AB155)</f>
        <v>1.0633367870614709</v>
      </c>
      <c r="I159" s="30">
        <f>IF('Peak Areas'!L155=0,0,((('Peak Areas'!L155*Coefficients!$G$21+Coefficients!$H$21)*$G159)))</f>
        <v>0</v>
      </c>
      <c r="J159" s="30">
        <f>IF('Peak Areas'!M155=0,0,((('Peak Areas'!M155*Coefficients!$G$20+Coefficients!$H$20)*$G159)))</f>
        <v>6.2362904619680082E-2</v>
      </c>
      <c r="K159" s="30">
        <f>IF('Peak Areas'!N155=0,0,((('Peak Areas'!N155*Coefficients!$G$41+Coefficients!$H$41)*$G159)))</f>
        <v>3.8494677732084467E-2</v>
      </c>
      <c r="L159" s="30">
        <f>IF('Peak Areas'!O155=0,0,((('Peak Areas'!O155*Coefficients!$G$10+Coefficients!$H$10)*$G159)))</f>
        <v>0</v>
      </c>
      <c r="M159" s="30">
        <f>IF('Peak Areas'!P155=0,0,((('Peak Areas'!P155*Coefficients!$G$32+Coefficients!$H$32)*$G159)))</f>
        <v>0.34959568158480314</v>
      </c>
      <c r="N159" s="30">
        <f>IF('Peak Areas'!Q155=0,0,((('Peak Areas'!Q155*Coefficients!$G$11+Coefficients!$H$11)*$G159)))</f>
        <v>0</v>
      </c>
      <c r="O159" s="30">
        <f>IF('Peak Areas'!R155=0,0,((('Peak Areas'!R155*Coefficients!$G$39+Coefficients!$H$39)*$G159)))</f>
        <v>0.10339240298999822</v>
      </c>
      <c r="P159" s="30">
        <f>IF('Peak Areas'!S155=0,0,((('Peak Areas'!S155*Coefficients!$G$46+Coefficients!$H$46)*$G159)))</f>
        <v>0</v>
      </c>
      <c r="Q159" s="30">
        <f>IF('Peak Areas'!T155=0,0,((('Peak Areas'!T155*Coefficients!$G$51+Coefficients!$H$51)*$G159)))</f>
        <v>0.63050441428931359</v>
      </c>
      <c r="R159" s="30">
        <f>IF('Peak Areas'!U155=0,0,((('Peak Areas'!U155*Coefficients!$G$26+Coefficients!$H$26)*$G159)))</f>
        <v>0.16716867086803419</v>
      </c>
      <c r="S159" s="30">
        <f>IF('Peak Areas'!V155=0,0,((('Peak Areas'!V155*Coefficients!$G$13+Coefficients!$H$13)*$G159)))</f>
        <v>0.15848887055841934</v>
      </c>
      <c r="T159" s="30">
        <f>IF('Peak Areas'!W155=0,0,((('Peak Areas'!W155*Coefficients!$G$12+Coefficients!$H$12)*$G159)))</f>
        <v>0.13774846242321592</v>
      </c>
      <c r="U159" s="30">
        <f>IF('Peak Areas'!X155=0,0,((('Peak Areas'!X155*Coefficients!$G$27+Coefficients!$H$27)*$G159)))</f>
        <v>8.8733247912549836E-3</v>
      </c>
      <c r="V159" s="30">
        <f>IF('Peak Areas'!Y155=0,0,((('Peak Areas'!Y155*Coefficients!$G$34+Coefficients!$H$34)*$G159)))</f>
        <v>0.36116529298412003</v>
      </c>
      <c r="W159" s="30">
        <f>IF('Peak Areas'!Z155=0,0,((('Peak Areas'!Z155*Coefficients!$G$52+Coefficients!$H$52)*$G159)))</f>
        <v>0.2228059120286407</v>
      </c>
      <c r="X159" s="30">
        <f>IF('Peak Areas'!AA155=0,0,((('Peak Areas'!AA155*Coefficients!$G$33+Coefficients!$H$33)*$G159)))</f>
        <v>4.48802967508551E-2</v>
      </c>
      <c r="Y159" s="30">
        <f>IF('Peak Areas'!AC155=0,0,((('Peak Areas'!AC155*Coefficients!$G$19+Coefficients!$H$19)*$G159)))</f>
        <v>0.30971030384005332</v>
      </c>
      <c r="Z159" s="30">
        <f>IF('Peak Areas'!AD155=0,0,((('Peak Areas'!AD155*Coefficients!$G$18+Coefficients!$H$18)*$G159)))</f>
        <v>7.028949377595356E-2</v>
      </c>
      <c r="AA159" s="30">
        <f>IF('Peak Areas'!AE155=0,0,((('Peak Areas'!AE155*Coefficients!$G$18+Coefficients!$H$18)*$G159)))</f>
        <v>3.4524947222211488</v>
      </c>
      <c r="AB159" s="30">
        <f>IF('Peak Areas'!AF155=0,0,((('Peak Areas'!AF155*Coefficients!$G$18+Coefficients!$H$18)*$G159)))</f>
        <v>0.35590577685206176</v>
      </c>
      <c r="AC159" s="30">
        <f>IF('Peak Areas'!AG155=0,0,((('Peak Areas'!AG155*Coefficients!$G$7+Coefficients!$H$7)*$G159)))</f>
        <v>0</v>
      </c>
      <c r="AD159" s="30">
        <f>IF('Peak Areas'!AH155=0,0,((('Peak Areas'!AH155*Coefficients!$G$6+Coefficients!$H$6)*$G159)))</f>
        <v>5.676684973346531E-2</v>
      </c>
      <c r="AF159" s="30">
        <f>IF('Peak Areas'!K155=0,0,((('Peak Areas'!K155*Coefficients!$G$22+Coefficients!$H$22)*$G159)))</f>
        <v>0</v>
      </c>
      <c r="AG159" s="30">
        <f t="shared" si="4"/>
        <v>3.4524947222211488</v>
      </c>
      <c r="AH159" s="30">
        <f t="shared" si="5"/>
        <v>3.8786899928491643</v>
      </c>
    </row>
    <row r="160" spans="1:34" x14ac:dyDescent="0.25">
      <c r="A160" s="2">
        <f>'Peak Areas'!A156</f>
        <v>146</v>
      </c>
      <c r="B160" s="62">
        <f>'Peak Areas'!B156</f>
        <v>45884</v>
      </c>
      <c r="C160" s="2" t="str">
        <f>'Peak Areas'!C156</f>
        <v>control 75</v>
      </c>
      <c r="D160" s="2">
        <f>'Peak Areas'!D156</f>
        <v>0</v>
      </c>
      <c r="E160" s="2">
        <f>'Peak Areas'!E156</f>
        <v>0</v>
      </c>
      <c r="F160" s="30">
        <f>'Peak Areas'!F156</f>
        <v>0.1</v>
      </c>
      <c r="G160" s="30">
        <f>((1/'Peak Areas'!$G156)*(('Peak Areas'!$H156+('Internal Standard'!$E$10/1000))/'Peak Areas'!$F156)*'Peak Areas'!$J156)*H160</f>
        <v>4.2699853789615112E-2</v>
      </c>
      <c r="H160" s="30">
        <f>(('Internal Standard'!$F$13*('Peak Areas'!G156/'Internal Standard'!$C$10))/'Peak Areas'!AB156)</f>
        <v>1.0047024421085908</v>
      </c>
      <c r="I160" s="30">
        <f>IF('Peak Areas'!L156=0,0,((('Peak Areas'!L156*Coefficients!$G$21+Coefficients!$H$21)*$G160)))</f>
        <v>0</v>
      </c>
      <c r="J160" s="30">
        <f>IF('Peak Areas'!M156=0,0,((('Peak Areas'!M156*Coefficients!$G$20+Coefficients!$H$20)*$G160)))</f>
        <v>4.5675999853910833E-2</v>
      </c>
      <c r="K160" s="30">
        <f>IF('Peak Areas'!N156=0,0,((('Peak Areas'!N156*Coefficients!$G$41+Coefficients!$H$41)*$G160)))</f>
        <v>1.0000450937030744E-2</v>
      </c>
      <c r="L160" s="30">
        <f>IF('Peak Areas'!O156=0,0,((('Peak Areas'!O156*Coefficients!$G$10+Coefficients!$H$10)*$G160)))</f>
        <v>0</v>
      </c>
      <c r="M160" s="30">
        <f>IF('Peak Areas'!P156=0,0,((('Peak Areas'!P156*Coefficients!$G$32+Coefficients!$H$32)*$G160)))</f>
        <v>0.48382263877543125</v>
      </c>
      <c r="N160" s="30">
        <f>IF('Peak Areas'!Q156=0,0,((('Peak Areas'!Q156*Coefficients!$G$11+Coefficients!$H$11)*$G160)))</f>
        <v>0</v>
      </c>
      <c r="O160" s="30">
        <f>IF('Peak Areas'!R156=0,0,((('Peak Areas'!R156*Coefficients!$G$39+Coefficients!$H$39)*$G160)))</f>
        <v>7.7548239361472371E-2</v>
      </c>
      <c r="P160" s="30">
        <f>IF('Peak Areas'!S156=0,0,((('Peak Areas'!S156*Coefficients!$G$46+Coefficients!$H$46)*$G160)))</f>
        <v>0</v>
      </c>
      <c r="Q160" s="30">
        <f>IF('Peak Areas'!T156=0,0,((('Peak Areas'!T156*Coefficients!$G$51+Coefficients!$H$51)*$G160)))</f>
        <v>0.61503306404915115</v>
      </c>
      <c r="R160" s="30">
        <f>IF('Peak Areas'!U156=0,0,((('Peak Areas'!U156*Coefficients!$G$26+Coefficients!$H$26)*$G160)))</f>
        <v>0.16346687815902236</v>
      </c>
      <c r="S160" s="30">
        <f>IF('Peak Areas'!V156=0,0,((('Peak Areas'!V156*Coefficients!$G$13+Coefficients!$H$13)*$G160)))</f>
        <v>0.15347377961903577</v>
      </c>
      <c r="T160" s="30">
        <f>IF('Peak Areas'!W156=0,0,((('Peak Areas'!W156*Coefficients!$G$12+Coefficients!$H$12)*$G160)))</f>
        <v>0.13361311817319266</v>
      </c>
      <c r="U160" s="30">
        <f>IF('Peak Areas'!X156=0,0,((('Peak Areas'!X156*Coefficients!$G$27+Coefficients!$H$27)*$G160)))</f>
        <v>1.1736580700351003E-2</v>
      </c>
      <c r="V160" s="30">
        <f>IF('Peak Areas'!Y156=0,0,((('Peak Areas'!Y156*Coefficients!$G$34+Coefficients!$H$34)*$G160)))</f>
        <v>0.35770176328883341</v>
      </c>
      <c r="W160" s="30">
        <f>IF('Peak Areas'!Z156=0,0,((('Peak Areas'!Z156*Coefficients!$G$52+Coefficients!$H$52)*$G160)))</f>
        <v>0.24284862513789715</v>
      </c>
      <c r="X160" s="30">
        <f>IF('Peak Areas'!AA156=0,0,((('Peak Areas'!AA156*Coefficients!$G$33+Coefficients!$H$33)*$G160)))</f>
        <v>8.639770811682615E-2</v>
      </c>
      <c r="Y160" s="30">
        <f>IF('Peak Areas'!AC156=0,0,((('Peak Areas'!AC156*Coefficients!$G$19+Coefficients!$H$19)*$G160)))</f>
        <v>0.31122357068513895</v>
      </c>
      <c r="Z160" s="30">
        <f>IF('Peak Areas'!AD156=0,0,((('Peak Areas'!AD156*Coefficients!$G$18+Coefficients!$H$18)*$G160)))</f>
        <v>0</v>
      </c>
      <c r="AA160" s="30">
        <f>IF('Peak Areas'!AE156=0,0,((('Peak Areas'!AE156*Coefficients!$G$18+Coefficients!$H$18)*$G160)))</f>
        <v>3.5510035413977912</v>
      </c>
      <c r="AB160" s="30">
        <f>IF('Peak Areas'!AF156=0,0,((('Peak Areas'!AF156*Coefficients!$G$18+Coefficients!$H$18)*$G160)))</f>
        <v>0.36327612845076274</v>
      </c>
      <c r="AC160" s="30">
        <f>IF('Peak Areas'!AG156=0,0,((('Peak Areas'!AG156*Coefficients!$G$7+Coefficients!$H$7)*$G160)))</f>
        <v>0</v>
      </c>
      <c r="AD160" s="30">
        <f>IF('Peak Areas'!AH156=0,0,((('Peak Areas'!AH156*Coefficients!$G$6+Coefficients!$H$6)*$G160)))</f>
        <v>0.1029115611905477</v>
      </c>
      <c r="AF160" s="30">
        <f>IF('Peak Areas'!K156=0,0,((('Peak Areas'!K156*Coefficients!$G$22+Coefficients!$H$22)*$G160)))</f>
        <v>2.1952449509824251E-2</v>
      </c>
      <c r="AG160" s="30">
        <f t="shared" si="4"/>
        <v>3.5729559909076154</v>
      </c>
      <c r="AH160" s="30">
        <f t="shared" si="5"/>
        <v>3.9362321193583782</v>
      </c>
    </row>
    <row r="161" spans="1:34" x14ac:dyDescent="0.25">
      <c r="A161" s="2">
        <f>'Peak Areas'!A157</f>
        <v>147</v>
      </c>
      <c r="B161" s="62">
        <f>'Peak Areas'!B157</f>
        <v>45884</v>
      </c>
      <c r="C161" s="2" t="str">
        <f>'Peak Areas'!C157</f>
        <v>control 100</v>
      </c>
      <c r="D161" s="2">
        <f>'Peak Areas'!D157</f>
        <v>0</v>
      </c>
      <c r="E161" s="2">
        <f>'Peak Areas'!E157</f>
        <v>0</v>
      </c>
      <c r="F161" s="30">
        <f>'Peak Areas'!F157</f>
        <v>0.1</v>
      </c>
      <c r="G161" s="30">
        <f>((1/'Peak Areas'!$G157)*(('Peak Areas'!$H157+('Internal Standard'!$E$10/1000))/'Peak Areas'!$F157)*'Peak Areas'!$J157)*H161</f>
        <v>4.3181936838685729E-2</v>
      </c>
      <c r="H161" s="30">
        <f>(('Internal Standard'!$F$13*('Peak Areas'!G157/'Internal Standard'!$C$10))/'Peak Areas'!AB157)</f>
        <v>1.0160455726749582</v>
      </c>
      <c r="I161" s="30">
        <f>IF('Peak Areas'!L157=0,0,((('Peak Areas'!L157*Coefficients!$G$21+Coefficients!$H$21)*$G161)))</f>
        <v>0</v>
      </c>
      <c r="J161" s="30">
        <f>IF('Peak Areas'!M157=0,0,((('Peak Areas'!M157*Coefficients!$G$20+Coefficients!$H$20)*$G161)))</f>
        <v>0.1154199275455608</v>
      </c>
      <c r="K161" s="30">
        <f>IF('Peak Areas'!N157=0,0,((('Peak Areas'!N157*Coefficients!$G$41+Coefficients!$H$41)*$G161)))</f>
        <v>3.4235584346488081E-2</v>
      </c>
      <c r="L161" s="30">
        <f>IF('Peak Areas'!O157=0,0,((('Peak Areas'!O157*Coefficients!$G$10+Coefficients!$H$10)*$G161)))</f>
        <v>0</v>
      </c>
      <c r="M161" s="30">
        <f>IF('Peak Areas'!P157=0,0,((('Peak Areas'!P157*Coefficients!$G$32+Coefficients!$H$32)*$G161)))</f>
        <v>0.77681367655635103</v>
      </c>
      <c r="N161" s="30">
        <f>IF('Peak Areas'!Q157=0,0,((('Peak Areas'!Q157*Coefficients!$G$11+Coefficients!$H$11)*$G161)))</f>
        <v>0</v>
      </c>
      <c r="O161" s="30">
        <f>IF('Peak Areas'!R157=0,0,((('Peak Areas'!R157*Coefficients!$G$39+Coefficients!$H$39)*$G161)))</f>
        <v>0.15490302251723681</v>
      </c>
      <c r="P161" s="30">
        <f>IF('Peak Areas'!S157=0,0,((('Peak Areas'!S157*Coefficients!$G$46+Coefficients!$H$46)*$G161)))</f>
        <v>0</v>
      </c>
      <c r="Q161" s="30">
        <f>IF('Peak Areas'!T157=0,0,((('Peak Areas'!T157*Coefficients!$G$51+Coefficients!$H$51)*$G161)))</f>
        <v>0.79353864481963399</v>
      </c>
      <c r="R161" s="30">
        <f>IF('Peak Areas'!U157=0,0,((('Peak Areas'!U157*Coefficients!$G$26+Coefficients!$H$26)*$G161)))</f>
        <v>0.2723420026978452</v>
      </c>
      <c r="S161" s="30">
        <f>IF('Peak Areas'!V157=0,0,((('Peak Areas'!V157*Coefficients!$G$13+Coefficients!$H$13)*$G161)))</f>
        <v>0.18117973313491118</v>
      </c>
      <c r="T161" s="30">
        <f>IF('Peak Areas'!W157=0,0,((('Peak Areas'!W157*Coefficients!$G$12+Coefficients!$H$12)*$G161)))</f>
        <v>0.2018731809571058</v>
      </c>
      <c r="U161" s="30">
        <f>IF('Peak Areas'!X157=0,0,((('Peak Areas'!X157*Coefficients!$G$27+Coefficients!$H$27)*$G161)))</f>
        <v>2.0326216028238368E-2</v>
      </c>
      <c r="V161" s="30">
        <f>IF('Peak Areas'!Y157=0,0,((('Peak Areas'!Y157*Coefficients!$G$34+Coefficients!$H$34)*$G161)))</f>
        <v>0.53982662043572194</v>
      </c>
      <c r="W161" s="30">
        <f>IF('Peak Areas'!Z157=0,0,((('Peak Areas'!Z157*Coefficients!$G$52+Coefficients!$H$52)*$G161)))</f>
        <v>0.33439257065311545</v>
      </c>
      <c r="X161" s="30">
        <f>IF('Peak Areas'!AA157=0,0,((('Peak Areas'!AA157*Coefficients!$G$33+Coefficients!$H$33)*$G161)))</f>
        <v>6.5680286797636697E-2</v>
      </c>
      <c r="Y161" s="30">
        <f>IF('Peak Areas'!AC157=0,0,((('Peak Areas'!AC157*Coefficients!$G$19+Coefficients!$H$19)*$G161)))</f>
        <v>0.47670287821936785</v>
      </c>
      <c r="Z161" s="30">
        <f>IF('Peak Areas'!AD157=0,0,((('Peak Areas'!AD157*Coefficients!$G$18+Coefficients!$H$18)*$G161)))</f>
        <v>9.6113474104035188E-2</v>
      </c>
      <c r="AA161" s="30">
        <f>IF('Peak Areas'!AE157=0,0,((('Peak Areas'!AE157*Coefficients!$G$18+Coefficients!$H$18)*$G161)))</f>
        <v>5.1413457534824873</v>
      </c>
      <c r="AB161" s="30">
        <f>IF('Peak Areas'!AF157=0,0,((('Peak Areas'!AF157*Coefficients!$G$18+Coefficients!$H$18)*$G161)))</f>
        <v>0.51346928592923369</v>
      </c>
      <c r="AC161" s="30">
        <f>IF('Peak Areas'!AG157=0,0,((('Peak Areas'!AG157*Coefficients!$G$7+Coefficients!$H$7)*$G161)))</f>
        <v>0</v>
      </c>
      <c r="AD161" s="30">
        <f>IF('Peak Areas'!AH157=0,0,((('Peak Areas'!AH157*Coefficients!$G$6+Coefficients!$H$6)*$G161)))</f>
        <v>0.12722571113535072</v>
      </c>
      <c r="AF161" s="30">
        <f>IF('Peak Areas'!K157=0,0,((('Peak Areas'!K157*Coefficients!$G$22+Coefficients!$H$22)*$G161)))</f>
        <v>4.6275452856750381E-2</v>
      </c>
      <c r="AG161" s="30">
        <f t="shared" si="4"/>
        <v>5.1876212063392373</v>
      </c>
      <c r="AH161" s="30">
        <f t="shared" si="5"/>
        <v>5.7972039663725061</v>
      </c>
    </row>
    <row r="162" spans="1:34" x14ac:dyDescent="0.25">
      <c r="A162" s="2">
        <f>'Peak Areas'!A158</f>
        <v>148</v>
      </c>
      <c r="B162" s="62">
        <f>'Peak Areas'!B158</f>
        <v>45884</v>
      </c>
      <c r="C162" s="2" t="str">
        <f>'Peak Areas'!C158</f>
        <v>control 100</v>
      </c>
      <c r="D162" s="2">
        <f>'Peak Areas'!D158</f>
        <v>0</v>
      </c>
      <c r="E162" s="2">
        <f>'Peak Areas'!E158</f>
        <v>0</v>
      </c>
      <c r="F162" s="30">
        <f>'Peak Areas'!F158</f>
        <v>0.1</v>
      </c>
      <c r="G162" s="30">
        <f>((1/'Peak Areas'!$G158)*(('Peak Areas'!$H158+('Internal Standard'!$E$10/1000))/'Peak Areas'!$F158)*'Peak Areas'!$J158)*H162</f>
        <v>4.3420722602020581E-2</v>
      </c>
      <c r="H162" s="30">
        <f>(('Internal Standard'!$F$13*('Peak Areas'!G158/'Internal Standard'!$C$10))/'Peak Areas'!AB158)</f>
        <v>1.0216640612240135</v>
      </c>
      <c r="I162" s="30">
        <f>IF('Peak Areas'!L158=0,0,((('Peak Areas'!L158*Coefficients!$G$21+Coefficients!$H$21)*$G162)))</f>
        <v>0</v>
      </c>
      <c r="J162" s="30">
        <f>IF('Peak Areas'!M158=0,0,((('Peak Areas'!M158*Coefficients!$G$20+Coefficients!$H$20)*$G162)))</f>
        <v>0.10380438301937595</v>
      </c>
      <c r="K162" s="30">
        <f>IF('Peak Areas'!N158=0,0,((('Peak Areas'!N158*Coefficients!$G$41+Coefficients!$H$41)*$G162)))</f>
        <v>6.5234053541438214E-2</v>
      </c>
      <c r="L162" s="30">
        <f>IF('Peak Areas'!O158=0,0,((('Peak Areas'!O158*Coefficients!$G$10+Coefficients!$H$10)*$G162)))</f>
        <v>0</v>
      </c>
      <c r="M162" s="30">
        <f>IF('Peak Areas'!P158=0,0,((('Peak Areas'!P158*Coefficients!$G$32+Coefficients!$H$32)*$G162)))</f>
        <v>0.81877289683052346</v>
      </c>
      <c r="N162" s="30">
        <f>IF('Peak Areas'!Q158=0,0,((('Peak Areas'!Q158*Coefficients!$G$11+Coefficients!$H$11)*$G162)))</f>
        <v>0</v>
      </c>
      <c r="O162" s="30">
        <f>IF('Peak Areas'!R158=0,0,((('Peak Areas'!R158*Coefficients!$G$39+Coefficients!$H$39)*$G162)))</f>
        <v>8.4177066701206504E-2</v>
      </c>
      <c r="P162" s="30">
        <f>IF('Peak Areas'!S158=0,0,((('Peak Areas'!S158*Coefficients!$G$46+Coefficients!$H$46)*$G162)))</f>
        <v>0</v>
      </c>
      <c r="Q162" s="30">
        <f>IF('Peak Areas'!T158=0,0,((('Peak Areas'!T158*Coefficients!$G$51+Coefficients!$H$51)*$G162)))</f>
        <v>0.91977132716102261</v>
      </c>
      <c r="R162" s="30">
        <f>IF('Peak Areas'!U158=0,0,((('Peak Areas'!U158*Coefficients!$G$26+Coefficients!$H$26)*$G162)))</f>
        <v>0.28894726750515576</v>
      </c>
      <c r="S162" s="30">
        <f>IF('Peak Areas'!V158=0,0,((('Peak Areas'!V158*Coefficients!$G$13+Coefficients!$H$13)*$G162)))</f>
        <v>0.22626156560097893</v>
      </c>
      <c r="T162" s="30">
        <f>IF('Peak Areas'!W158=0,0,((('Peak Areas'!W158*Coefficients!$G$12+Coefficients!$H$12)*$G162)))</f>
        <v>0.2128556027262393</v>
      </c>
      <c r="U162" s="30">
        <f>IF('Peak Areas'!X158=0,0,((('Peak Areas'!X158*Coefficients!$G$27+Coefficients!$H$27)*$G162)))</f>
        <v>2.5652602869510353E-2</v>
      </c>
      <c r="V162" s="30">
        <f>IF('Peak Areas'!Y158=0,0,((('Peak Areas'!Y158*Coefficients!$G$34+Coefficients!$H$34)*$G162)))</f>
        <v>0.56208328330025914</v>
      </c>
      <c r="W162" s="30">
        <f>IF('Peak Areas'!Z158=0,0,((('Peak Areas'!Z158*Coefficients!$G$52+Coefficients!$H$52)*$G162)))</f>
        <v>0.35148197123481445</v>
      </c>
      <c r="X162" s="30">
        <f>IF('Peak Areas'!AA158=0,0,((('Peak Areas'!AA158*Coefficients!$G$33+Coefficients!$H$33)*$G162)))</f>
        <v>6.3344031306845086E-2</v>
      </c>
      <c r="Y162" s="30">
        <f>IF('Peak Areas'!AC158=0,0,((('Peak Areas'!AC158*Coefficients!$G$19+Coefficients!$H$19)*$G162)))</f>
        <v>0.47898260395742442</v>
      </c>
      <c r="Z162" s="30">
        <f>IF('Peak Areas'!AD158=0,0,((('Peak Areas'!AD158*Coefficients!$G$18+Coefficients!$H$18)*$G162)))</f>
        <v>0.11593020305536761</v>
      </c>
      <c r="AA162" s="30">
        <f>IF('Peak Areas'!AE158=0,0,((('Peak Areas'!AE158*Coefficients!$G$18+Coefficients!$H$18)*$G162)))</f>
        <v>5.1481030485096477</v>
      </c>
      <c r="AB162" s="30">
        <f>IF('Peak Areas'!AF158=0,0,((('Peak Areas'!AF158*Coefficients!$G$18+Coefficients!$H$18)*$G162)))</f>
        <v>0.49778898038349595</v>
      </c>
      <c r="AC162" s="30">
        <f>IF('Peak Areas'!AG158=0,0,((('Peak Areas'!AG158*Coefficients!$G$7+Coefficients!$H$7)*$G162)))</f>
        <v>0</v>
      </c>
      <c r="AD162" s="30">
        <f>IF('Peak Areas'!AH158=0,0,((('Peak Areas'!AH158*Coefficients!$G$6+Coefficients!$H$6)*$G162)))</f>
        <v>9.3826357382497533E-2</v>
      </c>
      <c r="AF162" s="30">
        <f>IF('Peak Areas'!K158=0,0,((('Peak Areas'!K158*Coefficients!$G$22+Coefficients!$H$22)*$G162)))</f>
        <v>4.3344590760810375E-2</v>
      </c>
      <c r="AG162" s="30">
        <f t="shared" si="4"/>
        <v>5.191447639270458</v>
      </c>
      <c r="AH162" s="30">
        <f t="shared" si="5"/>
        <v>5.8051668227093218</v>
      </c>
    </row>
    <row r="163" spans="1:34" x14ac:dyDescent="0.25">
      <c r="A163" s="2">
        <f>'Peak Areas'!A159</f>
        <v>149</v>
      </c>
      <c r="B163" s="62">
        <f>'Peak Areas'!B159</f>
        <v>45884</v>
      </c>
      <c r="C163" s="2" t="str">
        <f>'Peak Areas'!C159</f>
        <v>nut 25</v>
      </c>
      <c r="D163" s="2">
        <f>'Peak Areas'!D159</f>
        <v>0</v>
      </c>
      <c r="E163" s="2">
        <f>'Peak Areas'!E159</f>
        <v>0</v>
      </c>
      <c r="F163" s="30">
        <f>'Peak Areas'!F159</f>
        <v>0.1</v>
      </c>
      <c r="G163" s="30">
        <f>((1/'Peak Areas'!$G159)*(('Peak Areas'!$H159+('Internal Standard'!$E$10/1000))/'Peak Areas'!$F159)*'Peak Areas'!$J159)*H163</f>
        <v>4.2415671827001733E-2</v>
      </c>
      <c r="H163" s="30">
        <f>(('Internal Standard'!$F$13*('Peak Areas'!G159/'Internal Standard'!$C$10))/'Peak Areas'!AB159)</f>
        <v>0.99801580769415832</v>
      </c>
      <c r="I163" s="30">
        <f>IF('Peak Areas'!L159=0,0,((('Peak Areas'!L159*Coefficients!$G$21+Coefficients!$H$21)*$G163)))</f>
        <v>0</v>
      </c>
      <c r="J163" s="30">
        <f>IF('Peak Areas'!M159=0,0,((('Peak Areas'!M159*Coefficients!$G$20+Coefficients!$H$20)*$G163)))</f>
        <v>7.4789063104597375E-2</v>
      </c>
      <c r="K163" s="30">
        <f>IF('Peak Areas'!N159=0,0,((('Peak Areas'!N159*Coefficients!$G$41+Coefficients!$H$41)*$G163)))</f>
        <v>2.7358681448973843E-2</v>
      </c>
      <c r="L163" s="30">
        <f>IF('Peak Areas'!O159=0,0,((('Peak Areas'!O159*Coefficients!$G$10+Coefficients!$H$10)*$G163)))</f>
        <v>0</v>
      </c>
      <c r="M163" s="30">
        <f>IF('Peak Areas'!P159=0,0,((('Peak Areas'!P159*Coefficients!$G$32+Coefficients!$H$32)*$G163)))</f>
        <v>0.52172986245948927</v>
      </c>
      <c r="N163" s="30">
        <f>IF('Peak Areas'!Q159=0,0,((('Peak Areas'!Q159*Coefficients!$G$11+Coefficients!$H$11)*$G163)))</f>
        <v>0</v>
      </c>
      <c r="O163" s="30">
        <f>IF('Peak Areas'!R159=0,0,((('Peak Areas'!R159*Coefficients!$G$39+Coefficients!$H$39)*$G163)))</f>
        <v>0.14723437563845013</v>
      </c>
      <c r="P163" s="30">
        <f>IF('Peak Areas'!S159=0,0,((('Peak Areas'!S159*Coefficients!$G$46+Coefficients!$H$46)*$G163)))</f>
        <v>0</v>
      </c>
      <c r="Q163" s="30">
        <f>IF('Peak Areas'!T159=0,0,((('Peak Areas'!T159*Coefficients!$G$51+Coefficients!$H$51)*$G163)))</f>
        <v>0.39463954721592021</v>
      </c>
      <c r="R163" s="30">
        <f>IF('Peak Areas'!U159=0,0,((('Peak Areas'!U159*Coefficients!$G$26+Coefficients!$H$26)*$G163)))</f>
        <v>0.15065873098255791</v>
      </c>
      <c r="S163" s="30">
        <f>IF('Peak Areas'!V159=0,0,((('Peak Areas'!V159*Coefficients!$G$13+Coefficients!$H$13)*$G163)))</f>
        <v>8.8580557235041171E-2</v>
      </c>
      <c r="T163" s="30">
        <f>IF('Peak Areas'!W159=0,0,((('Peak Areas'!W159*Coefficients!$G$12+Coefficients!$H$12)*$G163)))</f>
        <v>0.13790961777386676</v>
      </c>
      <c r="U163" s="30">
        <f>IF('Peak Areas'!X159=0,0,((('Peak Areas'!X159*Coefficients!$G$27+Coefficients!$H$27)*$G163)))</f>
        <v>9.0959360107821831E-3</v>
      </c>
      <c r="V163" s="30">
        <f>IF('Peak Areas'!Y159=0,0,((('Peak Areas'!Y159*Coefficients!$G$34+Coefficients!$H$34)*$G163)))</f>
        <v>0.48479315565217579</v>
      </c>
      <c r="W163" s="30">
        <f>IF('Peak Areas'!Z159=0,0,((('Peak Areas'!Z159*Coefficients!$G$52+Coefficients!$H$52)*$G163)))</f>
        <v>0.16597049557556356</v>
      </c>
      <c r="X163" s="30">
        <f>IF('Peak Areas'!AA159=0,0,((('Peak Areas'!AA159*Coefficients!$G$33+Coefficients!$H$33)*$G163)))</f>
        <v>5.9581838874182946E-2</v>
      </c>
      <c r="Y163" s="30">
        <f>IF('Peak Areas'!AC159=0,0,((('Peak Areas'!AC159*Coefficients!$G$19+Coefficients!$H$19)*$G163)))</f>
        <v>0.51478968218224197</v>
      </c>
      <c r="Z163" s="30">
        <f>IF('Peak Areas'!AD159=0,0,((('Peak Areas'!AD159*Coefficients!$G$18+Coefficients!$H$18)*$G163)))</f>
        <v>7.0494346071549321E-2</v>
      </c>
      <c r="AA163" s="30">
        <f>IF('Peak Areas'!AE159=0,0,((('Peak Areas'!AE159*Coefficients!$G$18+Coefficients!$H$18)*$G163)))</f>
        <v>3.4937703034581551</v>
      </c>
      <c r="AB163" s="30">
        <f>IF('Peak Areas'!AF159=0,0,((('Peak Areas'!AF159*Coefficients!$G$18+Coefficients!$H$18)*$G163)))</f>
        <v>0.29752210874198476</v>
      </c>
      <c r="AC163" s="30">
        <f>IF('Peak Areas'!AG159=0,0,((('Peak Areas'!AG159*Coefficients!$G$7+Coefficients!$H$7)*$G163)))</f>
        <v>0</v>
      </c>
      <c r="AD163" s="30">
        <f>IF('Peak Areas'!AH159=0,0,((('Peak Areas'!AH159*Coefficients!$G$6+Coefficients!$H$6)*$G163)))</f>
        <v>5.1452749403324186E-2</v>
      </c>
      <c r="AF163" s="30">
        <f>IF('Peak Areas'!K159=0,0,((('Peak Areas'!K159*Coefficients!$G$22+Coefficients!$H$22)*$G163)))</f>
        <v>3.0721523539326754E-2</v>
      </c>
      <c r="AG163" s="30">
        <f t="shared" si="4"/>
        <v>3.5244918269974819</v>
      </c>
      <c r="AH163" s="30">
        <f t="shared" si="5"/>
        <v>3.8925082818110157</v>
      </c>
    </row>
    <row r="164" spans="1:34" x14ac:dyDescent="0.25">
      <c r="A164" s="2">
        <f>'Peak Areas'!A160</f>
        <v>150</v>
      </c>
      <c r="B164" s="62">
        <f>'Peak Areas'!B160</f>
        <v>45884</v>
      </c>
      <c r="C164" s="2" t="str">
        <f>'Peak Areas'!C160</f>
        <v>nut 25</v>
      </c>
      <c r="D164" s="2">
        <f>'Peak Areas'!D160</f>
        <v>0</v>
      </c>
      <c r="E164" s="2">
        <f>'Peak Areas'!E160</f>
        <v>0</v>
      </c>
      <c r="F164" s="30">
        <f>'Peak Areas'!F160</f>
        <v>0.1</v>
      </c>
      <c r="G164" s="30">
        <f>((1/'Peak Areas'!$G160)*(('Peak Areas'!$H160+('Internal Standard'!$E$10/1000))/'Peak Areas'!$F160)*'Peak Areas'!$J160)*H164</f>
        <v>4.3305422900108081E-2</v>
      </c>
      <c r="H164" s="30">
        <f>(('Internal Standard'!$F$13*('Peak Areas'!G160/'Internal Standard'!$C$10))/'Peak Areas'!AB160)</f>
        <v>1.0189511270613665</v>
      </c>
      <c r="I164" s="30">
        <f>IF('Peak Areas'!L160=0,0,((('Peak Areas'!L160*Coefficients!$G$21+Coefficients!$H$21)*$G164)))</f>
        <v>0</v>
      </c>
      <c r="J164" s="30">
        <f>IF('Peak Areas'!M160=0,0,((('Peak Areas'!M160*Coefficients!$G$20+Coefficients!$H$20)*$G164)))</f>
        <v>7.2122408561886814E-2</v>
      </c>
      <c r="K164" s="30">
        <f>IF('Peak Areas'!N160=0,0,((('Peak Areas'!N160*Coefficients!$G$41+Coefficients!$H$41)*$G164)))</f>
        <v>6.1003919649587094E-3</v>
      </c>
      <c r="L164" s="30">
        <f>IF('Peak Areas'!O160=0,0,((('Peak Areas'!O160*Coefficients!$G$10+Coefficients!$H$10)*$G164)))</f>
        <v>0</v>
      </c>
      <c r="M164" s="30">
        <f>IF('Peak Areas'!P160=0,0,((('Peak Areas'!P160*Coefficients!$G$32+Coefficients!$H$32)*$G164)))</f>
        <v>0.43757865551564751</v>
      </c>
      <c r="N164" s="30">
        <f>IF('Peak Areas'!Q160=0,0,((('Peak Areas'!Q160*Coefficients!$G$11+Coefficients!$H$11)*$G164)))</f>
        <v>0</v>
      </c>
      <c r="O164" s="30">
        <f>IF('Peak Areas'!R160=0,0,((('Peak Areas'!R160*Coefficients!$G$39+Coefficients!$H$39)*$G164)))</f>
        <v>0.12195285889362416</v>
      </c>
      <c r="P164" s="30">
        <f>IF('Peak Areas'!S160=0,0,((('Peak Areas'!S160*Coefficients!$G$46+Coefficients!$H$46)*$G164)))</f>
        <v>0</v>
      </c>
      <c r="Q164" s="30">
        <f>IF('Peak Areas'!T160=0,0,((('Peak Areas'!T160*Coefficients!$G$51+Coefficients!$H$51)*$G164)))</f>
        <v>0.29390288188306524</v>
      </c>
      <c r="R164" s="30">
        <f>IF('Peak Areas'!U160=0,0,((('Peak Areas'!U160*Coefficients!$G$26+Coefficients!$H$26)*$G164)))</f>
        <v>8.7309338011030885E-2</v>
      </c>
      <c r="S164" s="30">
        <f>IF('Peak Areas'!V160=0,0,((('Peak Areas'!V160*Coefficients!$G$13+Coefficients!$H$13)*$G164)))</f>
        <v>2.7750291727284552E-2</v>
      </c>
      <c r="T164" s="30">
        <f>IF('Peak Areas'!W160=0,0,((('Peak Areas'!W160*Coefficients!$G$12+Coefficients!$H$12)*$G164)))</f>
        <v>0.1057891871275186</v>
      </c>
      <c r="U164" s="30">
        <f>IF('Peak Areas'!X160=0,0,((('Peak Areas'!X160*Coefficients!$G$27+Coefficients!$H$27)*$G164)))</f>
        <v>8.3461746190659145E-3</v>
      </c>
      <c r="V164" s="30">
        <f>IF('Peak Areas'!Y160=0,0,((('Peak Areas'!Y160*Coefficients!$G$34+Coefficients!$H$34)*$G164)))</f>
        <v>0.47625508851170623</v>
      </c>
      <c r="W164" s="30">
        <f>IF('Peak Areas'!Z160=0,0,((('Peak Areas'!Z160*Coefficients!$G$52+Coefficients!$H$52)*$G164)))</f>
        <v>0.14462814681692596</v>
      </c>
      <c r="X164" s="30">
        <f>IF('Peak Areas'!AA160=0,0,((('Peak Areas'!AA160*Coefficients!$G$33+Coefficients!$H$33)*$G164)))</f>
        <v>5.4085501751274509E-2</v>
      </c>
      <c r="Y164" s="30">
        <f>IF('Peak Areas'!AC160=0,0,((('Peak Areas'!AC160*Coefficients!$G$19+Coefficients!$H$19)*$G164)))</f>
        <v>0.46991207680979535</v>
      </c>
      <c r="Z164" s="30">
        <f>IF('Peak Areas'!AD160=0,0,((('Peak Areas'!AD160*Coefficients!$G$18+Coefficients!$H$18)*$G164)))</f>
        <v>0</v>
      </c>
      <c r="AA164" s="30">
        <f>IF('Peak Areas'!AE160=0,0,((('Peak Areas'!AE160*Coefficients!$G$18+Coefficients!$H$18)*$G164)))</f>
        <v>2.8484550369294883</v>
      </c>
      <c r="AB164" s="30">
        <f>IF('Peak Areas'!AF160=0,0,((('Peak Areas'!AF160*Coefficients!$G$18+Coefficients!$H$18)*$G164)))</f>
        <v>0.22904498870513021</v>
      </c>
      <c r="AC164" s="30">
        <f>IF('Peak Areas'!AG160=0,0,((('Peak Areas'!AG160*Coefficients!$G$7+Coefficients!$H$7)*$G164)))</f>
        <v>0</v>
      </c>
      <c r="AD164" s="30">
        <f>IF('Peak Areas'!AH160=0,0,((('Peak Areas'!AH160*Coefficients!$G$6+Coefficients!$H$6)*$G164)))</f>
        <v>4.1656688602053189E-2</v>
      </c>
      <c r="AF164" s="30">
        <f>IF('Peak Areas'!K160=0,0,((('Peak Areas'!K160*Coefficients!$G$22+Coefficients!$H$22)*$G164)))</f>
        <v>2.9194658660455508E-2</v>
      </c>
      <c r="AG164" s="30">
        <f t="shared" si="4"/>
        <v>2.8776496955899438</v>
      </c>
      <c r="AH164" s="30">
        <f t="shared" si="5"/>
        <v>3.106694684295074</v>
      </c>
    </row>
    <row r="165" spans="1:34" x14ac:dyDescent="0.25">
      <c r="A165" s="2">
        <f>'Peak Areas'!A161</f>
        <v>151</v>
      </c>
      <c r="B165" s="62">
        <f>'Peak Areas'!B161</f>
        <v>45884</v>
      </c>
      <c r="C165" s="2" t="str">
        <f>'Peak Areas'!C161</f>
        <v>nut 50</v>
      </c>
      <c r="D165" s="2">
        <f>'Peak Areas'!D161</f>
        <v>0</v>
      </c>
      <c r="E165" s="2">
        <f>'Peak Areas'!E161</f>
        <v>0</v>
      </c>
      <c r="F165" s="30">
        <f>'Peak Areas'!F161</f>
        <v>0.1</v>
      </c>
      <c r="G165" s="30">
        <f>((1/'Peak Areas'!$G161)*(('Peak Areas'!$H161+('Internal Standard'!$E$10/1000))/'Peak Areas'!$F161)*'Peak Areas'!$J161)*H165</f>
        <v>4.394950995827758E-2</v>
      </c>
      <c r="H165" s="30">
        <f>(('Internal Standard'!$F$13*('Peak Areas'!G161/'Internal Standard'!$C$10))/'Peak Areas'!AB161)</f>
        <v>1.0341061166653547</v>
      </c>
      <c r="I165" s="30">
        <f>IF('Peak Areas'!L161=0,0,((('Peak Areas'!L161*Coefficients!$G$21+Coefficients!$H$21)*$G165)))</f>
        <v>0</v>
      </c>
      <c r="J165" s="30">
        <f>IF('Peak Areas'!M161=0,0,((('Peak Areas'!M161*Coefficients!$G$20+Coefficients!$H$20)*$G165)))</f>
        <v>0.13907491897959845</v>
      </c>
      <c r="K165" s="30">
        <f>IF('Peak Areas'!N161=0,0,((('Peak Areas'!N161*Coefficients!$G$41+Coefficients!$H$41)*$G165)))</f>
        <v>1.2923589851595099E-2</v>
      </c>
      <c r="L165" s="30">
        <f>IF('Peak Areas'!O161=0,0,((('Peak Areas'!O161*Coefficients!$G$10+Coefficients!$H$10)*$G165)))</f>
        <v>0</v>
      </c>
      <c r="M165" s="30">
        <f>IF('Peak Areas'!P161=0,0,((('Peak Areas'!P161*Coefficients!$G$32+Coefficients!$H$32)*$G165)))</f>
        <v>0.88379310735631311</v>
      </c>
      <c r="N165" s="30">
        <f>IF('Peak Areas'!Q161=0,0,((('Peak Areas'!Q161*Coefficients!$G$11+Coefficients!$H$11)*$G165)))</f>
        <v>0</v>
      </c>
      <c r="O165" s="30">
        <f>IF('Peak Areas'!R161=0,0,((('Peak Areas'!R161*Coefficients!$G$39+Coefficients!$H$39)*$G165)))</f>
        <v>0.23835458792380562</v>
      </c>
      <c r="P165" s="30">
        <f>IF('Peak Areas'!S161=0,0,((('Peak Areas'!S161*Coefficients!$G$46+Coefficients!$H$46)*$G165)))</f>
        <v>0</v>
      </c>
      <c r="Q165" s="30">
        <f>IF('Peak Areas'!T161=0,0,((('Peak Areas'!T161*Coefficients!$G$51+Coefficients!$H$51)*$G165)))</f>
        <v>0.53728503251428206</v>
      </c>
      <c r="R165" s="30">
        <f>IF('Peak Areas'!U161=0,0,((('Peak Areas'!U161*Coefficients!$G$26+Coefficients!$H$26)*$G165)))</f>
        <v>0.23556969005913259</v>
      </c>
      <c r="S165" s="30">
        <f>IF('Peak Areas'!V161=0,0,((('Peak Areas'!V161*Coefficients!$G$13+Coefficients!$H$13)*$G165)))</f>
        <v>0.11118582262492586</v>
      </c>
      <c r="T165" s="30">
        <f>IF('Peak Areas'!W161=0,0,((('Peak Areas'!W161*Coefficients!$G$12+Coefficients!$H$12)*$G165)))</f>
        <v>0.2038656587883563</v>
      </c>
      <c r="U165" s="30">
        <f>IF('Peak Areas'!X161=0,0,((('Peak Areas'!X161*Coefficients!$G$27+Coefficients!$H$27)*$G165)))</f>
        <v>0</v>
      </c>
      <c r="V165" s="30">
        <f>IF('Peak Areas'!Y161=0,0,((('Peak Areas'!Y161*Coefficients!$G$34+Coefficients!$H$34)*$G165)))</f>
        <v>1.4814776301933516E-2</v>
      </c>
      <c r="W165" s="30">
        <f>IF('Peak Areas'!Z161=0,0,((('Peak Areas'!Z161*Coefficients!$G$52+Coefficients!$H$52)*$G165)))</f>
        <v>0.27236100965350019</v>
      </c>
      <c r="X165" s="30">
        <f>IF('Peak Areas'!AA161=0,0,((('Peak Areas'!AA161*Coefficients!$G$33+Coefficients!$H$33)*$G165)))</f>
        <v>7.7235326217705971E-2</v>
      </c>
      <c r="Y165" s="30">
        <f>IF('Peak Areas'!AC161=0,0,((('Peak Areas'!AC161*Coefficients!$G$19+Coefficients!$H$19)*$G165)))</f>
        <v>0.87952504052951341</v>
      </c>
      <c r="Z165" s="30">
        <f>IF('Peak Areas'!AD161=0,0,((('Peak Areas'!AD161*Coefficients!$G$18+Coefficients!$H$18)*$G165)))</f>
        <v>5.3966262520418418E-2</v>
      </c>
      <c r="AA165" s="30">
        <f>IF('Peak Areas'!AE161=0,0,((('Peak Areas'!AE161*Coefficients!$G$18+Coefficients!$H$18)*$G165)))</f>
        <v>6.1209365200851193</v>
      </c>
      <c r="AB165" s="30">
        <f>IF('Peak Areas'!AF161=0,0,((('Peak Areas'!AF161*Coefficients!$G$18+Coefficients!$H$18)*$G165)))</f>
        <v>0.53445972399708741</v>
      </c>
      <c r="AC165" s="30">
        <f>IF('Peak Areas'!AG161=0,0,((('Peak Areas'!AG161*Coefficients!$G$7+Coefficients!$H$7)*$G165)))</f>
        <v>0</v>
      </c>
      <c r="AD165" s="30">
        <f>IF('Peak Areas'!AH161=0,0,((('Peak Areas'!AH161*Coefficients!$G$6+Coefficients!$H$6)*$G165)))</f>
        <v>0.14485849243260293</v>
      </c>
      <c r="AF165" s="30">
        <f>IF('Peak Areas'!K161=0,0,((('Peak Areas'!K161*Coefficients!$G$22+Coefficients!$H$22)*$G165)))</f>
        <v>3.7932304739040391E-2</v>
      </c>
      <c r="AG165" s="30">
        <f t="shared" si="4"/>
        <v>6.1588688248241601</v>
      </c>
      <c r="AH165" s="30">
        <f t="shared" si="5"/>
        <v>6.747294811341666</v>
      </c>
    </row>
    <row r="166" spans="1:34" x14ac:dyDescent="0.25">
      <c r="A166" s="2">
        <f>'Peak Areas'!A162</f>
        <v>152</v>
      </c>
      <c r="B166" s="62">
        <f>'Peak Areas'!B162</f>
        <v>45884</v>
      </c>
      <c r="C166" s="2" t="str">
        <f>'Peak Areas'!C162</f>
        <v>nut 50</v>
      </c>
      <c r="D166" s="2">
        <f>'Peak Areas'!D162</f>
        <v>0</v>
      </c>
      <c r="E166" s="2">
        <f>'Peak Areas'!E162</f>
        <v>0</v>
      </c>
      <c r="F166" s="30">
        <f>'Peak Areas'!F162</f>
        <v>0.1</v>
      </c>
      <c r="G166" s="30">
        <f>((1/'Peak Areas'!$G162)*(('Peak Areas'!$H162+('Internal Standard'!$E$10/1000))/'Peak Areas'!$F162)*'Peak Areas'!$J162)*H166</f>
        <v>4.1814197817506386E-2</v>
      </c>
      <c r="H166" s="30">
        <f>(('Internal Standard'!$F$13*('Peak Areas'!G162/'Internal Standard'!$C$10))/'Peak Areas'!AB162)</f>
        <v>0.98386347805897378</v>
      </c>
      <c r="I166" s="30">
        <f>IF('Peak Areas'!L162=0,0,((('Peak Areas'!L162*Coefficients!$G$21+Coefficients!$H$21)*$G166)))</f>
        <v>0</v>
      </c>
      <c r="J166" s="30">
        <f>IF('Peak Areas'!M162=0,0,((('Peak Areas'!M162*Coefficients!$G$20+Coefficients!$H$20)*$G166)))</f>
        <v>0.16346190804780822</v>
      </c>
      <c r="K166" s="30">
        <f>IF('Peak Areas'!N162=0,0,((('Peak Areas'!N162*Coefficients!$G$41+Coefficients!$H$41)*$G166)))</f>
        <v>3.4660062537555145E-2</v>
      </c>
      <c r="L166" s="30">
        <f>IF('Peak Areas'!O162=0,0,((('Peak Areas'!O162*Coefficients!$G$10+Coefficients!$H$10)*$G166)))</f>
        <v>0</v>
      </c>
      <c r="M166" s="30">
        <f>IF('Peak Areas'!P162=0,0,((('Peak Areas'!P162*Coefficients!$G$32+Coefficients!$H$32)*$G166)))</f>
        <v>0.93232540218273297</v>
      </c>
      <c r="N166" s="30">
        <f>IF('Peak Areas'!Q162=0,0,((('Peak Areas'!Q162*Coefficients!$G$11+Coefficients!$H$11)*$G166)))</f>
        <v>0</v>
      </c>
      <c r="O166" s="30">
        <f>IF('Peak Areas'!R162=0,0,((('Peak Areas'!R162*Coefficients!$G$39+Coefficients!$H$39)*$G166)))</f>
        <v>0.28825430812900682</v>
      </c>
      <c r="P166" s="30">
        <f>IF('Peak Areas'!S162=0,0,((('Peak Areas'!S162*Coefficients!$G$46+Coefficients!$H$46)*$G166)))</f>
        <v>0</v>
      </c>
      <c r="Q166" s="30">
        <f>IF('Peak Areas'!T162=0,0,((('Peak Areas'!T162*Coefficients!$G$51+Coefficients!$H$51)*$G166)))</f>
        <v>0.57953908230821916</v>
      </c>
      <c r="R166" s="30">
        <f>IF('Peak Areas'!U162=0,0,((('Peak Areas'!U162*Coefficients!$G$26+Coefficients!$H$26)*$G166)))</f>
        <v>0.24222684502217981</v>
      </c>
      <c r="S166" s="30">
        <f>IF('Peak Areas'!V162=0,0,((('Peak Areas'!V162*Coefficients!$G$13+Coefficients!$H$13)*$G166)))</f>
        <v>0.12161250324023117</v>
      </c>
      <c r="T166" s="30">
        <f>IF('Peak Areas'!W162=0,0,((('Peak Areas'!W162*Coefficients!$G$12+Coefficients!$H$12)*$G166)))</f>
        <v>0.20598695222250002</v>
      </c>
      <c r="U166" s="30">
        <f>IF('Peak Areas'!X162=0,0,((('Peak Areas'!X162*Coefficients!$G$27+Coefficients!$H$27)*$G166)))</f>
        <v>1.2818878130342467E-2</v>
      </c>
      <c r="V166" s="30">
        <f>IF('Peak Areas'!Y162=0,0,((('Peak Areas'!Y162*Coefficients!$G$34+Coefficients!$H$34)*$G166)))</f>
        <v>0.99511619217729441</v>
      </c>
      <c r="W166" s="30">
        <f>IF('Peak Areas'!Z162=0,0,((('Peak Areas'!Z162*Coefficients!$G$52+Coefficients!$H$52)*$G166)))</f>
        <v>0.28871727589398655</v>
      </c>
      <c r="X166" s="30">
        <f>IF('Peak Areas'!AA162=0,0,((('Peak Areas'!AA162*Coefficients!$G$33+Coefficients!$H$33)*$G166)))</f>
        <v>9.9650360896746573E-2</v>
      </c>
      <c r="Y166" s="30">
        <f>IF('Peak Areas'!AC162=0,0,((('Peak Areas'!AC162*Coefficients!$G$19+Coefficients!$H$19)*$G166)))</f>
        <v>1.0081165848405214</v>
      </c>
      <c r="Z166" s="30">
        <f>IF('Peak Areas'!AD162=0,0,((('Peak Areas'!AD162*Coefficients!$G$18+Coefficients!$H$18)*$G166)))</f>
        <v>8.4169513168969132E-2</v>
      </c>
      <c r="AA166" s="30">
        <f>IF('Peak Areas'!AE162=0,0,((('Peak Areas'!AE162*Coefficients!$G$18+Coefficients!$H$18)*$G166)))</f>
        <v>6.876552681103437</v>
      </c>
      <c r="AB166" s="30">
        <f>IF('Peak Areas'!AF162=0,0,((('Peak Areas'!AF162*Coefficients!$G$18+Coefficients!$H$18)*$G166)))</f>
        <v>0.55922259656663575</v>
      </c>
      <c r="AC166" s="30">
        <f>IF('Peak Areas'!AG162=0,0,((('Peak Areas'!AG162*Coefficients!$G$7+Coefficients!$H$7)*$G166)))</f>
        <v>0</v>
      </c>
      <c r="AD166" s="30">
        <f>IF('Peak Areas'!AH162=0,0,((('Peak Areas'!AH162*Coefficients!$G$6+Coefficients!$H$6)*$G166)))</f>
        <v>9.0728850065239716E-2</v>
      </c>
      <c r="AF166" s="30">
        <f>IF('Peak Areas'!K162=0,0,((('Peak Areas'!K162*Coefficients!$G$22+Coefficients!$H$22)*$G166)))</f>
        <v>6.8236278438672943E-2</v>
      </c>
      <c r="AG166" s="30">
        <f t="shared" si="4"/>
        <v>6.9447889595421097</v>
      </c>
      <c r="AH166" s="30">
        <f t="shared" si="5"/>
        <v>7.5881810692777139</v>
      </c>
    </row>
    <row r="167" spans="1:34" x14ac:dyDescent="0.25">
      <c r="A167" s="2">
        <f>'Peak Areas'!A163</f>
        <v>153</v>
      </c>
      <c r="B167" s="62">
        <f>'Peak Areas'!B163</f>
        <v>45884</v>
      </c>
      <c r="C167" s="2" t="str">
        <f>'Peak Areas'!C163</f>
        <v>nut 75</v>
      </c>
      <c r="D167" s="2">
        <f>'Peak Areas'!D163</f>
        <v>0</v>
      </c>
      <c r="E167" s="2">
        <f>'Peak Areas'!E163</f>
        <v>0</v>
      </c>
      <c r="F167" s="30">
        <f>'Peak Areas'!F163</f>
        <v>0.1</v>
      </c>
      <c r="G167" s="30">
        <f>((1/'Peak Areas'!$G163)*(('Peak Areas'!$H163+('Internal Standard'!$E$10/1000))/'Peak Areas'!$F163)*'Peak Areas'!$J163)*H167</f>
        <v>4.1436403861426066E-2</v>
      </c>
      <c r="H167" s="30">
        <f>(('Internal Standard'!$F$13*('Peak Areas'!G163/'Internal Standard'!$C$10))/'Peak Areas'!AB163)</f>
        <v>0.97497420850414274</v>
      </c>
      <c r="I167" s="30">
        <f>IF('Peak Areas'!L163=0,0,((('Peak Areas'!L163*Coefficients!$G$21+Coefficients!$H$21)*$G167)))</f>
        <v>0</v>
      </c>
      <c r="J167" s="30">
        <f>IF('Peak Areas'!M163=0,0,((('Peak Areas'!M163*Coefficients!$G$20+Coefficients!$H$20)*$G167)))</f>
        <v>0.19301984837763558</v>
      </c>
      <c r="K167" s="30">
        <f>IF('Peak Areas'!N163=0,0,((('Peak Areas'!N163*Coefficients!$G$41+Coefficients!$H$41)*$G167)))</f>
        <v>6.9089183723920602E-2</v>
      </c>
      <c r="L167" s="30">
        <f>IF('Peak Areas'!O163=0,0,((('Peak Areas'!O163*Coefficients!$G$10+Coefficients!$H$10)*$G167)))</f>
        <v>0</v>
      </c>
      <c r="M167" s="30">
        <f>IF('Peak Areas'!P163=0,0,((('Peak Areas'!P163*Coefficients!$G$32+Coefficients!$H$32)*$G167)))</f>
        <v>0.95477185355683825</v>
      </c>
      <c r="N167" s="30">
        <f>IF('Peak Areas'!Q163=0,0,((('Peak Areas'!Q163*Coefficients!$G$11+Coefficients!$H$11)*$G167)))</f>
        <v>0</v>
      </c>
      <c r="O167" s="30">
        <f>IF('Peak Areas'!R163=0,0,((('Peak Areas'!R163*Coefficients!$G$39+Coefficients!$H$39)*$G167)))</f>
        <v>0.21549852469191053</v>
      </c>
      <c r="P167" s="30">
        <f>IF('Peak Areas'!S163=0,0,((('Peak Areas'!S163*Coefficients!$G$46+Coefficients!$H$46)*$G167)))</f>
        <v>0</v>
      </c>
      <c r="Q167" s="30">
        <f>IF('Peak Areas'!T163=0,0,((('Peak Areas'!T163*Coefficients!$G$51+Coefficients!$H$51)*$G167)))</f>
        <v>0.9098999164159618</v>
      </c>
      <c r="R167" s="30">
        <f>IF('Peak Areas'!U163=0,0,((('Peak Areas'!U163*Coefficients!$G$26+Coefficients!$H$26)*$G167)))</f>
        <v>0.36198272424255912</v>
      </c>
      <c r="S167" s="30">
        <f>IF('Peak Areas'!V163=0,0,((('Peak Areas'!V163*Coefficients!$G$13+Coefficients!$H$13)*$G167)))</f>
        <v>0.23455963446791372</v>
      </c>
      <c r="T167" s="30">
        <f>IF('Peak Areas'!W163=0,0,((('Peak Areas'!W163*Coefficients!$G$12+Coefficients!$H$12)*$G167)))</f>
        <v>0.36199888210412928</v>
      </c>
      <c r="U167" s="30">
        <f>IF('Peak Areas'!X163=0,0,((('Peak Areas'!X163*Coefficients!$G$27+Coefficients!$H$27)*$G167)))</f>
        <v>2.6647458735863067E-2</v>
      </c>
      <c r="V167" s="30">
        <f>IF('Peak Areas'!Y163=0,0,((('Peak Areas'!Y163*Coefficients!$G$34+Coefficients!$H$34)*$G167)))</f>
        <v>1.3507491507096665</v>
      </c>
      <c r="W167" s="30">
        <f>IF('Peak Areas'!Z163=0,0,((('Peak Areas'!Z163*Coefficients!$G$52+Coefficients!$H$52)*$G167)))</f>
        <v>0.43577515852125687</v>
      </c>
      <c r="X167" s="30">
        <f>IF('Peak Areas'!AA163=0,0,((('Peak Areas'!AA163*Coefficients!$G$33+Coefficients!$H$33)*$G167)))</f>
        <v>0.12769398297673637</v>
      </c>
      <c r="Y167" s="30">
        <f>IF('Peak Areas'!AC163=0,0,((('Peak Areas'!AC163*Coefficients!$G$19+Coefficients!$H$19)*$G167)))</f>
        <v>1.2699845764788933</v>
      </c>
      <c r="Z167" s="30">
        <f>IF('Peak Areas'!AD163=0,0,((('Peak Areas'!AD163*Coefficients!$G$18+Coefficients!$H$18)*$G167)))</f>
        <v>8.1078105911525283E-2</v>
      </c>
      <c r="AA167" s="30">
        <f>IF('Peak Areas'!AE163=0,0,((('Peak Areas'!AE163*Coefficients!$G$18+Coefficients!$H$18)*$G167)))</f>
        <v>9.2267093267343849</v>
      </c>
      <c r="AB167" s="30">
        <f>IF('Peak Areas'!AF163=0,0,((('Peak Areas'!AF163*Coefficients!$G$18+Coefficients!$H$18)*$G167)))</f>
        <v>0.79888287751399045</v>
      </c>
      <c r="AC167" s="30">
        <f>IF('Peak Areas'!AG163=0,0,((('Peak Areas'!AG163*Coefficients!$G$7+Coefficients!$H$7)*$G167)))</f>
        <v>0</v>
      </c>
      <c r="AD167" s="30">
        <f>IF('Peak Areas'!AH163=0,0,((('Peak Areas'!AH163*Coefficients!$G$6+Coefficients!$H$6)*$G167)))</f>
        <v>0.21235285186877823</v>
      </c>
      <c r="AF167" s="30">
        <f>IF('Peak Areas'!K163=0,0,((('Peak Areas'!K163*Coefficients!$G$22+Coefficients!$H$22)*$G167)))</f>
        <v>8.6807421145407862E-2</v>
      </c>
      <c r="AG167" s="30">
        <f t="shared" si="4"/>
        <v>9.3135167478797936</v>
      </c>
      <c r="AH167" s="30">
        <f t="shared" si="5"/>
        <v>10.193477731305309</v>
      </c>
    </row>
    <row r="168" spans="1:34" x14ac:dyDescent="0.25">
      <c r="A168" s="2">
        <f>'Peak Areas'!A164</f>
        <v>154</v>
      </c>
      <c r="B168" s="62">
        <f>'Peak Areas'!B164</f>
        <v>45884</v>
      </c>
      <c r="C168" s="2" t="str">
        <f>'Peak Areas'!C164</f>
        <v>nut 75</v>
      </c>
      <c r="D168" s="2">
        <f>'Peak Areas'!D164</f>
        <v>0</v>
      </c>
      <c r="E168" s="2">
        <f>'Peak Areas'!E164</f>
        <v>0</v>
      </c>
      <c r="F168" s="30">
        <f>'Peak Areas'!F164</f>
        <v>0.1</v>
      </c>
      <c r="G168" s="30">
        <f>((1/'Peak Areas'!$G164)*(('Peak Areas'!$H164+('Internal Standard'!$E$10/1000))/'Peak Areas'!$F164)*'Peak Areas'!$J164)*H168</f>
        <v>4.3539127773069709E-2</v>
      </c>
      <c r="H168" s="30">
        <f>(('Internal Standard'!$F$13*('Peak Areas'!G164/'Internal Standard'!$C$10))/'Peak Areas'!AB164)</f>
        <v>1.024450065248699</v>
      </c>
      <c r="I168" s="30">
        <f>IF('Peak Areas'!L164=0,0,((('Peak Areas'!L164*Coefficients!$G$21+Coefficients!$H$21)*$G168)))</f>
        <v>0</v>
      </c>
      <c r="J168" s="30">
        <f>IF('Peak Areas'!M164=0,0,((('Peak Areas'!M164*Coefficients!$G$20+Coefficients!$H$20)*$G168)))</f>
        <v>0.29711900905007366</v>
      </c>
      <c r="K168" s="30">
        <f>IF('Peak Areas'!N164=0,0,((('Peak Areas'!N164*Coefficients!$G$41+Coefficients!$H$41)*$G168)))</f>
        <v>5.9301288376320913E-2</v>
      </c>
      <c r="L168" s="30">
        <f>IF('Peak Areas'!O164=0,0,((('Peak Areas'!O164*Coefficients!$G$10+Coefficients!$H$10)*$G168)))</f>
        <v>0</v>
      </c>
      <c r="M168" s="30">
        <f>IF('Peak Areas'!P164=0,0,((('Peak Areas'!P164*Coefficients!$G$32+Coefficients!$H$32)*$G168)))</f>
        <v>1.391919246971582</v>
      </c>
      <c r="N168" s="30">
        <f>IF('Peak Areas'!Q164=0,0,((('Peak Areas'!Q164*Coefficients!$G$11+Coefficients!$H$11)*$G168)))</f>
        <v>4.6539869542081183E-2</v>
      </c>
      <c r="O168" s="30">
        <f>IF('Peak Areas'!R164=0,0,((('Peak Areas'!R164*Coefficients!$G$39+Coefficients!$H$39)*$G168)))</f>
        <v>0.42896271510915179</v>
      </c>
      <c r="P168" s="30">
        <f>IF('Peak Areas'!S164=0,0,((('Peak Areas'!S164*Coefficients!$G$46+Coefficients!$H$46)*$G168)))</f>
        <v>0</v>
      </c>
      <c r="Q168" s="30">
        <f>IF('Peak Areas'!T164=0,0,((('Peak Areas'!T164*Coefficients!$G$51+Coefficients!$H$51)*$G168)))</f>
        <v>0.93172015382651285</v>
      </c>
      <c r="R168" s="30">
        <f>IF('Peak Areas'!U164=0,0,((('Peak Areas'!U164*Coefficients!$G$26+Coefficients!$H$26)*$G168)))</f>
        <v>0.40096220469126953</v>
      </c>
      <c r="S168" s="30">
        <f>IF('Peak Areas'!V164=0,0,((('Peak Areas'!V164*Coefficients!$G$13+Coefficients!$H$13)*$G168)))</f>
        <v>6.4313300356438716E-2</v>
      </c>
      <c r="T168" s="30">
        <f>IF('Peak Areas'!W164=0,0,((('Peak Areas'!W164*Coefficients!$G$12+Coefficients!$H$12)*$G168)))</f>
        <v>0.37476412377387325</v>
      </c>
      <c r="U168" s="30">
        <f>IF('Peak Areas'!X164=0,0,((('Peak Areas'!X164*Coefficients!$G$27+Coefficients!$H$27)*$G168)))</f>
        <v>2.4929085743724367E-2</v>
      </c>
      <c r="V168" s="30">
        <f>IF('Peak Areas'!Y164=0,0,((('Peak Areas'!Y164*Coefficients!$G$34+Coefficients!$H$34)*$G168)))</f>
        <v>1.5151665443098703</v>
      </c>
      <c r="W168" s="30">
        <f>IF('Peak Areas'!Z164=0,0,((('Peak Areas'!Z164*Coefficients!$G$52+Coefficients!$H$52)*$G168)))</f>
        <v>0.44214489056649081</v>
      </c>
      <c r="X168" s="30">
        <f>IF('Peak Areas'!AA164=0,0,((('Peak Areas'!AA164*Coefficients!$G$33+Coefficients!$H$33)*$G168)))</f>
        <v>0.14238769490191744</v>
      </c>
      <c r="Y168" s="30">
        <f>IF('Peak Areas'!AC164=0,0,((('Peak Areas'!AC164*Coefficients!$G$19+Coefficients!$H$19)*$G168)))</f>
        <v>1.41410856745276</v>
      </c>
      <c r="Z168" s="30">
        <f>IF('Peak Areas'!AD164=0,0,((('Peak Areas'!AD164*Coefficients!$G$18+Coefficients!$H$18)*$G168)))</f>
        <v>9.1717628260777742E-2</v>
      </c>
      <c r="AA168" s="30">
        <f>IF('Peak Areas'!AE164=0,0,((('Peak Areas'!AE164*Coefficients!$G$18+Coefficients!$H$18)*$G168)))</f>
        <v>9.6365105609894517</v>
      </c>
      <c r="AB168" s="30">
        <f>IF('Peak Areas'!AF164=0,0,((('Peak Areas'!AF164*Coefficients!$G$18+Coefficients!$H$18)*$G168)))</f>
        <v>0.83169135885814471</v>
      </c>
      <c r="AC168" s="30">
        <f>IF('Peak Areas'!AG164=0,0,((('Peak Areas'!AG164*Coefficients!$G$7+Coefficients!$H$7)*$G168)))</f>
        <v>0</v>
      </c>
      <c r="AD168" s="30">
        <f>IF('Peak Areas'!AH164=0,0,((('Peak Areas'!AH164*Coefficients!$G$6+Coefficients!$H$6)*$G168)))</f>
        <v>0.15307702089003364</v>
      </c>
      <c r="AF168" s="30">
        <f>IF('Peak Areas'!K164=0,0,((('Peak Areas'!K164*Coefficients!$G$22+Coefficients!$H$22)*$G168)))</f>
        <v>0.19879776556533038</v>
      </c>
      <c r="AG168" s="30">
        <f t="shared" si="4"/>
        <v>9.8353083265547827</v>
      </c>
      <c r="AH168" s="30">
        <f t="shared" si="5"/>
        <v>10.758717313673705</v>
      </c>
    </row>
    <row r="169" spans="1:34" x14ac:dyDescent="0.25">
      <c r="A169" s="2">
        <f>'Peak Areas'!A165</f>
        <v>155</v>
      </c>
      <c r="B169" s="62">
        <f>'Peak Areas'!B165</f>
        <v>45884</v>
      </c>
      <c r="C169" s="2" t="str">
        <f>'Peak Areas'!C165</f>
        <v>nut 100</v>
      </c>
      <c r="D169" s="2">
        <f>'Peak Areas'!D165</f>
        <v>0</v>
      </c>
      <c r="E169" s="2">
        <f>'Peak Areas'!E165</f>
        <v>0</v>
      </c>
      <c r="F169" s="30">
        <f>'Peak Areas'!F165</f>
        <v>0.1</v>
      </c>
      <c r="G169" s="30">
        <f>((1/'Peak Areas'!$G165)*(('Peak Areas'!$H165+('Internal Standard'!$E$10/1000))/'Peak Areas'!$F165)*'Peak Areas'!$J165)*H169</f>
        <v>4.3688814677434497E-2</v>
      </c>
      <c r="H169" s="30">
        <f>(('Internal Standard'!$F$13*('Peak Areas'!G165/'Internal Standard'!$C$10))/'Peak Areas'!AB165)</f>
        <v>1.0279721100572823</v>
      </c>
      <c r="I169" s="30">
        <f>IF('Peak Areas'!L165=0,0,((('Peak Areas'!L165*Coefficients!$G$21+Coefficients!$H$21)*$G169)))</f>
        <v>0</v>
      </c>
      <c r="J169" s="30">
        <f>IF('Peak Areas'!M165=0,0,((('Peak Areas'!M165*Coefficients!$G$20+Coefficients!$H$20)*$G169)))</f>
        <v>0.35412390767563767</v>
      </c>
      <c r="K169" s="30">
        <f>IF('Peak Areas'!N165=0,0,((('Peak Areas'!N165*Coefficients!$G$41+Coefficients!$H$41)*$G169)))</f>
        <v>6.7281537759463911E-2</v>
      </c>
      <c r="L169" s="30">
        <f>IF('Peak Areas'!O165=0,0,((('Peak Areas'!O165*Coefficients!$G$10+Coefficients!$H$10)*$G169)))</f>
        <v>0</v>
      </c>
      <c r="M169" s="30">
        <f>IF('Peak Areas'!P165=0,0,((('Peak Areas'!P165*Coefficients!$G$32+Coefficients!$H$32)*$G169)))</f>
        <v>1.8464383097135491</v>
      </c>
      <c r="N169" s="30">
        <f>IF('Peak Areas'!Q165=0,0,((('Peak Areas'!Q165*Coefficients!$G$11+Coefficients!$H$11)*$G169)))</f>
        <v>0</v>
      </c>
      <c r="O169" s="30">
        <f>IF('Peak Areas'!R165=0,0,((('Peak Areas'!R165*Coefficients!$G$39+Coefficients!$H$39)*$G169)))</f>
        <v>0.53479398085369256</v>
      </c>
      <c r="P169" s="30">
        <f>IF('Peak Areas'!S165=0,0,((('Peak Areas'!S165*Coefficients!$G$46+Coefficients!$H$46)*$G169)))</f>
        <v>0</v>
      </c>
      <c r="Q169" s="30">
        <f>IF('Peak Areas'!T165=0,0,((('Peak Areas'!T165*Coefficients!$G$51+Coefficients!$H$51)*$G169)))</f>
        <v>1.2020752583039691</v>
      </c>
      <c r="R169" s="30">
        <f>IF('Peak Areas'!U165=0,0,((('Peak Areas'!U165*Coefficients!$G$26+Coefficients!$H$26)*$G169)))</f>
        <v>0.52319615772466344</v>
      </c>
      <c r="S169" s="30">
        <f>IF('Peak Areas'!V165=0,0,((('Peak Areas'!V165*Coefficients!$G$13+Coefficients!$H$13)*$G169)))</f>
        <v>0.10084900357032188</v>
      </c>
      <c r="T169" s="30">
        <f>IF('Peak Areas'!W165=0,0,((('Peak Areas'!W165*Coefficients!$G$12+Coefficients!$H$12)*$G169)))</f>
        <v>0.51778164395495629</v>
      </c>
      <c r="U169" s="30">
        <f>IF('Peak Areas'!X165=0,0,((('Peak Areas'!X165*Coefficients!$G$27+Coefficients!$H$27)*$G169)))</f>
        <v>2.8205036426734373E-2</v>
      </c>
      <c r="V169" s="30">
        <f>IF('Peak Areas'!Y165=0,0,((('Peak Areas'!Y165*Coefficients!$G$34+Coefficients!$H$34)*$G169)))</f>
        <v>1.9265130943049804</v>
      </c>
      <c r="W169" s="30">
        <f>IF('Peak Areas'!Z165=0,0,((('Peak Areas'!Z165*Coefficients!$G$52+Coefficients!$H$52)*$G169)))</f>
        <v>0.61583649193427836</v>
      </c>
      <c r="X169" s="30">
        <f>IF('Peak Areas'!AA165=0,0,((('Peak Areas'!AA165*Coefficients!$G$33+Coefficients!$H$33)*$G169)))</f>
        <v>0.17515845139159578</v>
      </c>
      <c r="Y169" s="30">
        <f>IF('Peak Areas'!AC165=0,0,((('Peak Areas'!AC165*Coefficients!$G$19+Coefficients!$H$19)*$G169)))</f>
        <v>1.8275715407573039</v>
      </c>
      <c r="Z169" s="30">
        <f>IF('Peak Areas'!AD165=0,0,((('Peak Areas'!AD165*Coefficients!$G$18+Coefficients!$H$18)*$G169)))</f>
        <v>0.12024074021680438</v>
      </c>
      <c r="AA169" s="30">
        <f>IF('Peak Areas'!AE165=0,0,((('Peak Areas'!AE165*Coefficients!$G$18+Coefficients!$H$18)*$G169)))</f>
        <v>13.286766859036499</v>
      </c>
      <c r="AB169" s="30">
        <f>IF('Peak Areas'!AF165=0,0,((('Peak Areas'!AF165*Coefficients!$G$18+Coefficients!$H$18)*$G169)))</f>
        <v>1.1999314259738296</v>
      </c>
      <c r="AC169" s="30">
        <f>IF('Peak Areas'!AG165=0,0,((('Peak Areas'!AG165*Coefficients!$G$7+Coefficients!$H$7)*$G169)))</f>
        <v>0</v>
      </c>
      <c r="AD169" s="30">
        <f>IF('Peak Areas'!AH165=0,0,((('Peak Areas'!AH165*Coefficients!$G$6+Coefficients!$H$6)*$G169)))</f>
        <v>0.32600341039884256</v>
      </c>
      <c r="AF169" s="30">
        <f>IF('Peak Areas'!K165=0,0,((('Peak Areas'!K165*Coefficients!$G$22+Coefficients!$H$22)*$G169)))</f>
        <v>0.22583110142596952</v>
      </c>
      <c r="AG169" s="30">
        <f t="shared" si="4"/>
        <v>13.512597960462468</v>
      </c>
      <c r="AH169" s="30">
        <f t="shared" si="5"/>
        <v>14.832770126653102</v>
      </c>
    </row>
    <row r="170" spans="1:34" x14ac:dyDescent="0.25">
      <c r="A170" s="2">
        <f>'Peak Areas'!A166</f>
        <v>156</v>
      </c>
      <c r="B170" s="62">
        <f>'Peak Areas'!B166</f>
        <v>45884</v>
      </c>
      <c r="C170" s="2" t="str">
        <f>'Peak Areas'!C166</f>
        <v>nut 100</v>
      </c>
      <c r="D170" s="2">
        <f>'Peak Areas'!D166</f>
        <v>0</v>
      </c>
      <c r="E170" s="2">
        <f>'Peak Areas'!E166</f>
        <v>0</v>
      </c>
      <c r="F170" s="30">
        <f>'Peak Areas'!F166</f>
        <v>0.1</v>
      </c>
      <c r="G170" s="30">
        <f>((1/'Peak Areas'!$G166)*(('Peak Areas'!$H166+('Internal Standard'!$E$10/1000))/'Peak Areas'!$F166)*'Peak Areas'!$J166)*H170</f>
        <v>4.2881111025769039E-2</v>
      </c>
      <c r="H170" s="30">
        <f>(('Internal Standard'!$F$13*('Peak Areas'!G166/'Internal Standard'!$C$10))/'Peak Areas'!AB166)</f>
        <v>1.0089673182533891</v>
      </c>
      <c r="I170" s="30">
        <f>IF('Peak Areas'!L166=0,0,((('Peak Areas'!L166*Coefficients!$G$21+Coefficients!$H$21)*$G170)))</f>
        <v>0</v>
      </c>
      <c r="J170" s="30">
        <f>IF('Peak Areas'!M166=0,0,((('Peak Areas'!M166*Coefficients!$G$20+Coefficients!$H$20)*$G170)))</f>
        <v>0.32244480624175986</v>
      </c>
      <c r="K170" s="30">
        <f>IF('Peak Areas'!N166=0,0,((('Peak Areas'!N166*Coefficients!$G$41+Coefficients!$H$41)*$G170)))</f>
        <v>8.2121181597082274E-2</v>
      </c>
      <c r="L170" s="30">
        <f>IF('Peak Areas'!O166=0,0,((('Peak Areas'!O166*Coefficients!$G$10+Coefficients!$H$10)*$G170)))</f>
        <v>0</v>
      </c>
      <c r="M170" s="30">
        <f>IF('Peak Areas'!P166=0,0,((('Peak Areas'!P166*Coefficients!$G$32+Coefficients!$H$32)*$G170)))</f>
        <v>1.866702647145557</v>
      </c>
      <c r="N170" s="30">
        <f>IF('Peak Areas'!Q166=0,0,((('Peak Areas'!Q166*Coefficients!$G$11+Coefficients!$H$11)*$G170)))</f>
        <v>0</v>
      </c>
      <c r="O170" s="30">
        <f>IF('Peak Areas'!R166=0,0,((('Peak Areas'!R166*Coefficients!$G$39+Coefficients!$H$39)*$G170)))</f>
        <v>0.30116244303213502</v>
      </c>
      <c r="P170" s="30">
        <f>IF('Peak Areas'!S166=0,0,((('Peak Areas'!S166*Coefficients!$G$46+Coefficients!$H$46)*$G170)))</f>
        <v>0</v>
      </c>
      <c r="Q170" s="30">
        <f>IF('Peak Areas'!T166=0,0,((('Peak Areas'!T166*Coefficients!$G$51+Coefficients!$H$51)*$G170)))</f>
        <v>1.3162257916464037</v>
      </c>
      <c r="R170" s="30">
        <f>IF('Peak Areas'!U166=0,0,((('Peak Areas'!U166*Coefficients!$G$26+Coefficients!$H$26)*$G170)))</f>
        <v>0.55883266117889252</v>
      </c>
      <c r="S170" s="30">
        <f>IF('Peak Areas'!V166=0,0,((('Peak Areas'!V166*Coefficients!$G$13+Coefficients!$H$13)*$G170)))</f>
        <v>0.27455398614973248</v>
      </c>
      <c r="T170" s="30">
        <f>IF('Peak Areas'!W166=0,0,((('Peak Areas'!W166*Coefficients!$G$12+Coefficients!$H$12)*$G170)))</f>
        <v>0.57365024660383412</v>
      </c>
      <c r="U170" s="30">
        <f>IF('Peak Areas'!X166=0,0,((('Peak Areas'!X166*Coefficients!$G$27+Coefficients!$H$27)*$G170)))</f>
        <v>2.5687075713877062E-2</v>
      </c>
      <c r="V170" s="30">
        <f>IF('Peak Areas'!Y166=0,0,((('Peak Areas'!Y166*Coefficients!$G$34+Coefficients!$H$34)*$G170)))</f>
        <v>1.9851769334034466</v>
      </c>
      <c r="W170" s="30">
        <f>IF('Peak Areas'!Z166=0,0,((('Peak Areas'!Z166*Coefficients!$G$52+Coefficients!$H$52)*$G170)))</f>
        <v>0.63054422597687709</v>
      </c>
      <c r="X170" s="30">
        <f>IF('Peak Areas'!AA166=0,0,((('Peak Areas'!AA166*Coefficients!$G$33+Coefficients!$H$33)*$G170)))</f>
        <v>0.17241046394314685</v>
      </c>
      <c r="Y170" s="30">
        <f>IF('Peak Areas'!AC166=0,0,((('Peak Areas'!AC166*Coefficients!$G$19+Coefficients!$H$19)*$G170)))</f>
        <v>1.8523165144504496</v>
      </c>
      <c r="Z170" s="30">
        <f>IF('Peak Areas'!AD166=0,0,((('Peak Areas'!AD166*Coefficients!$G$18+Coefficients!$H$18)*$G170)))</f>
        <v>0.1426618114882964</v>
      </c>
      <c r="AA170" s="30">
        <f>IF('Peak Areas'!AE166=0,0,((('Peak Areas'!AE166*Coefficients!$G$18+Coefficients!$H$18)*$G170)))</f>
        <v>13.021576103468211</v>
      </c>
      <c r="AB170" s="30">
        <f>IF('Peak Areas'!AF166=0,0,((('Peak Areas'!AF166*Coefficients!$G$18+Coefficients!$H$18)*$G170)))</f>
        <v>1.2169007516225661</v>
      </c>
      <c r="AC170" s="30">
        <f>IF('Peak Areas'!AG166=0,0,((('Peak Areas'!AG166*Coefficients!$G$7+Coefficients!$H$7)*$G170)))</f>
        <v>0</v>
      </c>
      <c r="AD170" s="30">
        <f>IF('Peak Areas'!AH166=0,0,((('Peak Areas'!AH166*Coefficients!$G$6+Coefficients!$H$6)*$G170)))</f>
        <v>0.21502323412008476</v>
      </c>
      <c r="AF170" s="30">
        <f>IF('Peak Areas'!K166=0,0,((('Peak Areas'!K166*Coefficients!$G$22+Coefficients!$H$22)*$G170)))</f>
        <v>0.20787554449560866</v>
      </c>
      <c r="AG170" s="30">
        <f t="shared" si="4"/>
        <v>13.22945164796382</v>
      </c>
      <c r="AH170" s="30">
        <f t="shared" si="5"/>
        <v>14.589014211074682</v>
      </c>
    </row>
    <row r="171" spans="1:34" x14ac:dyDescent="0.25">
      <c r="A171" s="2">
        <f>'Peak Areas'!A167</f>
        <v>157</v>
      </c>
      <c r="B171" s="62">
        <f>'Peak Areas'!B167</f>
        <v>45884</v>
      </c>
      <c r="C171" s="2" t="str">
        <f>'Peak Areas'!C167</f>
        <v>Q low</v>
      </c>
      <c r="D171" s="2">
        <f>'Peak Areas'!D167</f>
        <v>0</v>
      </c>
      <c r="E171" s="2">
        <f>'Peak Areas'!E167</f>
        <v>0</v>
      </c>
      <c r="F171" s="30">
        <f>'Peak Areas'!F167</f>
        <v>0.1</v>
      </c>
      <c r="G171" s="30">
        <f>((1/'Peak Areas'!$G167)*(('Peak Areas'!$H167+('Internal Standard'!$E$10/1000))/'Peak Areas'!$F167)*'Peak Areas'!$J167)*H171</f>
        <v>4.3268392411047595E-2</v>
      </c>
      <c r="H171" s="30">
        <f>(('Internal Standard'!$F$13*('Peak Areas'!G167/'Internal Standard'!$C$10))/'Peak Areas'!AB167)</f>
        <v>1.018079821436414</v>
      </c>
      <c r="I171" s="30">
        <f>IF('Peak Areas'!L167=0,0,((('Peak Areas'!L167*Coefficients!$G$21+Coefficients!$H$21)*$G171)))</f>
        <v>0</v>
      </c>
      <c r="J171" s="30">
        <f>IF('Peak Areas'!M167=0,0,((('Peak Areas'!M167*Coefficients!$G$20+Coefficients!$H$20)*$G171)))</f>
        <v>0.15896836749672744</v>
      </c>
      <c r="K171" s="30">
        <f>IF('Peak Areas'!N167=0,0,((('Peak Areas'!N167*Coefficients!$G$41+Coefficients!$H$41)*$G171)))</f>
        <v>6.30310207065536E-2</v>
      </c>
      <c r="L171" s="30">
        <f>IF('Peak Areas'!O167=0,0,((('Peak Areas'!O167*Coefficients!$G$10+Coefficients!$H$10)*$G171)))</f>
        <v>0</v>
      </c>
      <c r="M171" s="30">
        <f>IF('Peak Areas'!P167=0,0,((('Peak Areas'!P167*Coefficients!$G$32+Coefficients!$H$32)*$G171)))</f>
        <v>0.88661415722093295</v>
      </c>
      <c r="N171" s="30">
        <f>IF('Peak Areas'!Q167=0,0,((('Peak Areas'!Q167*Coefficients!$G$11+Coefficients!$H$11)*$G171)))</f>
        <v>0</v>
      </c>
      <c r="O171" s="30">
        <f>IF('Peak Areas'!R167=0,0,((('Peak Areas'!R167*Coefficients!$G$39+Coefficients!$H$39)*$G171)))</f>
        <v>0.2035938149029316</v>
      </c>
      <c r="P171" s="30">
        <f>IF('Peak Areas'!S167=0,0,((('Peak Areas'!S167*Coefficients!$G$46+Coefficients!$H$46)*$G171)))</f>
        <v>0</v>
      </c>
      <c r="Q171" s="30">
        <f>IF('Peak Areas'!T167=0,0,((('Peak Areas'!T167*Coefficients!$G$51+Coefficients!$H$51)*$G171)))</f>
        <v>0.89314185773693699</v>
      </c>
      <c r="R171" s="30">
        <f>IF('Peak Areas'!U167=0,0,((('Peak Areas'!U167*Coefficients!$G$26+Coefficients!$H$26)*$G171)))</f>
        <v>0.33887499838358404</v>
      </c>
      <c r="S171" s="30">
        <f>IF('Peak Areas'!V167=0,0,((('Peak Areas'!V167*Coefficients!$G$13+Coefficients!$H$13)*$G171)))</f>
        <v>0.21368219289693355</v>
      </c>
      <c r="T171" s="30">
        <f>IF('Peak Areas'!W167=0,0,((('Peak Areas'!W167*Coefficients!$G$12+Coefficients!$H$12)*$G171)))</f>
        <v>0.28281405411182647</v>
      </c>
      <c r="U171" s="30">
        <f>IF('Peak Areas'!X167=0,0,((('Peak Areas'!X167*Coefficients!$G$27+Coefficients!$H$27)*$G171)))</f>
        <v>2.9699720768953615E-2</v>
      </c>
      <c r="V171" s="30">
        <f>IF('Peak Areas'!Y167=0,0,((('Peak Areas'!Y167*Coefficients!$G$34+Coefficients!$H$34)*$G171)))</f>
        <v>0.74351947078930658</v>
      </c>
      <c r="W171" s="30">
        <f>IF('Peak Areas'!Z167=0,0,((('Peak Areas'!Z167*Coefficients!$G$52+Coefficients!$H$52)*$G171)))</f>
        <v>0.49027880764826637</v>
      </c>
      <c r="X171" s="30">
        <f>IF('Peak Areas'!AA167=0,0,((('Peak Areas'!AA167*Coefficients!$G$33+Coefficients!$H$33)*$G171)))</f>
        <v>7.7259667550738848E-2</v>
      </c>
      <c r="Y171" s="30">
        <f>IF('Peak Areas'!AC167=0,0,((('Peak Areas'!AC167*Coefficients!$G$19+Coefficients!$H$19)*$G171)))</f>
        <v>0.65269046674820197</v>
      </c>
      <c r="Z171" s="30">
        <f>IF('Peak Areas'!AD167=0,0,((('Peak Areas'!AD167*Coefficients!$G$18+Coefficients!$H$18)*$G171)))</f>
        <v>9.7468405705890646E-2</v>
      </c>
      <c r="AA171" s="30">
        <f>IF('Peak Areas'!AE167=0,0,((('Peak Areas'!AE167*Coefficients!$G$18+Coefficients!$H$18)*$G171)))</f>
        <v>6.4125891809896602</v>
      </c>
      <c r="AB171" s="30">
        <f>IF('Peak Areas'!AF167=0,0,((('Peak Areas'!AF167*Coefficients!$G$18+Coefficients!$H$18)*$G171)))</f>
        <v>0.64769444850179814</v>
      </c>
      <c r="AC171" s="30">
        <f>IF('Peak Areas'!AG167=0,0,((('Peak Areas'!AG167*Coefficients!$G$7+Coefficients!$H$7)*$G171)))</f>
        <v>0</v>
      </c>
      <c r="AD171" s="30">
        <f>IF('Peak Areas'!AH167=0,0,((('Peak Areas'!AH167*Coefficients!$G$6+Coefficients!$H$6)*$G171)))</f>
        <v>0.20809515596264172</v>
      </c>
      <c r="AF171" s="30">
        <f>IF('Peak Areas'!K167=0,0,((('Peak Areas'!K167*Coefficients!$G$22+Coefficients!$H$22)*$G171)))</f>
        <v>7.3132534546615363E-2</v>
      </c>
      <c r="AG171" s="30">
        <f t="shared" si="4"/>
        <v>6.4857217155362754</v>
      </c>
      <c r="AH171" s="30">
        <f t="shared" si="5"/>
        <v>7.2308845697439637</v>
      </c>
    </row>
    <row r="172" spans="1:34" x14ac:dyDescent="0.25">
      <c r="A172" s="2">
        <f>'Peak Areas'!A168</f>
        <v>158</v>
      </c>
      <c r="B172" s="62">
        <f>'Peak Areas'!B168</f>
        <v>45884</v>
      </c>
      <c r="C172" s="2" t="str">
        <f>'Peak Areas'!C168</f>
        <v>Q low</v>
      </c>
      <c r="D172" s="2">
        <f>'Peak Areas'!D168</f>
        <v>0</v>
      </c>
      <c r="E172" s="2">
        <f>'Peak Areas'!E168</f>
        <v>0</v>
      </c>
      <c r="F172" s="30">
        <f>'Peak Areas'!F168</f>
        <v>0.1</v>
      </c>
      <c r="G172" s="30">
        <f>((1/'Peak Areas'!$G168)*(('Peak Areas'!$H168+('Internal Standard'!$E$10/1000))/'Peak Areas'!$F168)*'Peak Areas'!$J168)*H172</f>
        <v>4.3726796917220805E-2</v>
      </c>
      <c r="H172" s="30">
        <f>(('Internal Standard'!$F$13*('Peak Areas'!G168/'Internal Standard'!$C$10))/'Peak Areas'!AB168)</f>
        <v>1.0288658098169601</v>
      </c>
      <c r="I172" s="30">
        <f>IF('Peak Areas'!L168=0,0,((('Peak Areas'!L168*Coefficients!$G$21+Coefficients!$H$21)*$G172)))</f>
        <v>0</v>
      </c>
      <c r="J172" s="30">
        <f>IF('Peak Areas'!M168=0,0,((('Peak Areas'!M168*Coefficients!$G$20+Coefficients!$H$20)*$G172)))</f>
        <v>0.11427065557063569</v>
      </c>
      <c r="K172" s="30">
        <f>IF('Peak Areas'!N168=0,0,((('Peak Areas'!N168*Coefficients!$G$41+Coefficients!$H$41)*$G172)))</f>
        <v>7.1671579764585644E-2</v>
      </c>
      <c r="L172" s="30">
        <f>IF('Peak Areas'!O168=0,0,((('Peak Areas'!O168*Coefficients!$G$10+Coefficients!$H$10)*$G172)))</f>
        <v>0</v>
      </c>
      <c r="M172" s="30">
        <f>IF('Peak Areas'!P168=0,0,((('Peak Areas'!P168*Coefficients!$G$32+Coefficients!$H$32)*$G172)))</f>
        <v>0.76270269797346713</v>
      </c>
      <c r="N172" s="30">
        <f>IF('Peak Areas'!Q168=0,0,((('Peak Areas'!Q168*Coefficients!$G$11+Coefficients!$H$11)*$G172)))</f>
        <v>0</v>
      </c>
      <c r="O172" s="30">
        <f>IF('Peak Areas'!R168=0,0,((('Peak Areas'!R168*Coefficients!$G$39+Coefficients!$H$39)*$G172)))</f>
        <v>0.17288823080694152</v>
      </c>
      <c r="P172" s="30">
        <f>IF('Peak Areas'!S168=0,0,((('Peak Areas'!S168*Coefficients!$G$46+Coefficients!$H$46)*$G172)))</f>
        <v>0</v>
      </c>
      <c r="Q172" s="30">
        <f>IF('Peak Areas'!T168=0,0,((('Peak Areas'!T168*Coefficients!$G$51+Coefficients!$H$51)*$G172)))</f>
        <v>0.89217257996889876</v>
      </c>
      <c r="R172" s="30">
        <f>IF('Peak Areas'!U168=0,0,((('Peak Areas'!U168*Coefficients!$G$26+Coefficients!$H$26)*$G172)))</f>
        <v>0.29450962628432248</v>
      </c>
      <c r="S172" s="30">
        <f>IF('Peak Areas'!V168=0,0,((('Peak Areas'!V168*Coefficients!$G$13+Coefficients!$H$13)*$G172)))</f>
        <v>0.22667899285306212</v>
      </c>
      <c r="T172" s="30">
        <f>IF('Peak Areas'!W168=0,0,((('Peak Areas'!W168*Coefficients!$G$12+Coefficients!$H$12)*$G172)))</f>
        <v>0.24583939079894024</v>
      </c>
      <c r="U172" s="30">
        <f>IF('Peak Areas'!X168=0,0,((('Peak Areas'!X168*Coefficients!$G$27+Coefficients!$H$27)*$G172)))</f>
        <v>3.0161742839274919E-2</v>
      </c>
      <c r="V172" s="30">
        <f>IF('Peak Areas'!Y168=0,0,((('Peak Areas'!Y168*Coefficients!$G$34+Coefficients!$H$34)*$G172)))</f>
        <v>0.59789514861582649</v>
      </c>
      <c r="W172" s="30">
        <f>IF('Peak Areas'!Z168=0,0,((('Peak Areas'!Z168*Coefficients!$G$52+Coefficients!$H$52)*$G172)))</f>
        <v>0.46858832643035292</v>
      </c>
      <c r="X172" s="30">
        <f>IF('Peak Areas'!AA168=0,0,((('Peak Areas'!AA168*Coefficients!$G$33+Coefficients!$H$33)*$G172)))</f>
        <v>7.2539677699926544E-2</v>
      </c>
      <c r="Y172" s="30">
        <f>IF('Peak Areas'!AC168=0,0,((('Peak Areas'!AC168*Coefficients!$G$19+Coefficients!$H$19)*$G172)))</f>
        <v>0.50209509958400411</v>
      </c>
      <c r="Z172" s="30">
        <f>IF('Peak Areas'!AD168=0,0,((('Peak Areas'!AD168*Coefficients!$G$18+Coefficients!$H$18)*$G172)))</f>
        <v>0.10266795677133511</v>
      </c>
      <c r="AA172" s="30">
        <f>IF('Peak Areas'!AE168=0,0,((('Peak Areas'!AE168*Coefficients!$G$18+Coefficients!$H$18)*$G172)))</f>
        <v>4.8076248672059672</v>
      </c>
      <c r="AB172" s="30">
        <f>IF('Peak Areas'!AF168=0,0,((('Peak Areas'!AF168*Coefficients!$G$18+Coefficients!$H$18)*$G172)))</f>
        <v>0.51172441103424071</v>
      </c>
      <c r="AC172" s="30">
        <f>IF('Peak Areas'!AG168=0,0,((('Peak Areas'!AG168*Coefficients!$G$7+Coefficients!$H$7)*$G172)))</f>
        <v>0</v>
      </c>
      <c r="AD172" s="30">
        <f>IF('Peak Areas'!AH168=0,0,((('Peak Areas'!AH168*Coefficients!$G$6+Coefficients!$H$6)*$G172)))</f>
        <v>6.6165090867164697E-2</v>
      </c>
      <c r="AF172" s="30">
        <f>IF('Peak Areas'!K168=0,0,((('Peak Areas'!K168*Coefficients!$G$22+Coefficients!$H$22)*$G172)))</f>
        <v>5.8989236332177127E-2</v>
      </c>
      <c r="AG172" s="30">
        <f t="shared" si="4"/>
        <v>4.8666141035381445</v>
      </c>
      <c r="AH172" s="30">
        <f t="shared" si="5"/>
        <v>5.4810064713437203</v>
      </c>
    </row>
    <row r="173" spans="1:34" x14ac:dyDescent="0.25">
      <c r="A173" s="2">
        <f>'Peak Areas'!A169</f>
        <v>159</v>
      </c>
      <c r="B173" s="62">
        <f>'Peak Areas'!B169</f>
        <v>45884</v>
      </c>
      <c r="C173" s="2" t="str">
        <f>'Peak Areas'!C169</f>
        <v>Q high</v>
      </c>
      <c r="D173" s="2">
        <f>'Peak Areas'!D169</f>
        <v>0</v>
      </c>
      <c r="E173" s="2">
        <f>'Peak Areas'!E169</f>
        <v>0</v>
      </c>
      <c r="F173" s="30">
        <f>'Peak Areas'!F169</f>
        <v>0.1</v>
      </c>
      <c r="G173" s="30">
        <f>((1/'Peak Areas'!$G169)*(('Peak Areas'!$H169+('Internal Standard'!$E$10/1000))/'Peak Areas'!$F169)*'Peak Areas'!$J169)*H173</f>
        <v>4.3792194065246211E-2</v>
      </c>
      <c r="H173" s="30">
        <f>(('Internal Standard'!$F$13*('Peak Areas'!G169/'Internal Standard'!$C$10))/'Peak Areas'!AB169)</f>
        <v>1.0304045662410872</v>
      </c>
      <c r="I173" s="30">
        <f>IF('Peak Areas'!L169=0,0,((('Peak Areas'!L169*Coefficients!$G$21+Coefficients!$H$21)*$G173)))</f>
        <v>0</v>
      </c>
      <c r="J173" s="30">
        <f>IF('Peak Areas'!M169=0,0,((('Peak Areas'!M169*Coefficients!$G$20+Coefficients!$H$20)*$G173)))</f>
        <v>0.11928361522210924</v>
      </c>
      <c r="K173" s="30">
        <f>IF('Peak Areas'!N169=0,0,((('Peak Areas'!N169*Coefficients!$G$41+Coefficients!$H$41)*$G173)))</f>
        <v>5.8050549008439152E-2</v>
      </c>
      <c r="L173" s="30">
        <f>IF('Peak Areas'!O169=0,0,((('Peak Areas'!O169*Coefficients!$G$10+Coefficients!$H$10)*$G173)))</f>
        <v>0</v>
      </c>
      <c r="M173" s="30">
        <f>IF('Peak Areas'!P169=0,0,((('Peak Areas'!P169*Coefficients!$G$32+Coefficients!$H$32)*$G173)))</f>
        <v>0.75370994146801629</v>
      </c>
      <c r="N173" s="30">
        <f>IF('Peak Areas'!Q169=0,0,((('Peak Areas'!Q169*Coefficients!$G$11+Coefficients!$H$11)*$G173)))</f>
        <v>0</v>
      </c>
      <c r="O173" s="30">
        <f>IF('Peak Areas'!R169=0,0,((('Peak Areas'!R169*Coefficients!$G$39+Coefficients!$H$39)*$G173)))</f>
        <v>0.15994132191455701</v>
      </c>
      <c r="P173" s="30">
        <f>IF('Peak Areas'!S169=0,0,((('Peak Areas'!S169*Coefficients!$G$46+Coefficients!$H$46)*$G173)))</f>
        <v>0</v>
      </c>
      <c r="Q173" s="30">
        <f>IF('Peak Areas'!T169=0,0,((('Peak Areas'!T169*Coefficients!$G$51+Coefficients!$H$51)*$G173)))</f>
        <v>0.85913047257060504</v>
      </c>
      <c r="R173" s="30">
        <f>IF('Peak Areas'!U169=0,0,((('Peak Areas'!U169*Coefficients!$G$26+Coefficients!$H$26)*$G173)))</f>
        <v>0.27866836994616501</v>
      </c>
      <c r="S173" s="30">
        <f>IF('Peak Areas'!V169=0,0,((('Peak Areas'!V169*Coefficients!$G$13+Coefficients!$H$13)*$G173)))</f>
        <v>0.21916497300939985</v>
      </c>
      <c r="T173" s="30">
        <f>IF('Peak Areas'!W169=0,0,((('Peak Areas'!W169*Coefficients!$G$12+Coefficients!$H$12)*$G173)))</f>
        <v>0.28266158451235268</v>
      </c>
      <c r="U173" s="30">
        <f>IF('Peak Areas'!X169=0,0,((('Peak Areas'!X169*Coefficients!$G$27+Coefficients!$H$27)*$G173)))</f>
        <v>3.4087935379066493E-2</v>
      </c>
      <c r="V173" s="30">
        <f>IF('Peak Areas'!Y169=0,0,((('Peak Areas'!Y169*Coefficients!$G$34+Coefficients!$H$34)*$G173)))</f>
        <v>0.56300617512503714</v>
      </c>
      <c r="W173" s="30">
        <f>IF('Peak Areas'!Z169=0,0,((('Peak Areas'!Z169*Coefficients!$G$52+Coefficients!$H$52)*$G173)))</f>
        <v>0.50561266471758504</v>
      </c>
      <c r="X173" s="30">
        <f>IF('Peak Areas'!AA169=0,0,((('Peak Areas'!AA169*Coefficients!$G$33+Coefficients!$H$33)*$G173)))</f>
        <v>4.7167327011527788E-2</v>
      </c>
      <c r="Y173" s="30">
        <f>IF('Peak Areas'!AC169=0,0,((('Peak Areas'!AC169*Coefficients!$G$19+Coefficients!$H$19)*$G173)))</f>
        <v>0.47319755625118398</v>
      </c>
      <c r="Z173" s="30">
        <f>IF('Peak Areas'!AD169=0,0,((('Peak Areas'!AD169*Coefficients!$G$18+Coefficients!$H$18)*$G173)))</f>
        <v>0.14299046474749583</v>
      </c>
      <c r="AA173" s="30">
        <f>IF('Peak Areas'!AE169=0,0,((('Peak Areas'!AE169*Coefficients!$G$18+Coefficients!$H$18)*$G173)))</f>
        <v>5.0813641600845125</v>
      </c>
      <c r="AB173" s="30">
        <f>IF('Peak Areas'!AF169=0,0,((('Peak Areas'!AF169*Coefficients!$G$18+Coefficients!$H$18)*$G173)))</f>
        <v>0.52210455114796628</v>
      </c>
      <c r="AC173" s="30">
        <f>IF('Peak Areas'!AG169=0,0,((('Peak Areas'!AG169*Coefficients!$G$7+Coefficients!$H$7)*$G173)))</f>
        <v>0</v>
      </c>
      <c r="AD173" s="30">
        <f>IF('Peak Areas'!AH169=0,0,((('Peak Areas'!AH169*Coefficients!$G$6+Coefficients!$H$6)*$G173)))</f>
        <v>7.311823691423204E-2</v>
      </c>
      <c r="AF173" s="30">
        <f>IF('Peak Areas'!K169=0,0,((('Peak Areas'!K169*Coefficients!$G$22+Coefficients!$H$22)*$G173)))</f>
        <v>4.9992291559210943E-2</v>
      </c>
      <c r="AG173" s="30">
        <f t="shared" si="4"/>
        <v>5.1313564516437236</v>
      </c>
      <c r="AH173" s="30">
        <f t="shared" si="5"/>
        <v>5.7964514675391854</v>
      </c>
    </row>
    <row r="174" spans="1:34" x14ac:dyDescent="0.25">
      <c r="A174" s="2">
        <f>'Peak Areas'!A170</f>
        <v>160</v>
      </c>
      <c r="B174" s="62">
        <f>'Peak Areas'!B170</f>
        <v>45884</v>
      </c>
      <c r="C174" s="2" t="str">
        <f>'Peak Areas'!C170</f>
        <v>Q high</v>
      </c>
      <c r="D174" s="2">
        <f>'Peak Areas'!D170</f>
        <v>0</v>
      </c>
      <c r="E174" s="2">
        <f>'Peak Areas'!E170</f>
        <v>0</v>
      </c>
      <c r="F174" s="30">
        <f>'Peak Areas'!F170</f>
        <v>0.1</v>
      </c>
      <c r="G174" s="30">
        <f>((1/'Peak Areas'!$G170)*(('Peak Areas'!$H170+('Internal Standard'!$E$10/1000))/'Peak Areas'!$F170)*'Peak Areas'!$J170)*H174</f>
        <v>4.3036471381769137E-2</v>
      </c>
      <c r="H174" s="30">
        <f>(('Internal Standard'!$F$13*('Peak Areas'!G170/'Internal Standard'!$C$10))/'Peak Areas'!AB170)</f>
        <v>1.0126228560416266</v>
      </c>
      <c r="I174" s="30">
        <f>IF('Peak Areas'!L170=0,0,((('Peak Areas'!L170*Coefficients!$G$21+Coefficients!$H$21)*$G174)))</f>
        <v>0</v>
      </c>
      <c r="J174" s="30">
        <f>IF('Peak Areas'!M170=0,0,((('Peak Areas'!M170*Coefficients!$G$20+Coefficients!$H$20)*$G174)))</f>
        <v>0.11253050951523699</v>
      </c>
      <c r="K174" s="30">
        <f>IF('Peak Areas'!N170=0,0,((('Peak Areas'!N170*Coefficients!$G$41+Coefficients!$H$41)*$G174)))</f>
        <v>6.806132495809214E-2</v>
      </c>
      <c r="L174" s="30">
        <f>IF('Peak Areas'!O170=0,0,((('Peak Areas'!O170*Coefficients!$G$10+Coefficients!$H$10)*$G174)))</f>
        <v>0</v>
      </c>
      <c r="M174" s="30">
        <f>IF('Peak Areas'!P170=0,0,((('Peak Areas'!P170*Coefficients!$G$32+Coefficients!$H$32)*$G174)))</f>
        <v>0.76665374245770945</v>
      </c>
      <c r="N174" s="30">
        <f>IF('Peak Areas'!Q170=0,0,((('Peak Areas'!Q170*Coefficients!$G$11+Coefficients!$H$11)*$G174)))</f>
        <v>0</v>
      </c>
      <c r="O174" s="30">
        <f>IF('Peak Areas'!R170=0,0,((('Peak Areas'!R170*Coefficients!$G$39+Coefficients!$H$39)*$G174)))</f>
        <v>0.16830104226146442</v>
      </c>
      <c r="P174" s="30">
        <f>IF('Peak Areas'!S170=0,0,((('Peak Areas'!S170*Coefficients!$G$46+Coefficients!$H$46)*$G174)))</f>
        <v>0</v>
      </c>
      <c r="Q174" s="30">
        <f>IF('Peak Areas'!T170=0,0,((('Peak Areas'!T170*Coefficients!$G$51+Coefficients!$H$51)*$G174)))</f>
        <v>0.88464995038968619</v>
      </c>
      <c r="R174" s="30">
        <f>IF('Peak Areas'!U170=0,0,((('Peak Areas'!U170*Coefficients!$G$26+Coefficients!$H$26)*$G174)))</f>
        <v>0.28591973687466254</v>
      </c>
      <c r="S174" s="30">
        <f>IF('Peak Areas'!V170=0,0,((('Peak Areas'!V170*Coefficients!$G$13+Coefficients!$H$13)*$G174)))</f>
        <v>0.23414076553370183</v>
      </c>
      <c r="T174" s="30">
        <f>IF('Peak Areas'!W170=0,0,((('Peak Areas'!W170*Coefficients!$G$12+Coefficients!$H$12)*$G174)))</f>
        <v>0.2917510093816793</v>
      </c>
      <c r="U174" s="30">
        <f>IF('Peak Areas'!X170=0,0,((('Peak Areas'!X170*Coefficients!$G$27+Coefficients!$H$27)*$G174)))</f>
        <v>3.2570326390476897E-2</v>
      </c>
      <c r="V174" s="30">
        <f>IF('Peak Areas'!Y170=0,0,((('Peak Areas'!Y170*Coefficients!$G$34+Coefficients!$H$34)*$G174)))</f>
        <v>0.61477824086891153</v>
      </c>
      <c r="W174" s="30">
        <f>IF('Peak Areas'!Z170=0,0,((('Peak Areas'!Z170*Coefficients!$G$52+Coefficients!$H$52)*$G174)))</f>
        <v>0.51244219722968121</v>
      </c>
      <c r="X174" s="30">
        <f>IF('Peak Areas'!AA170=0,0,((('Peak Areas'!AA170*Coefficients!$G$33+Coefficients!$H$33)*$G174)))</f>
        <v>5.0528160437421803E-2</v>
      </c>
      <c r="Y174" s="30">
        <f>IF('Peak Areas'!AC170=0,0,((('Peak Areas'!AC170*Coefficients!$G$19+Coefficients!$H$19)*$G174)))</f>
        <v>0.49852421081996545</v>
      </c>
      <c r="Z174" s="30">
        <f>IF('Peak Areas'!AD170=0,0,((('Peak Areas'!AD170*Coefficients!$G$18+Coefficients!$H$18)*$G174)))</f>
        <v>0.14937556395239934</v>
      </c>
      <c r="AA174" s="30">
        <f>IF('Peak Areas'!AE170=0,0,((('Peak Areas'!AE170*Coefficients!$G$18+Coefficients!$H$18)*$G174)))</f>
        <v>5.1275854266553296</v>
      </c>
      <c r="AB174" s="30">
        <f>IF('Peak Areas'!AF170=0,0,((('Peak Areas'!AF170*Coefficients!$G$18+Coefficients!$H$18)*$G174)))</f>
        <v>0.52729501808354218</v>
      </c>
      <c r="AC174" s="30">
        <f>IF('Peak Areas'!AG170=0,0,((('Peak Areas'!AG170*Coefficients!$G$7+Coefficients!$H$7)*$G174)))</f>
        <v>0</v>
      </c>
      <c r="AD174" s="30">
        <f>IF('Peak Areas'!AH170=0,0,((('Peak Areas'!AH170*Coefficients!$G$6+Coefficients!$H$6)*$G174)))</f>
        <v>6.5819440273651775E-2</v>
      </c>
      <c r="AF174" s="30">
        <f>IF('Peak Areas'!K170=0,0,((('Peak Areas'!K170*Coefficients!$G$22+Coefficients!$H$22)*$G174)))</f>
        <v>4.4219743593536989E-2</v>
      </c>
      <c r="AG174" s="30">
        <f t="shared" si="4"/>
        <v>5.1718051702488665</v>
      </c>
      <c r="AH174" s="30">
        <f t="shared" si="5"/>
        <v>5.8484757522848083</v>
      </c>
    </row>
    <row r="175" spans="1:34" x14ac:dyDescent="0.25">
      <c r="A175" s="2">
        <f>'Peak Areas'!A171</f>
        <v>161</v>
      </c>
      <c r="B175" s="62">
        <f>'Peak Areas'!B171</f>
        <v>45884</v>
      </c>
      <c r="C175" s="2" t="str">
        <f>'Peak Areas'!C171</f>
        <v>Q low nut</v>
      </c>
      <c r="D175" s="2">
        <f>'Peak Areas'!D171</f>
        <v>0</v>
      </c>
      <c r="E175" s="2">
        <f>'Peak Areas'!E171</f>
        <v>0</v>
      </c>
      <c r="F175" s="30">
        <f>'Peak Areas'!F171</f>
        <v>0.1</v>
      </c>
      <c r="G175" s="30">
        <f>((1/'Peak Areas'!$G171)*(('Peak Areas'!$H171+('Internal Standard'!$E$10/1000))/'Peak Areas'!$F171)*'Peak Areas'!$J171)*H175</f>
        <v>4.0589965756412494E-2</v>
      </c>
      <c r="H175" s="30">
        <f>(('Internal Standard'!$F$13*('Peak Areas'!G171/'Internal Standard'!$C$10))/'Peak Areas'!AB171)</f>
        <v>0.95505801779794097</v>
      </c>
      <c r="I175" s="30">
        <f>IF('Peak Areas'!L171=0,0,((('Peak Areas'!L171*Coefficients!$G$21+Coefficients!$H$21)*$G175)))</f>
        <v>0</v>
      </c>
      <c r="J175" s="30">
        <f>IF('Peak Areas'!M171=0,0,((('Peak Areas'!M171*Coefficients!$G$20+Coefficients!$H$20)*$G175)))</f>
        <v>0.31767747610748248</v>
      </c>
      <c r="K175" s="30">
        <f>IF('Peak Areas'!N171=0,0,((('Peak Areas'!N171*Coefficients!$G$41+Coefficients!$H$41)*$G175)))</f>
        <v>8.0303656498331447E-2</v>
      </c>
      <c r="L175" s="30">
        <f>IF('Peak Areas'!O171=0,0,((('Peak Areas'!O171*Coefficients!$G$10+Coefficients!$H$10)*$G175)))</f>
        <v>0</v>
      </c>
      <c r="M175" s="30">
        <f>IF('Peak Areas'!P171=0,0,((('Peak Areas'!P171*Coefficients!$G$32+Coefficients!$H$32)*$G175)))</f>
        <v>1.3207516954832632</v>
      </c>
      <c r="N175" s="30">
        <f>IF('Peak Areas'!Q171=0,0,((('Peak Areas'!Q171*Coefficients!$G$11+Coefficients!$H$11)*$G175)))</f>
        <v>0</v>
      </c>
      <c r="O175" s="30">
        <f>IF('Peak Areas'!R171=0,0,((('Peak Areas'!R171*Coefficients!$G$39+Coefficients!$H$39)*$G175)))</f>
        <v>0.45516234132758954</v>
      </c>
      <c r="P175" s="30">
        <f>IF('Peak Areas'!S171=0,0,((('Peak Areas'!S171*Coefficients!$G$46+Coefficients!$H$46)*$G175)))</f>
        <v>0</v>
      </c>
      <c r="Q175" s="30">
        <f>IF('Peak Areas'!T171=0,0,((('Peak Areas'!T171*Coefficients!$G$51+Coefficients!$H$51)*$G175)))</f>
        <v>1.0429916808356761</v>
      </c>
      <c r="R175" s="30">
        <f>IF('Peak Areas'!U171=0,0,((('Peak Areas'!U171*Coefficients!$G$26+Coefficients!$H$26)*$G175)))</f>
        <v>0.37855817387277962</v>
      </c>
      <c r="S175" s="30">
        <f>IF('Peak Areas'!V171=0,0,((('Peak Areas'!V171*Coefficients!$G$13+Coefficients!$H$13)*$G175)))</f>
        <v>0.19948258777908903</v>
      </c>
      <c r="T175" s="30">
        <f>IF('Peak Areas'!W171=0,0,((('Peak Areas'!W171*Coefficients!$G$12+Coefficients!$H$12)*$G175)))</f>
        <v>0.56410894925119226</v>
      </c>
      <c r="U175" s="30">
        <f>IF('Peak Areas'!X171=0,0,((('Peak Areas'!X171*Coefficients!$G$27+Coefficients!$H$27)*$G175)))</f>
        <v>2.3579953841139985E-2</v>
      </c>
      <c r="V175" s="30">
        <f>IF('Peak Areas'!Y171=0,0,((('Peak Areas'!Y171*Coefficients!$G$34+Coefficients!$H$34)*$G175)))</f>
        <v>1.4497775528894654</v>
      </c>
      <c r="W175" s="30">
        <f>IF('Peak Areas'!Z171=0,0,((('Peak Areas'!Z171*Coefficients!$G$52+Coefficients!$H$52)*$G175)))</f>
        <v>0.62251213132834315</v>
      </c>
      <c r="X175" s="30">
        <f>IF('Peak Areas'!AA171=0,0,((('Peak Areas'!AA171*Coefficients!$G$33+Coefficients!$H$33)*$G175)))</f>
        <v>0.15855768835129419</v>
      </c>
      <c r="Y175" s="30">
        <f>IF('Peak Areas'!AC171=0,0,((('Peak Areas'!AC171*Coefficients!$G$19+Coefficients!$H$19)*$G175)))</f>
        <v>1.4586673864057866</v>
      </c>
      <c r="Z175" s="30">
        <f>IF('Peak Areas'!AD171=0,0,((('Peak Areas'!AD171*Coefficients!$G$18+Coefficients!$H$18)*$G175)))</f>
        <v>0.21313216264777091</v>
      </c>
      <c r="AA175" s="30">
        <f>IF('Peak Areas'!AE171=0,0,((('Peak Areas'!AE171*Coefficients!$G$18+Coefficients!$H$18)*$G175)))</f>
        <v>10.934133198989461</v>
      </c>
      <c r="AB175" s="30">
        <f>IF('Peak Areas'!AF171=0,0,((('Peak Areas'!AF171*Coefficients!$G$18+Coefficients!$H$18)*$G175)))</f>
        <v>1.0311895656344061</v>
      </c>
      <c r="AC175" s="30">
        <f>IF('Peak Areas'!AG171=0,0,((('Peak Areas'!AG171*Coefficients!$G$7+Coefficients!$H$7)*$G175)))</f>
        <v>0</v>
      </c>
      <c r="AD175" s="30">
        <f>IF('Peak Areas'!AH171=0,0,((('Peak Areas'!AH171*Coefficients!$G$6+Coefficients!$H$6)*$G175)))</f>
        <v>0.30512502030713523</v>
      </c>
      <c r="AF175" s="30">
        <f>IF('Peak Areas'!K171=0,0,((('Peak Areas'!K171*Coefficients!$G$22+Coefficients!$H$22)*$G175)))</f>
        <v>0.15815972371137471</v>
      </c>
      <c r="AG175" s="30">
        <f t="shared" si="4"/>
        <v>11.092292922700835</v>
      </c>
      <c r="AH175" s="30">
        <f t="shared" si="5"/>
        <v>12.336614650983012</v>
      </c>
    </row>
    <row r="176" spans="1:34" x14ac:dyDescent="0.25">
      <c r="A176" s="2">
        <f>'Peak Areas'!A172</f>
        <v>162</v>
      </c>
      <c r="B176" s="62">
        <f>'Peak Areas'!B172</f>
        <v>45884</v>
      </c>
      <c r="C176" s="2" t="str">
        <f>'Peak Areas'!C172</f>
        <v>Q low nut</v>
      </c>
      <c r="D176" s="2">
        <f>'Peak Areas'!D172</f>
        <v>0</v>
      </c>
      <c r="E176" s="2">
        <f>'Peak Areas'!E172</f>
        <v>0</v>
      </c>
      <c r="F176" s="30">
        <f>'Peak Areas'!F172</f>
        <v>0.1</v>
      </c>
      <c r="G176" s="30">
        <f>((1/'Peak Areas'!$G172)*(('Peak Areas'!$H172+('Internal Standard'!$E$10/1000))/'Peak Areas'!$F172)*'Peak Areas'!$J172)*H176</f>
        <v>4.0729041785114162E-2</v>
      </c>
      <c r="H176" s="30">
        <f>(('Internal Standard'!$F$13*('Peak Areas'!G172/'Internal Standard'!$C$10))/'Peak Areas'!AB172)</f>
        <v>0.95833039494386263</v>
      </c>
      <c r="I176" s="30">
        <f>IF('Peak Areas'!L172=0,0,((('Peak Areas'!L172*Coefficients!$G$21+Coefficients!$H$21)*$G176)))</f>
        <v>0</v>
      </c>
      <c r="J176" s="30">
        <f>IF('Peak Areas'!M172=0,0,((('Peak Areas'!M172*Coefficients!$G$20+Coefficients!$H$20)*$G176)))</f>
        <v>0.30882529789117935</v>
      </c>
      <c r="K176" s="30">
        <f>IF('Peak Areas'!N172=0,0,((('Peak Areas'!N172*Coefficients!$G$41+Coefficients!$H$41)*$G176)))</f>
        <v>0.11195818861259738</v>
      </c>
      <c r="L176" s="30">
        <f>IF('Peak Areas'!O172=0,0,((('Peak Areas'!O172*Coefficients!$G$10+Coefficients!$H$10)*$G176)))</f>
        <v>0</v>
      </c>
      <c r="M176" s="30">
        <f>IF('Peak Areas'!P172=0,0,((('Peak Areas'!P172*Coefficients!$G$32+Coefficients!$H$32)*$G176)))</f>
        <v>1.4387520405462457</v>
      </c>
      <c r="N176" s="30">
        <f>IF('Peak Areas'!Q172=0,0,((('Peak Areas'!Q172*Coefficients!$G$11+Coefficients!$H$11)*$G176)))</f>
        <v>0</v>
      </c>
      <c r="O176" s="30">
        <f>IF('Peak Areas'!R172=0,0,((('Peak Areas'!R172*Coefficients!$G$39+Coefficients!$H$39)*$G176)))</f>
        <v>0.24764689625975081</v>
      </c>
      <c r="P176" s="30">
        <f>IF('Peak Areas'!S172=0,0,((('Peak Areas'!S172*Coefficients!$G$46+Coefficients!$H$46)*$G176)))</f>
        <v>0</v>
      </c>
      <c r="Q176" s="30">
        <f>IF('Peak Areas'!T172=0,0,((('Peak Areas'!T172*Coefficients!$G$51+Coefficients!$H$51)*$G176)))</f>
        <v>1.0928709847413567</v>
      </c>
      <c r="R176" s="30">
        <f>IF('Peak Areas'!U172=0,0,((('Peak Areas'!U172*Coefficients!$G$26+Coefficients!$H$26)*$G176)))</f>
        <v>0.37965859179920852</v>
      </c>
      <c r="S176" s="30">
        <f>IF('Peak Areas'!V172=0,0,((('Peak Areas'!V172*Coefficients!$G$13+Coefficients!$H$13)*$G176)))</f>
        <v>0.25943070179976069</v>
      </c>
      <c r="T176" s="30">
        <f>IF('Peak Areas'!W172=0,0,((('Peak Areas'!W172*Coefficients!$G$12+Coefficients!$H$12)*$G176)))</f>
        <v>0.64719960602407767</v>
      </c>
      <c r="U176" s="30">
        <f>IF('Peak Areas'!X172=0,0,((('Peak Areas'!X172*Coefficients!$G$27+Coefficients!$H$27)*$G176)))</f>
        <v>4.1546116772843991E-2</v>
      </c>
      <c r="V176" s="30">
        <f>IF('Peak Areas'!Y172=0,0,((('Peak Areas'!Y172*Coefficients!$G$34+Coefficients!$H$34)*$G176)))</f>
        <v>1.5194237528716645</v>
      </c>
      <c r="W176" s="30">
        <f>IF('Peak Areas'!Z172=0,0,((('Peak Areas'!Z172*Coefficients!$G$52+Coefficients!$H$52)*$G176)))</f>
        <v>0.6148334674979955</v>
      </c>
      <c r="X176" s="30">
        <f>IF('Peak Areas'!AA172=0,0,((('Peak Areas'!AA172*Coefficients!$G$33+Coefficients!$H$33)*$G176)))</f>
        <v>0.15989406851329385</v>
      </c>
      <c r="Y176" s="30">
        <f>IF('Peak Areas'!AC172=0,0,((('Peak Areas'!AC172*Coefficients!$G$19+Coefficients!$H$19)*$G176)))</f>
        <v>1.471631318472244</v>
      </c>
      <c r="Z176" s="30">
        <f>IF('Peak Areas'!AD172=0,0,((('Peak Areas'!AD172*Coefficients!$G$18+Coefficients!$H$18)*$G176)))</f>
        <v>0.2313879342162434</v>
      </c>
      <c r="AA176" s="30">
        <f>IF('Peak Areas'!AE172=0,0,((('Peak Areas'!AE172*Coefficients!$G$18+Coefficients!$H$18)*$G176)))</f>
        <v>11.340658974615842</v>
      </c>
      <c r="AB176" s="30">
        <f>IF('Peak Areas'!AF172=0,0,((('Peak Areas'!AF172*Coefficients!$G$18+Coefficients!$H$18)*$G176)))</f>
        <v>1.1238891370651083</v>
      </c>
      <c r="AC176" s="30">
        <f>IF('Peak Areas'!AG172=0,0,((('Peak Areas'!AG172*Coefficients!$G$7+Coefficients!$H$7)*$G176)))</f>
        <v>0</v>
      </c>
      <c r="AD176" s="30">
        <f>IF('Peak Areas'!AH172=0,0,((('Peak Areas'!AH172*Coefficients!$G$6+Coefficients!$H$6)*$G176)))</f>
        <v>0.34763996421971605</v>
      </c>
      <c r="AF176" s="30">
        <f>IF('Peak Areas'!K172=0,0,((('Peak Areas'!K172*Coefficients!$G$22+Coefficients!$H$22)*$G176)))</f>
        <v>0.14883134041433221</v>
      </c>
      <c r="AG176" s="30">
        <f t="shared" si="4"/>
        <v>11.489490315030174</v>
      </c>
      <c r="AH176" s="30">
        <f t="shared" si="5"/>
        <v>12.844767386311526</v>
      </c>
    </row>
    <row r="177" spans="1:34" x14ac:dyDescent="0.25">
      <c r="A177" s="2">
        <f>'Peak Areas'!A173</f>
        <v>163</v>
      </c>
      <c r="B177" s="62">
        <f>'Peak Areas'!B173</f>
        <v>45884</v>
      </c>
      <c r="C177" s="2" t="str">
        <f>'Peak Areas'!C173</f>
        <v>Q high nut</v>
      </c>
      <c r="D177" s="2">
        <f>'Peak Areas'!D173</f>
        <v>0</v>
      </c>
      <c r="E177" s="2">
        <f>'Peak Areas'!E173</f>
        <v>0</v>
      </c>
      <c r="F177" s="30">
        <f>'Peak Areas'!F173</f>
        <v>0.1</v>
      </c>
      <c r="G177" s="30">
        <f>((1/'Peak Areas'!$G173)*(('Peak Areas'!$H173+('Internal Standard'!$E$10/1000))/'Peak Areas'!$F173)*'Peak Areas'!$J173)*H177</f>
        <v>4.1713805835398431E-2</v>
      </c>
      <c r="H177" s="30">
        <f>(('Internal Standard'!$F$13*('Peak Areas'!G173/'Internal Standard'!$C$10))/'Peak Areas'!AB173)</f>
        <v>0.98150131377408067</v>
      </c>
      <c r="I177" s="30">
        <f>IF('Peak Areas'!L173=0,0,((('Peak Areas'!L173*Coefficients!$G$21+Coefficients!$H$21)*$G177)))</f>
        <v>0</v>
      </c>
      <c r="J177" s="30">
        <f>IF('Peak Areas'!M173=0,0,((('Peak Areas'!M173*Coefficients!$G$20+Coefficients!$H$20)*$G177)))</f>
        <v>0.38278913087822242</v>
      </c>
      <c r="K177" s="30">
        <f>IF('Peak Areas'!N173=0,0,((('Peak Areas'!N173*Coefficients!$G$41+Coefficients!$H$41)*$G177)))</f>
        <v>8.0435674764558929E-2</v>
      </c>
      <c r="L177" s="30">
        <f>IF('Peak Areas'!O173=0,0,((('Peak Areas'!O173*Coefficients!$G$10+Coefficients!$H$10)*$G177)))</f>
        <v>0</v>
      </c>
      <c r="M177" s="30">
        <f>IF('Peak Areas'!P173=0,0,((('Peak Areas'!P173*Coefficients!$G$32+Coefficients!$H$32)*$G177)))</f>
        <v>1.533719382451608</v>
      </c>
      <c r="N177" s="30">
        <f>IF('Peak Areas'!Q173=0,0,((('Peak Areas'!Q173*Coefficients!$G$11+Coefficients!$H$11)*$G177)))</f>
        <v>0</v>
      </c>
      <c r="O177" s="30">
        <f>IF('Peak Areas'!R173=0,0,((('Peak Areas'!R173*Coefficients!$G$39+Coefficients!$H$39)*$G177)))</f>
        <v>0.5165316269340432</v>
      </c>
      <c r="P177" s="30">
        <f>IF('Peak Areas'!S173=0,0,((('Peak Areas'!S173*Coefficients!$G$46+Coefficients!$H$46)*$G177)))</f>
        <v>0</v>
      </c>
      <c r="Q177" s="30">
        <f>IF('Peak Areas'!T173=0,0,((('Peak Areas'!T173*Coefficients!$G$51+Coefficients!$H$51)*$G177)))</f>
        <v>1.104347650760245</v>
      </c>
      <c r="R177" s="30">
        <f>IF('Peak Areas'!U173=0,0,((('Peak Areas'!U173*Coefficients!$G$26+Coefficients!$H$26)*$G177)))</f>
        <v>0.45029643861259394</v>
      </c>
      <c r="S177" s="30">
        <f>IF('Peak Areas'!V173=0,0,((('Peak Areas'!V173*Coefficients!$G$13+Coefficients!$H$13)*$G177)))</f>
        <v>0.22073187863736282</v>
      </c>
      <c r="T177" s="30">
        <f>IF('Peak Areas'!W173=0,0,((('Peak Areas'!W173*Coefficients!$G$12+Coefficients!$H$12)*$G177)))</f>
        <v>0.71363264341398536</v>
      </c>
      <c r="U177" s="30">
        <f>IF('Peak Areas'!X173=0,0,((('Peak Areas'!X173*Coefficients!$G$27+Coefficients!$H$27)*$G177)))</f>
        <v>2.7107025592781619E-2</v>
      </c>
      <c r="V177" s="30">
        <f>IF('Peak Areas'!Y173=0,0,((('Peak Areas'!Y173*Coefficients!$G$34+Coefficients!$H$34)*$G177)))</f>
        <v>1.7601903456920693</v>
      </c>
      <c r="W177" s="30">
        <f>IF('Peak Areas'!Z173=0,0,((('Peak Areas'!Z173*Coefficients!$G$52+Coefficients!$H$52)*$G177)))</f>
        <v>0.66553077458244925</v>
      </c>
      <c r="X177" s="30">
        <f>IF('Peak Areas'!AA173=0,0,((('Peak Areas'!AA173*Coefficients!$G$33+Coefficients!$H$33)*$G177)))</f>
        <v>0.16551130031750363</v>
      </c>
      <c r="Y177" s="30">
        <f>IF('Peak Areas'!AC173=0,0,((('Peak Areas'!AC173*Coefficients!$G$19+Coefficients!$H$19)*$G177)))</f>
        <v>1.6664105565225273</v>
      </c>
      <c r="Z177" s="30">
        <f>IF('Peak Areas'!AD173=0,0,((('Peak Areas'!AD173*Coefficients!$G$18+Coefficients!$H$18)*$G177)))</f>
        <v>0.19672369321809274</v>
      </c>
      <c r="AA177" s="30">
        <f>IF('Peak Areas'!AE173=0,0,((('Peak Areas'!AE173*Coefficients!$G$18+Coefficients!$H$18)*$G177)))</f>
        <v>12.7646429073489</v>
      </c>
      <c r="AB177" s="30">
        <f>IF('Peak Areas'!AF173=0,0,((('Peak Areas'!AF173*Coefficients!$G$18+Coefficients!$H$18)*$G177)))</f>
        <v>1.2090434351839752</v>
      </c>
      <c r="AC177" s="30">
        <f>IF('Peak Areas'!AG173=0,0,((('Peak Areas'!AG173*Coefficients!$G$7+Coefficients!$H$7)*$G177)))</f>
        <v>0</v>
      </c>
      <c r="AD177" s="30">
        <f>IF('Peak Areas'!AH173=0,0,((('Peak Areas'!AH173*Coefficients!$G$6+Coefficients!$H$6)*$G177)))</f>
        <v>0.32086789337395444</v>
      </c>
      <c r="AF177" s="30">
        <f>IF('Peak Areas'!K173=0,0,((('Peak Areas'!K173*Coefficients!$G$22+Coefficients!$H$22)*$G177)))</f>
        <v>6.2692126772100967E-2</v>
      </c>
      <c r="AG177" s="30">
        <f t="shared" si="4"/>
        <v>12.827335034121001</v>
      </c>
      <c r="AH177" s="30">
        <f t="shared" si="5"/>
        <v>14.233102162523069</v>
      </c>
    </row>
    <row r="178" spans="1:34" x14ac:dyDescent="0.25">
      <c r="A178" s="2">
        <f>'Peak Areas'!A174</f>
        <v>164</v>
      </c>
      <c r="B178" s="62">
        <f>'Peak Areas'!B174</f>
        <v>45884</v>
      </c>
      <c r="C178" s="2" t="str">
        <f>'Peak Areas'!C174</f>
        <v>Q high nut</v>
      </c>
      <c r="D178" s="2">
        <f>'Peak Areas'!D174</f>
        <v>0</v>
      </c>
      <c r="E178" s="2">
        <f>'Peak Areas'!E174</f>
        <v>0</v>
      </c>
      <c r="F178" s="30">
        <f>'Peak Areas'!F174</f>
        <v>0.1</v>
      </c>
      <c r="G178" s="30">
        <f>((1/'Peak Areas'!$G174)*(('Peak Areas'!$H174+('Internal Standard'!$E$10/1000))/'Peak Areas'!$F174)*'Peak Areas'!$J174)*H178</f>
        <v>4.1362112246838341E-2</v>
      </c>
      <c r="H178" s="30">
        <f>(('Internal Standard'!$F$13*('Peak Areas'!G174/'Internal Standard'!$C$10))/'Peak Areas'!AB174)</f>
        <v>0.97322617051384319</v>
      </c>
      <c r="I178" s="30">
        <f>IF('Peak Areas'!L174=0,0,((('Peak Areas'!L174*Coefficients!$G$21+Coefficients!$H$21)*$G178)))</f>
        <v>0</v>
      </c>
      <c r="J178" s="30">
        <f>IF('Peak Areas'!M174=0,0,((('Peak Areas'!M174*Coefficients!$G$20+Coefficients!$H$20)*$G178)))</f>
        <v>0.43370247339636753</v>
      </c>
      <c r="K178" s="30">
        <f>IF('Peak Areas'!N174=0,0,((('Peak Areas'!N174*Coefficients!$G$41+Coefficients!$H$41)*$G178)))</f>
        <v>0.11178250440109319</v>
      </c>
      <c r="L178" s="30">
        <f>IF('Peak Areas'!O174=0,0,((('Peak Areas'!O174*Coefficients!$G$10+Coefficients!$H$10)*$G178)))</f>
        <v>0</v>
      </c>
      <c r="M178" s="30">
        <f>IF('Peak Areas'!P174=0,0,((('Peak Areas'!P174*Coefficients!$G$32+Coefficients!$H$32)*$G178)))</f>
        <v>1.52884858835614</v>
      </c>
      <c r="N178" s="30">
        <f>IF('Peak Areas'!Q174=0,0,((('Peak Areas'!Q174*Coefficients!$G$11+Coefficients!$H$11)*$G178)))</f>
        <v>0</v>
      </c>
      <c r="O178" s="30">
        <f>IF('Peak Areas'!R174=0,0,((('Peak Areas'!R174*Coefficients!$G$39+Coefficients!$H$39)*$G178)))</f>
        <v>0.50225377551909967</v>
      </c>
      <c r="P178" s="30">
        <f>IF('Peak Areas'!S174=0,0,((('Peak Areas'!S174*Coefficients!$G$46+Coefficients!$H$46)*$G178)))</f>
        <v>0</v>
      </c>
      <c r="Q178" s="30">
        <f>IF('Peak Areas'!T174=0,0,((('Peak Areas'!T174*Coefficients!$G$51+Coefficients!$H$51)*$G178)))</f>
        <v>1.0958107955498941</v>
      </c>
      <c r="R178" s="30">
        <f>IF('Peak Areas'!U174=0,0,((('Peak Areas'!U174*Coefficients!$G$26+Coefficients!$H$26)*$G178)))</f>
        <v>0.45728467231289277</v>
      </c>
      <c r="S178" s="30">
        <f>IF('Peak Areas'!V174=0,0,((('Peak Areas'!V174*Coefficients!$G$13+Coefficients!$H$13)*$G178)))</f>
        <v>0.2231339424850409</v>
      </c>
      <c r="T178" s="30">
        <f>IF('Peak Areas'!W174=0,0,((('Peak Areas'!W174*Coefficients!$G$12+Coefficients!$H$12)*$G178)))</f>
        <v>0.71049087127023691</v>
      </c>
      <c r="U178" s="30">
        <f>IF('Peak Areas'!X174=0,0,((('Peak Areas'!X174*Coefficients!$G$27+Coefficients!$H$27)*$G178)))</f>
        <v>2.9150195340885778E-2</v>
      </c>
      <c r="V178" s="30">
        <f>IF('Peak Areas'!Y174=0,0,((('Peak Areas'!Y174*Coefficients!$G$34+Coefficients!$H$34)*$G178)))</f>
        <v>0</v>
      </c>
      <c r="W178" s="30">
        <f>IF('Peak Areas'!Z174=0,0,((('Peak Areas'!Z174*Coefficients!$G$52+Coefficients!$H$52)*$G178)))</f>
        <v>0.6403348333323996</v>
      </c>
      <c r="X178" s="30">
        <f>IF('Peak Areas'!AA174=0,0,((('Peak Areas'!AA174*Coefficients!$G$33+Coefficients!$H$33)*$G178)))</f>
        <v>0.15340879340053748</v>
      </c>
      <c r="Y178" s="30">
        <f>IF('Peak Areas'!AC174=0,0,((('Peak Areas'!AC174*Coefficients!$G$19+Coefficients!$H$19)*$G178)))</f>
        <v>1.6071973952648964</v>
      </c>
      <c r="Z178" s="30">
        <f>IF('Peak Areas'!AD174=0,0,((('Peak Areas'!AD174*Coefficients!$G$18+Coefficients!$H$18)*$G178)))</f>
        <v>0.21180381196947493</v>
      </c>
      <c r="AA178" s="30">
        <f>IF('Peak Areas'!AE174=0,0,((('Peak Areas'!AE174*Coefficients!$G$18+Coefficients!$H$18)*$G178)))</f>
        <v>12.978947953487079</v>
      </c>
      <c r="AB178" s="30">
        <f>IF('Peak Areas'!AF174=0,0,((('Peak Areas'!AF174*Coefficients!$G$18+Coefficients!$H$18)*$G178)))</f>
        <v>1.2391512737653392</v>
      </c>
      <c r="AC178" s="30">
        <f>IF('Peak Areas'!AG174=0,0,((('Peak Areas'!AG174*Coefficients!$G$7+Coefficients!$H$7)*$G178)))</f>
        <v>0</v>
      </c>
      <c r="AD178" s="30">
        <f>IF('Peak Areas'!AH174=0,0,((('Peak Areas'!AH174*Coefficients!$G$6+Coefficients!$H$6)*$G178)))</f>
        <v>0.70126811235710329</v>
      </c>
      <c r="AF178" s="30">
        <f>IF('Peak Areas'!K174=0,0,((('Peak Areas'!K174*Coefficients!$G$22+Coefficients!$H$22)*$G178)))</f>
        <v>0.2260971354610351</v>
      </c>
      <c r="AG178" s="30">
        <f t="shared" si="4"/>
        <v>13.205045088948115</v>
      </c>
      <c r="AH178" s="30">
        <f t="shared" si="5"/>
        <v>14.656000174682928</v>
      </c>
    </row>
    <row r="179" spans="1:34" x14ac:dyDescent="0.25">
      <c r="A179" s="2">
        <f>'Peak Areas'!A175</f>
        <v>165</v>
      </c>
      <c r="B179" s="62">
        <f>'Peak Areas'!B175</f>
        <v>45884</v>
      </c>
      <c r="C179" s="2" t="str">
        <f>'Peak Areas'!C175</f>
        <v>Q+C low</v>
      </c>
      <c r="D179" s="2">
        <f>'Peak Areas'!D175</f>
        <v>0</v>
      </c>
      <c r="E179" s="2">
        <f>'Peak Areas'!E175</f>
        <v>0</v>
      </c>
      <c r="F179" s="30">
        <f>'Peak Areas'!F175</f>
        <v>0.1</v>
      </c>
      <c r="G179" s="30">
        <f>((1/'Peak Areas'!$G175)*(('Peak Areas'!$H175+('Internal Standard'!$E$10/1000))/'Peak Areas'!$F175)*'Peak Areas'!$J175)*H179</f>
        <v>4.4005283008457546E-2</v>
      </c>
      <c r="H179" s="30">
        <f>(('Internal Standard'!$F$13*('Peak Areas'!G175/'Internal Standard'!$C$10))/'Peak Areas'!AB175)</f>
        <v>1.0354184237284128</v>
      </c>
      <c r="I179" s="30">
        <f>IF('Peak Areas'!L175=0,0,((('Peak Areas'!L175*Coefficients!$G$21+Coefficients!$H$21)*$G179)))</f>
        <v>0</v>
      </c>
      <c r="J179" s="30">
        <f>IF('Peak Areas'!M175=0,0,((('Peak Areas'!M175*Coefficients!$G$20+Coefficients!$H$20)*$G179)))</f>
        <v>0.17977973053482985</v>
      </c>
      <c r="K179" s="30">
        <f>IF('Peak Areas'!N175=0,0,((('Peak Areas'!N175*Coefficients!$G$41+Coefficients!$H$41)*$G179)))</f>
        <v>7.5357311759642831E-2</v>
      </c>
      <c r="L179" s="30">
        <f>IF('Peak Areas'!O175=0,0,((('Peak Areas'!O175*Coefficients!$G$10+Coefficients!$H$10)*$G179)))</f>
        <v>0</v>
      </c>
      <c r="M179" s="30">
        <f>IF('Peak Areas'!P175=0,0,((('Peak Areas'!P175*Coefficients!$G$32+Coefficients!$H$32)*$G179)))</f>
        <v>0.95584793577722782</v>
      </c>
      <c r="N179" s="30">
        <f>IF('Peak Areas'!Q175=0,0,((('Peak Areas'!Q175*Coefficients!$G$11+Coefficients!$H$11)*$G179)))</f>
        <v>0</v>
      </c>
      <c r="O179" s="30">
        <f>IF('Peak Areas'!R175=0,0,((('Peak Areas'!R175*Coefficients!$G$39+Coefficients!$H$39)*$G179)))</f>
        <v>0.22164966662742755</v>
      </c>
      <c r="P179" s="30">
        <f>IF('Peak Areas'!S175=0,0,((('Peak Areas'!S175*Coefficients!$G$46+Coefficients!$H$46)*$G179)))</f>
        <v>0</v>
      </c>
      <c r="Q179" s="30">
        <f>IF('Peak Areas'!T175=0,0,((('Peak Areas'!T175*Coefficients!$G$51+Coefficients!$H$51)*$G179)))</f>
        <v>1.0164518291539399</v>
      </c>
      <c r="R179" s="30">
        <f>IF('Peak Areas'!U175=0,0,((('Peak Areas'!U175*Coefficients!$G$26+Coefficients!$H$26)*$G179)))</f>
        <v>0.32205124993465273</v>
      </c>
      <c r="S179" s="30">
        <f>IF('Peak Areas'!V175=0,0,((('Peak Areas'!V175*Coefficients!$G$13+Coefficients!$H$13)*$G179)))</f>
        <v>0.20691853121285531</v>
      </c>
      <c r="T179" s="30">
        <f>IF('Peak Areas'!W175=0,0,((('Peak Areas'!W175*Coefficients!$G$12+Coefficients!$H$12)*$G179)))</f>
        <v>0.33054095858626209</v>
      </c>
      <c r="U179" s="30">
        <f>IF('Peak Areas'!X175=0,0,((('Peak Areas'!X175*Coefficients!$G$27+Coefficients!$H$27)*$G179)))</f>
        <v>0</v>
      </c>
      <c r="V179" s="30">
        <f>IF('Peak Areas'!Y175=0,0,((('Peak Areas'!Y175*Coefficients!$G$34+Coefficients!$H$34)*$G179)))</f>
        <v>4.8016456369061128E-2</v>
      </c>
      <c r="W179" s="30">
        <f>IF('Peak Areas'!Z175=0,0,((('Peak Areas'!Z175*Coefficients!$G$52+Coefficients!$H$52)*$G179)))</f>
        <v>0.50865684515941256</v>
      </c>
      <c r="X179" s="30">
        <f>IF('Peak Areas'!AA175=0,0,((('Peak Areas'!AA175*Coefficients!$G$33+Coefficients!$H$33)*$G179)))</f>
        <v>5.1571282831092698E-2</v>
      </c>
      <c r="Y179" s="30">
        <f>IF('Peak Areas'!AC175=0,0,((('Peak Areas'!AC175*Coefficients!$G$19+Coefficients!$H$19)*$G179)))</f>
        <v>0.65150795506955506</v>
      </c>
      <c r="Z179" s="30">
        <f>IF('Peak Areas'!AD175=0,0,((('Peak Areas'!AD175*Coefficients!$G$18+Coefficients!$H$18)*$G179)))</f>
        <v>9.6449714370088452E-2</v>
      </c>
      <c r="AA179" s="30">
        <f>IF('Peak Areas'!AE175=0,0,((('Peak Areas'!AE175*Coefficients!$G$18+Coefficients!$H$18)*$G179)))</f>
        <v>6.1446467043656758</v>
      </c>
      <c r="AB179" s="30">
        <f>IF('Peak Areas'!AF175=0,0,((('Peak Areas'!AF175*Coefficients!$G$18+Coefficients!$H$18)*$G179)))</f>
        <v>0.65229638276342139</v>
      </c>
      <c r="AC179" s="30">
        <f>IF('Peak Areas'!AG175=0,0,((('Peak Areas'!AG175*Coefficients!$G$7+Coefficients!$H$7)*$G179)))</f>
        <v>0</v>
      </c>
      <c r="AD179" s="30">
        <f>IF('Peak Areas'!AH175=0,0,((('Peak Areas'!AH175*Coefficients!$G$6+Coefficients!$H$6)*$G179)))</f>
        <v>6.2340026667827536E-2</v>
      </c>
      <c r="AF179" s="30">
        <f>IF('Peak Areas'!K175=0,0,((('Peak Areas'!K175*Coefficients!$G$22+Coefficients!$H$22)*$G179)))</f>
        <v>6.7223223555988254E-2</v>
      </c>
      <c r="AG179" s="30">
        <f t="shared" si="4"/>
        <v>6.211869927921664</v>
      </c>
      <c r="AH179" s="30">
        <f t="shared" si="5"/>
        <v>6.9606160250551738</v>
      </c>
    </row>
    <row r="180" spans="1:34" x14ac:dyDescent="0.25">
      <c r="A180" s="2">
        <f>'Peak Areas'!A176</f>
        <v>166</v>
      </c>
      <c r="B180" s="62">
        <f>'Peak Areas'!B176</f>
        <v>45884</v>
      </c>
      <c r="C180" s="2" t="str">
        <f>'Peak Areas'!C176</f>
        <v>Q+C low</v>
      </c>
      <c r="D180" s="2">
        <f>'Peak Areas'!D176</f>
        <v>0</v>
      </c>
      <c r="E180" s="2">
        <f>'Peak Areas'!E176</f>
        <v>0</v>
      </c>
      <c r="F180" s="30">
        <f>'Peak Areas'!F176</f>
        <v>0.1</v>
      </c>
      <c r="G180" s="30">
        <f>((1/'Peak Areas'!$G176)*(('Peak Areas'!$H176+('Internal Standard'!$E$10/1000))/'Peak Areas'!$F176)*'Peak Areas'!$J176)*H180</f>
        <v>4.5015450887745723E-2</v>
      </c>
      <c r="H180" s="30">
        <f>(('Internal Standard'!$F$13*('Peak Areas'!G176/'Internal Standard'!$C$10))/'Peak Areas'!AB176)</f>
        <v>1.059187079711664</v>
      </c>
      <c r="I180" s="30">
        <f>IF('Peak Areas'!L176=0,0,((('Peak Areas'!L176*Coefficients!$G$21+Coefficients!$H$21)*$G180)))</f>
        <v>0</v>
      </c>
      <c r="J180" s="30">
        <f>IF('Peak Areas'!M176=0,0,((('Peak Areas'!M176*Coefficients!$G$20+Coefficients!$H$20)*$G180)))</f>
        <v>0.14959997256106131</v>
      </c>
      <c r="K180" s="30">
        <f>IF('Peak Areas'!N176=0,0,((('Peak Areas'!N176*Coefficients!$G$41+Coefficients!$H$41)*$G180)))</f>
        <v>6.9660387497742338E-2</v>
      </c>
      <c r="L180" s="30">
        <f>IF('Peak Areas'!O176=0,0,((('Peak Areas'!O176*Coefficients!$G$10+Coefficients!$H$10)*$G180)))</f>
        <v>0</v>
      </c>
      <c r="M180" s="30">
        <f>IF('Peak Areas'!P176=0,0,((('Peak Areas'!P176*Coefficients!$G$32+Coefficients!$H$32)*$G180)))</f>
        <v>0.850156531995925</v>
      </c>
      <c r="N180" s="30">
        <f>IF('Peak Areas'!Q176=0,0,((('Peak Areas'!Q176*Coefficients!$G$11+Coefficients!$H$11)*$G180)))</f>
        <v>0</v>
      </c>
      <c r="O180" s="30">
        <f>IF('Peak Areas'!R176=0,0,((('Peak Areas'!R176*Coefficients!$G$39+Coefficients!$H$39)*$G180)))</f>
        <v>0.17645256286489749</v>
      </c>
      <c r="P180" s="30">
        <f>IF('Peak Areas'!S176=0,0,((('Peak Areas'!S176*Coefficients!$G$46+Coefficients!$H$46)*$G180)))</f>
        <v>0</v>
      </c>
      <c r="Q180" s="30">
        <f>IF('Peak Areas'!T176=0,0,((('Peak Areas'!T176*Coefficients!$G$51+Coefficients!$H$51)*$G180)))</f>
        <v>1.0238341371310229</v>
      </c>
      <c r="R180" s="30">
        <f>IF('Peak Areas'!U176=0,0,((('Peak Areas'!U176*Coefficients!$G$26+Coefficients!$H$26)*$G180)))</f>
        <v>0.31742385564179976</v>
      </c>
      <c r="S180" s="30">
        <f>IF('Peak Areas'!V176=0,0,((('Peak Areas'!V176*Coefficients!$G$13+Coefficients!$H$13)*$G180)))</f>
        <v>0.22012705720474071</v>
      </c>
      <c r="T180" s="30">
        <f>IF('Peak Areas'!W176=0,0,((('Peak Areas'!W176*Coefficients!$G$12+Coefficients!$H$12)*$G180)))</f>
        <v>0.275891517262848</v>
      </c>
      <c r="U180" s="30">
        <f>IF('Peak Areas'!X176=0,0,((('Peak Areas'!X176*Coefficients!$G$27+Coefficients!$H$27)*$G180)))</f>
        <v>0</v>
      </c>
      <c r="V180" s="30">
        <f>IF('Peak Areas'!Y176=0,0,((('Peak Areas'!Y176*Coefficients!$G$34+Coefficients!$H$34)*$G180)))</f>
        <v>4.8345357633087255E-2</v>
      </c>
      <c r="W180" s="30">
        <f>IF('Peak Areas'!Z176=0,0,((('Peak Areas'!Z176*Coefficients!$G$52+Coefficients!$H$52)*$G180)))</f>
        <v>0.50441773533339362</v>
      </c>
      <c r="X180" s="30">
        <f>IF('Peak Areas'!AA176=0,0,((('Peak Areas'!AA176*Coefficients!$G$33+Coefficients!$H$33)*$G180)))</f>
        <v>6.6474684118373414E-2</v>
      </c>
      <c r="Y180" s="30">
        <f>IF('Peak Areas'!AC176=0,0,((('Peak Areas'!AC176*Coefficients!$G$19+Coefficients!$H$19)*$G180)))</f>
        <v>0.56019565007168093</v>
      </c>
      <c r="Z180" s="30">
        <f>IF('Peak Areas'!AD176=0,0,((('Peak Areas'!AD176*Coefficients!$G$18+Coefficients!$H$18)*$G180)))</f>
        <v>9.6906309657560752E-2</v>
      </c>
      <c r="AA180" s="30">
        <f>IF('Peak Areas'!AE176=0,0,((('Peak Areas'!AE176*Coefficients!$G$18+Coefficients!$H$18)*$G180)))</f>
        <v>5.7503349984416579</v>
      </c>
      <c r="AB180" s="30">
        <f>IF('Peak Areas'!AF176=0,0,((('Peak Areas'!AF176*Coefficients!$G$18+Coefficients!$H$18)*$G180)))</f>
        <v>0.61870370089480098</v>
      </c>
      <c r="AC180" s="30">
        <f>IF('Peak Areas'!AG176=0,0,((('Peak Areas'!AG176*Coefficients!$G$7+Coefficients!$H$7)*$G180)))</f>
        <v>0</v>
      </c>
      <c r="AD180" s="30">
        <f>IF('Peak Areas'!AH176=0,0,((('Peak Areas'!AH176*Coefficients!$G$6+Coefficients!$H$6)*$G180)))</f>
        <v>0.11192518452823327</v>
      </c>
      <c r="AF180" s="30">
        <f>IF('Peak Areas'!K176=0,0,((('Peak Areas'!K176*Coefficients!$G$22+Coefficients!$H$22)*$G180)))</f>
        <v>5.3596719063331376E-2</v>
      </c>
      <c r="AG180" s="30">
        <f t="shared" si="4"/>
        <v>5.8039317175049892</v>
      </c>
      <c r="AH180" s="30">
        <f t="shared" si="5"/>
        <v>6.5195417280573507</v>
      </c>
    </row>
    <row r="181" spans="1:34" x14ac:dyDescent="0.25">
      <c r="A181" s="2">
        <f>'Peak Areas'!A177</f>
        <v>167</v>
      </c>
      <c r="B181" s="62">
        <f>'Peak Areas'!B177</f>
        <v>45884</v>
      </c>
      <c r="C181" s="2" t="str">
        <f>'Peak Areas'!C177</f>
        <v>Q+C high</v>
      </c>
      <c r="D181" s="2">
        <f>'Peak Areas'!D177</f>
        <v>0</v>
      </c>
      <c r="E181" s="2">
        <f>'Peak Areas'!E177</f>
        <v>0</v>
      </c>
      <c r="F181" s="30">
        <f>'Peak Areas'!F177</f>
        <v>0.1</v>
      </c>
      <c r="G181" s="30">
        <f>((1/'Peak Areas'!$G177)*(('Peak Areas'!$H177+('Internal Standard'!$E$10/1000))/'Peak Areas'!$F177)*'Peak Areas'!$J177)*H181</f>
        <v>4.4682314454167121E-2</v>
      </c>
      <c r="H181" s="30">
        <f>(('Internal Standard'!$F$13*('Peak Areas'!G177/'Internal Standard'!$C$10))/'Peak Areas'!AB177)</f>
        <v>1.0513485753921674</v>
      </c>
      <c r="I181" s="30">
        <f>IF('Peak Areas'!L177=0,0,((('Peak Areas'!L177*Coefficients!$G$21+Coefficients!$H$21)*$G181)))</f>
        <v>0</v>
      </c>
      <c r="J181" s="30">
        <f>IF('Peak Areas'!M177=0,0,((('Peak Areas'!M177*Coefficients!$G$20+Coefficients!$H$20)*$G181)))</f>
        <v>9.9333446761787694E-2</v>
      </c>
      <c r="K181" s="30">
        <f>IF('Peak Areas'!N177=0,0,((('Peak Areas'!N177*Coefficients!$G$41+Coefficients!$H$41)*$G181)))</f>
        <v>5.2238481492126988E-2</v>
      </c>
      <c r="L181" s="30">
        <f>IF('Peak Areas'!O177=0,0,((('Peak Areas'!O177*Coefficients!$G$10+Coefficients!$H$10)*$G181)))</f>
        <v>0</v>
      </c>
      <c r="M181" s="30">
        <f>IF('Peak Areas'!P177=0,0,((('Peak Areas'!P177*Coefficients!$G$32+Coefficients!$H$32)*$G181)))</f>
        <v>0.8095119366973097</v>
      </c>
      <c r="N181" s="30">
        <f>IF('Peak Areas'!Q177=0,0,((('Peak Areas'!Q177*Coefficients!$G$11+Coefficients!$H$11)*$G181)))</f>
        <v>0</v>
      </c>
      <c r="O181" s="30">
        <f>IF('Peak Areas'!R177=0,0,((('Peak Areas'!R177*Coefficients!$G$39+Coefficients!$H$39)*$G181)))</f>
        <v>0.18713585518485659</v>
      </c>
      <c r="P181" s="30">
        <f>IF('Peak Areas'!S177=0,0,((('Peak Areas'!S177*Coefficients!$G$46+Coefficients!$H$46)*$G181)))</f>
        <v>0</v>
      </c>
      <c r="Q181" s="30">
        <f>IF('Peak Areas'!T177=0,0,((('Peak Areas'!T177*Coefficients!$G$51+Coefficients!$H$51)*$G181)))</f>
        <v>0.91986260087785598</v>
      </c>
      <c r="R181" s="30">
        <f>IF('Peak Areas'!U177=0,0,((('Peak Areas'!U177*Coefficients!$G$26+Coefficients!$H$26)*$G181)))</f>
        <v>0.27558864954808354</v>
      </c>
      <c r="S181" s="30">
        <f>IF('Peak Areas'!V177=0,0,((('Peak Areas'!V177*Coefficients!$G$13+Coefficients!$H$13)*$G181)))</f>
        <v>0.23201570981968281</v>
      </c>
      <c r="T181" s="30">
        <f>IF('Peak Areas'!W177=0,0,((('Peak Areas'!W177*Coefficients!$G$12+Coefficients!$H$12)*$G181)))</f>
        <v>0.29708347706175731</v>
      </c>
      <c r="U181" s="30">
        <f>IF('Peak Areas'!X177=0,0,((('Peak Areas'!X177*Coefficients!$G$27+Coefficients!$H$27)*$G181)))</f>
        <v>2.8205025777134268E-2</v>
      </c>
      <c r="V181" s="30">
        <f>IF('Peak Areas'!Y177=0,0,((('Peak Areas'!Y177*Coefficients!$G$34+Coefficients!$H$34)*$G181)))</f>
        <v>0.59898394774228692</v>
      </c>
      <c r="W181" s="30">
        <f>IF('Peak Areas'!Z177=0,0,((('Peak Areas'!Z177*Coefficients!$G$52+Coefficients!$H$52)*$G181)))</f>
        <v>0.45898305803266104</v>
      </c>
      <c r="X181" s="30">
        <f>IF('Peak Areas'!AA177=0,0,((('Peak Areas'!AA177*Coefficients!$G$33+Coefficients!$H$33)*$G181)))</f>
        <v>4.348027805227677E-2</v>
      </c>
      <c r="Y181" s="30">
        <f>IF('Peak Areas'!AC177=0,0,((('Peak Areas'!AC177*Coefficients!$G$19+Coefficients!$H$19)*$G181)))</f>
        <v>0.5020868463340552</v>
      </c>
      <c r="Z181" s="30">
        <f>IF('Peak Areas'!AD177=0,0,((('Peak Areas'!AD177*Coefficients!$G$18+Coefficients!$H$18)*$G181)))</f>
        <v>0.12590125019995202</v>
      </c>
      <c r="AA181" s="30">
        <f>IF('Peak Areas'!AE177=0,0,((('Peak Areas'!AE177*Coefficients!$G$18+Coefficients!$H$18)*$G181)))</f>
        <v>5.1501527054006884</v>
      </c>
      <c r="AB181" s="30">
        <f>IF('Peak Areas'!AF177=0,0,((('Peak Areas'!AF177*Coefficients!$G$18+Coefficients!$H$18)*$G181)))</f>
        <v>0.58934615316333316</v>
      </c>
      <c r="AC181" s="30">
        <f>IF('Peak Areas'!AG177=0,0,((('Peak Areas'!AG177*Coefficients!$G$7+Coefficients!$H$7)*$G181)))</f>
        <v>0</v>
      </c>
      <c r="AD181" s="30">
        <f>IF('Peak Areas'!AH177=0,0,((('Peak Areas'!AH177*Coefficients!$G$6+Coefficients!$H$6)*$G181)))</f>
        <v>0.13492739603650195</v>
      </c>
      <c r="AF181" s="30">
        <f>IF('Peak Areas'!K177=0,0,((('Peak Areas'!K177*Coefficients!$G$22+Coefficients!$H$22)*$G181)))</f>
        <v>3.0983322251240838E-2</v>
      </c>
      <c r="AG181" s="30">
        <f t="shared" si="4"/>
        <v>5.1811360276519292</v>
      </c>
      <c r="AH181" s="30">
        <f t="shared" si="5"/>
        <v>5.8963834310152148</v>
      </c>
    </row>
    <row r="182" spans="1:34" x14ac:dyDescent="0.25">
      <c r="A182" s="2">
        <f>'Peak Areas'!A178</f>
        <v>168</v>
      </c>
      <c r="B182" s="62">
        <f>'Peak Areas'!B178</f>
        <v>45884</v>
      </c>
      <c r="C182" s="2" t="str">
        <f>'Peak Areas'!C178</f>
        <v>Q+C high</v>
      </c>
      <c r="D182" s="2">
        <f>'Peak Areas'!D178</f>
        <v>0</v>
      </c>
      <c r="E182" s="2">
        <f>'Peak Areas'!E178</f>
        <v>0</v>
      </c>
      <c r="F182" s="30">
        <f>'Peak Areas'!F178</f>
        <v>0.1</v>
      </c>
      <c r="G182" s="30">
        <f>((1/'Peak Areas'!$G178)*(('Peak Areas'!$H178+('Internal Standard'!$E$10/1000))/'Peak Areas'!$F178)*'Peak Areas'!$J178)*H182</f>
        <v>4.3236335627400771E-2</v>
      </c>
      <c r="H182" s="30">
        <f>(('Internal Standard'!$F$13*('Peak Areas'!G178/'Internal Standard'!$C$10))/'Peak Areas'!AB178)</f>
        <v>1.0173255441741358</v>
      </c>
      <c r="I182" s="30">
        <f>IF('Peak Areas'!L178=0,0,((('Peak Areas'!L178*Coefficients!$G$21+Coefficients!$H$21)*$G182)))</f>
        <v>0</v>
      </c>
      <c r="J182" s="30">
        <f>IF('Peak Areas'!M178=0,0,((('Peak Areas'!M178*Coefficients!$G$20+Coefficients!$H$20)*$G182)))</f>
        <v>0.1255949580130743</v>
      </c>
      <c r="K182" s="30">
        <f>IF('Peak Areas'!N178=0,0,((('Peak Areas'!N178*Coefficients!$G$41+Coefficients!$H$41)*$G182)))</f>
        <v>5.4673421947933343E-2</v>
      </c>
      <c r="L182" s="30">
        <f>IF('Peak Areas'!O178=0,0,((('Peak Areas'!O178*Coefficients!$G$10+Coefficients!$H$10)*$G182)))</f>
        <v>0</v>
      </c>
      <c r="M182" s="30">
        <f>IF('Peak Areas'!P178=0,0,((('Peak Areas'!P178*Coefficients!$G$32+Coefficients!$H$32)*$G182)))</f>
        <v>0.78452316844666048</v>
      </c>
      <c r="N182" s="30">
        <f>IF('Peak Areas'!Q178=0,0,((('Peak Areas'!Q178*Coefficients!$G$11+Coefficients!$H$11)*$G182)))</f>
        <v>0</v>
      </c>
      <c r="O182" s="30">
        <f>IF('Peak Areas'!R178=0,0,((('Peak Areas'!R178*Coefficients!$G$39+Coefficients!$H$39)*$G182)))</f>
        <v>0.16318808085808895</v>
      </c>
      <c r="P182" s="30">
        <f>IF('Peak Areas'!S178=0,0,((('Peak Areas'!S178*Coefficients!$G$46+Coefficients!$H$46)*$G182)))</f>
        <v>0</v>
      </c>
      <c r="Q182" s="30">
        <f>IF('Peak Areas'!T178=0,0,((('Peak Areas'!T178*Coefficients!$G$51+Coefficients!$H$51)*$G182)))</f>
        <v>0.7980408947300317</v>
      </c>
      <c r="R182" s="30">
        <f>IF('Peak Areas'!U178=0,0,((('Peak Areas'!U178*Coefficients!$G$26+Coefficients!$H$26)*$G182)))</f>
        <v>0.27029017627740443</v>
      </c>
      <c r="S182" s="30">
        <f>IF('Peak Areas'!V178=0,0,((('Peak Areas'!V178*Coefficients!$G$13+Coefficients!$H$13)*$G182)))</f>
        <v>0.21087073703578968</v>
      </c>
      <c r="T182" s="30">
        <f>IF('Peak Areas'!W178=0,0,((('Peak Areas'!W178*Coefficients!$G$12+Coefficients!$H$12)*$G182)))</f>
        <v>0.29563609383572492</v>
      </c>
      <c r="U182" s="30">
        <f>IF('Peak Areas'!X178=0,0,((('Peak Areas'!X178*Coefficients!$G$27+Coefficients!$H$27)*$G182)))</f>
        <v>0</v>
      </c>
      <c r="V182" s="30">
        <f>IF('Peak Areas'!Y178=0,0,((('Peak Areas'!Y178*Coefficients!$G$34+Coefficients!$H$34)*$G182)))</f>
        <v>4.0636617161609961E-2</v>
      </c>
      <c r="W182" s="30">
        <f>IF('Peak Areas'!Z178=0,0,((('Peak Areas'!Z178*Coefficients!$G$52+Coefficients!$H$52)*$G182)))</f>
        <v>0.43785965685201966</v>
      </c>
      <c r="X182" s="30">
        <f>IF('Peak Areas'!AA178=0,0,((('Peak Areas'!AA178*Coefficients!$G$33+Coefficients!$H$33)*$G182)))</f>
        <v>5.5296866090512611E-2</v>
      </c>
      <c r="Y182" s="30">
        <f>IF('Peak Areas'!AC178=0,0,((('Peak Areas'!AC178*Coefficients!$G$19+Coefficients!$H$19)*$G182)))</f>
        <v>0.50499859674048198</v>
      </c>
      <c r="Z182" s="30">
        <f>IF('Peak Areas'!AD178=0,0,((('Peak Areas'!AD178*Coefficients!$G$18+Coefficients!$H$18)*$G182)))</f>
        <v>0.12378718540933099</v>
      </c>
      <c r="AA182" s="30">
        <f>IF('Peak Areas'!AE178=0,0,((('Peak Areas'!AE178*Coefficients!$G$18+Coefficients!$H$18)*$G182)))</f>
        <v>5.0180275661841796</v>
      </c>
      <c r="AB182" s="30">
        <f>IF('Peak Areas'!AF178=0,0,((('Peak Areas'!AF178*Coefficients!$G$18+Coefficients!$H$18)*$G182)))</f>
        <v>0.57884122139134531</v>
      </c>
      <c r="AC182" s="30">
        <f>IF('Peak Areas'!AG178=0,0,((('Peak Areas'!AG178*Coefficients!$G$7+Coefficients!$H$7)*$G182)))</f>
        <v>0</v>
      </c>
      <c r="AD182" s="30">
        <f>IF('Peak Areas'!AH178=0,0,((('Peak Areas'!AH178*Coefficients!$G$6+Coefficients!$H$6)*$G182)))</f>
        <v>9.4995060515069826E-2</v>
      </c>
      <c r="AF182" s="30">
        <f>IF('Peak Areas'!K178=0,0,((('Peak Areas'!K178*Coefficients!$G$22+Coefficients!$H$22)*$G182)))</f>
        <v>4.3733906240272083E-2</v>
      </c>
      <c r="AG182" s="30">
        <f t="shared" si="4"/>
        <v>5.0617614724244513</v>
      </c>
      <c r="AH182" s="30">
        <f t="shared" si="5"/>
        <v>5.7643898792251269</v>
      </c>
    </row>
    <row r="183" spans="1:34" x14ac:dyDescent="0.25">
      <c r="A183" s="2">
        <f>'Peak Areas'!A179</f>
        <v>169</v>
      </c>
      <c r="B183" s="62">
        <f>'Peak Areas'!B179</f>
        <v>45884</v>
      </c>
      <c r="C183" s="2" t="str">
        <f>'Peak Areas'!C179</f>
        <v>Q+C nut low</v>
      </c>
      <c r="D183" s="2">
        <f>'Peak Areas'!D179</f>
        <v>0</v>
      </c>
      <c r="E183" s="2">
        <f>'Peak Areas'!E179</f>
        <v>0</v>
      </c>
      <c r="F183" s="30">
        <f>'Peak Areas'!F179</f>
        <v>0.1</v>
      </c>
      <c r="G183" s="30">
        <f>((1/'Peak Areas'!$G179)*(('Peak Areas'!$H179+('Internal Standard'!$E$10/1000))/'Peak Areas'!$F179)*'Peak Areas'!$J179)*H183</f>
        <v>4.1699992904234554E-2</v>
      </c>
      <c r="H183" s="30">
        <f>(('Internal Standard'!$F$13*('Peak Areas'!G179/'Internal Standard'!$C$10))/'Peak Areas'!AB179)</f>
        <v>0.98117630362904829</v>
      </c>
      <c r="I183" s="30">
        <f>IF('Peak Areas'!L179=0,0,((('Peak Areas'!L179*Coefficients!$G$21+Coefficients!$H$21)*$G183)))</f>
        <v>0</v>
      </c>
      <c r="J183" s="30">
        <f>IF('Peak Areas'!M179=0,0,((('Peak Areas'!M179*Coefficients!$G$20+Coefficients!$H$20)*$G183)))</f>
        <v>0.33362158412006676</v>
      </c>
      <c r="K183" s="30">
        <f>IF('Peak Areas'!N179=0,0,((('Peak Areas'!N179*Coefficients!$G$41+Coefficients!$H$41)*$G183)))</f>
        <v>8.3121895227789636E-2</v>
      </c>
      <c r="L183" s="30">
        <f>IF('Peak Areas'!O179=0,0,((('Peak Areas'!O179*Coefficients!$G$10+Coefficients!$H$10)*$G183)))</f>
        <v>0</v>
      </c>
      <c r="M183" s="30">
        <f>IF('Peak Areas'!P179=0,0,((('Peak Areas'!P179*Coefficients!$G$32+Coefficients!$H$32)*$G183)))</f>
        <v>1.3652035349673675</v>
      </c>
      <c r="N183" s="30">
        <f>IF('Peak Areas'!Q179=0,0,((('Peak Areas'!Q179*Coefficients!$G$11+Coefficients!$H$11)*$G183)))</f>
        <v>0</v>
      </c>
      <c r="O183" s="30">
        <f>IF('Peak Areas'!R179=0,0,((('Peak Areas'!R179*Coefficients!$G$39+Coefficients!$H$39)*$G183)))</f>
        <v>0.4623973877827629</v>
      </c>
      <c r="P183" s="30">
        <f>IF('Peak Areas'!S179=0,0,((('Peak Areas'!S179*Coefficients!$G$46+Coefficients!$H$46)*$G183)))</f>
        <v>0</v>
      </c>
      <c r="Q183" s="30">
        <f>IF('Peak Areas'!T179=0,0,((('Peak Areas'!T179*Coefficients!$G$51+Coefficients!$H$51)*$G183)))</f>
        <v>1.0480591598269422</v>
      </c>
      <c r="R183" s="30">
        <f>IF('Peak Areas'!U179=0,0,((('Peak Areas'!U179*Coefficients!$G$26+Coefficients!$H$26)*$G183)))</f>
        <v>0.40047878195278458</v>
      </c>
      <c r="S183" s="30">
        <f>IF('Peak Areas'!V179=0,0,((('Peak Areas'!V179*Coefficients!$G$13+Coefficients!$H$13)*$G183)))</f>
        <v>0.21470134700121349</v>
      </c>
      <c r="T183" s="30">
        <f>IF('Peak Areas'!W179=0,0,((('Peak Areas'!W179*Coefficients!$G$12+Coefficients!$H$12)*$G183)))</f>
        <v>0.57415163769548971</v>
      </c>
      <c r="U183" s="30">
        <f>IF('Peak Areas'!X179=0,0,((('Peak Areas'!X179*Coefficients!$G$27+Coefficients!$H$27)*$G183)))</f>
        <v>0</v>
      </c>
      <c r="V183" s="30">
        <f>IF('Peak Areas'!Y179=0,0,((('Peak Areas'!Y179*Coefficients!$G$34+Coefficients!$H$34)*$G183)))</f>
        <v>4.072975491259645E-2</v>
      </c>
      <c r="W183" s="30">
        <f>IF('Peak Areas'!Z179=0,0,((('Peak Areas'!Z179*Coefficients!$G$52+Coefficients!$H$52)*$G183)))</f>
        <v>0.61067047896980509</v>
      </c>
      <c r="X183" s="30">
        <f>IF('Peak Areas'!AA179=0,0,((('Peak Areas'!AA179*Coefficients!$G$33+Coefficients!$H$33)*$G183)))</f>
        <v>0.12653212715127601</v>
      </c>
      <c r="Y183" s="30">
        <f>IF('Peak Areas'!AC179=0,0,((('Peak Areas'!AC179*Coefficients!$G$19+Coefficients!$H$19)*$G183)))</f>
        <v>1.4731777659037273</v>
      </c>
      <c r="Z183" s="30">
        <f>IF('Peak Areas'!AD179=0,0,((('Peak Areas'!AD179*Coefficients!$G$18+Coefficients!$H$18)*$G183)))</f>
        <v>0.19028649182041862</v>
      </c>
      <c r="AA183" s="30">
        <f>IF('Peak Areas'!AE179=0,0,((('Peak Areas'!AE179*Coefficients!$G$18+Coefficients!$H$18)*$G183)))</f>
        <v>11.110998062267351</v>
      </c>
      <c r="AB183" s="30">
        <f>IF('Peak Areas'!AF179=0,0,((('Peak Areas'!AF179*Coefficients!$G$18+Coefficients!$H$18)*$G183)))</f>
        <v>1.164598844649217</v>
      </c>
      <c r="AC183" s="30">
        <f>IF('Peak Areas'!AG179=0,0,((('Peak Areas'!AG179*Coefficients!$G$7+Coefficients!$H$7)*$G183)))</f>
        <v>0</v>
      </c>
      <c r="AD183" s="30">
        <f>IF('Peak Areas'!AH179=0,0,((('Peak Areas'!AH179*Coefficients!$G$6+Coefficients!$H$6)*$G183)))</f>
        <v>0.29972889669909059</v>
      </c>
      <c r="AF183" s="30">
        <f>IF('Peak Areas'!K179=0,0,((('Peak Areas'!K179*Coefficients!$G$22+Coefficients!$H$22)*$G183)))</f>
        <v>0.18234769480688032</v>
      </c>
      <c r="AG183" s="30">
        <f t="shared" si="4"/>
        <v>11.293345757074231</v>
      </c>
      <c r="AH183" s="30">
        <f t="shared" si="5"/>
        <v>12.648231093543869</v>
      </c>
    </row>
    <row r="184" spans="1:34" x14ac:dyDescent="0.25">
      <c r="A184" s="2">
        <f>'Peak Areas'!A180</f>
        <v>170</v>
      </c>
      <c r="B184" s="62">
        <f>'Peak Areas'!B180</f>
        <v>45884</v>
      </c>
      <c r="C184" s="2" t="str">
        <f>'Peak Areas'!C180</f>
        <v>Q+C nut low</v>
      </c>
      <c r="D184" s="2">
        <f>'Peak Areas'!D180</f>
        <v>0</v>
      </c>
      <c r="E184" s="2">
        <f>'Peak Areas'!E180</f>
        <v>0</v>
      </c>
      <c r="F184" s="30">
        <f>'Peak Areas'!F180</f>
        <v>0.1</v>
      </c>
      <c r="G184" s="30">
        <f>((1/'Peak Areas'!$G180)*(('Peak Areas'!$H180+('Internal Standard'!$E$10/1000))/'Peak Areas'!$F180)*'Peak Areas'!$J180)*H184</f>
        <v>4.3327828553541774E-2</v>
      </c>
      <c r="H184" s="30">
        <f>(('Internal Standard'!$F$13*('Peak Areas'!G180/'Internal Standard'!$C$10))/'Peak Areas'!AB180)</f>
        <v>1.0194783189068652</v>
      </c>
      <c r="I184" s="30">
        <f>IF('Peak Areas'!L180=0,0,((('Peak Areas'!L180*Coefficients!$G$21+Coefficients!$H$21)*$G184)))</f>
        <v>0</v>
      </c>
      <c r="J184" s="30">
        <f>IF('Peak Areas'!M180=0,0,((('Peak Areas'!M180*Coefficients!$G$20+Coefficients!$H$20)*$G184)))</f>
        <v>0.33070071852445437</v>
      </c>
      <c r="K184" s="30">
        <f>IF('Peak Areas'!N180=0,0,((('Peak Areas'!N180*Coefficients!$G$41+Coefficients!$H$41)*$G184)))</f>
        <v>9.9761443436563221E-2</v>
      </c>
      <c r="L184" s="30">
        <f>IF('Peak Areas'!O180=0,0,((('Peak Areas'!O180*Coefficients!$G$10+Coefficients!$H$10)*$G184)))</f>
        <v>0</v>
      </c>
      <c r="M184" s="30">
        <f>IF('Peak Areas'!P180=0,0,((('Peak Areas'!P180*Coefficients!$G$32+Coefficients!$H$32)*$G184)))</f>
        <v>1.4846012058770557</v>
      </c>
      <c r="N184" s="30">
        <f>IF('Peak Areas'!Q180=0,0,((('Peak Areas'!Q180*Coefficients!$G$11+Coefficients!$H$11)*$G184)))</f>
        <v>0</v>
      </c>
      <c r="O184" s="30">
        <f>IF('Peak Areas'!R180=0,0,((('Peak Areas'!R180*Coefficients!$G$39+Coefficients!$H$39)*$G184)))</f>
        <v>0.32654203933699288</v>
      </c>
      <c r="P184" s="30">
        <f>IF('Peak Areas'!S180=0,0,((('Peak Areas'!S180*Coefficients!$G$46+Coefficients!$H$46)*$G184)))</f>
        <v>0</v>
      </c>
      <c r="Q184" s="30">
        <f>IF('Peak Areas'!T180=0,0,((('Peak Areas'!T180*Coefficients!$G$51+Coefficients!$H$51)*$G184)))</f>
        <v>1.2497308937401186</v>
      </c>
      <c r="R184" s="30">
        <f>IF('Peak Areas'!U180=0,0,((('Peak Areas'!U180*Coefficients!$G$26+Coefficients!$H$26)*$G184)))</f>
        <v>0.43888832479165341</v>
      </c>
      <c r="S184" s="30">
        <f>IF('Peak Areas'!V180=0,0,((('Peak Areas'!V180*Coefficients!$G$13+Coefficients!$H$13)*$G184)))</f>
        <v>0.23911775092488055</v>
      </c>
      <c r="T184" s="30">
        <f>IF('Peak Areas'!W180=0,0,((('Peak Areas'!W180*Coefficients!$G$12+Coefficients!$H$12)*$G184)))</f>
        <v>0.63473941097189301</v>
      </c>
      <c r="U184" s="30">
        <f>IF('Peak Areas'!X180=0,0,((('Peak Areas'!X180*Coefficients!$G$27+Coefficients!$H$27)*$G184)))</f>
        <v>2.9978485556019712E-2</v>
      </c>
      <c r="V184" s="30">
        <f>IF('Peak Areas'!Y180=0,0,((('Peak Areas'!Y180*Coefficients!$G$34+Coefficients!$H$34)*$G184)))</f>
        <v>0</v>
      </c>
      <c r="W184" s="30">
        <f>IF('Peak Areas'!Z180=0,0,((('Peak Areas'!Z180*Coefficients!$G$52+Coefficients!$H$52)*$G184)))</f>
        <v>0.65407881424104342</v>
      </c>
      <c r="X184" s="30">
        <f>IF('Peak Areas'!AA180=0,0,((('Peak Areas'!AA180*Coefficients!$G$33+Coefficients!$H$33)*$G184)))</f>
        <v>0.13703692407773141</v>
      </c>
      <c r="Y184" s="30">
        <f>IF('Peak Areas'!AC180=0,0,((('Peak Areas'!AC180*Coefficients!$G$19+Coefficients!$H$19)*$G184)))</f>
        <v>1.6415826160176863</v>
      </c>
      <c r="Z184" s="30">
        <f>IF('Peak Areas'!AD180=0,0,((('Peak Areas'!AD180*Coefficients!$G$18+Coefficients!$H$18)*$G184)))</f>
        <v>0.21304801968483711</v>
      </c>
      <c r="AA184" s="30">
        <f>IF('Peak Areas'!AE180=0,0,((('Peak Areas'!AE180*Coefficients!$G$18+Coefficients!$H$18)*$G184)))</f>
        <v>11.366629327874101</v>
      </c>
      <c r="AB184" s="30">
        <f>IF('Peak Areas'!AF180=0,0,((('Peak Areas'!AF180*Coefficients!$G$18+Coefficients!$H$18)*$G184)))</f>
        <v>1.1974924804892799</v>
      </c>
      <c r="AC184" s="30">
        <f>IF('Peak Areas'!AG180=0,0,((('Peak Areas'!AG180*Coefficients!$G$7+Coefficients!$H$7)*$G184)))</f>
        <v>0</v>
      </c>
      <c r="AD184" s="30">
        <f>IF('Peak Areas'!AH180=0,0,((('Peak Areas'!AH180*Coefficients!$G$6+Coefficients!$H$6)*$G184)))</f>
        <v>0.32682797967427707</v>
      </c>
      <c r="AF184" s="30">
        <f>IF('Peak Areas'!K180=0,0,((('Peak Areas'!K180*Coefficients!$G$22+Coefficients!$H$22)*$G184)))</f>
        <v>0.13936622854805142</v>
      </c>
      <c r="AG184" s="30">
        <f t="shared" si="4"/>
        <v>11.505995556422151</v>
      </c>
      <c r="AH184" s="30">
        <f t="shared" si="5"/>
        <v>12.91653605659627</v>
      </c>
    </row>
    <row r="185" spans="1:34" x14ac:dyDescent="0.25">
      <c r="A185" s="2">
        <f>'Peak Areas'!A181</f>
        <v>171</v>
      </c>
      <c r="B185" s="62">
        <f>'Peak Areas'!B181</f>
        <v>45884</v>
      </c>
      <c r="C185" s="2" t="str">
        <f>'Peak Areas'!C181</f>
        <v>Q+C nut high</v>
      </c>
      <c r="D185" s="2">
        <f>'Peak Areas'!D181</f>
        <v>0</v>
      </c>
      <c r="E185" s="2">
        <f>'Peak Areas'!E181</f>
        <v>0</v>
      </c>
      <c r="F185" s="30">
        <f>'Peak Areas'!F181</f>
        <v>0.1</v>
      </c>
      <c r="G185" s="30">
        <f>((1/'Peak Areas'!$G181)*(('Peak Areas'!$H181+('Internal Standard'!$E$10/1000))/'Peak Areas'!$F181)*'Peak Areas'!$J181)*H185</f>
        <v>4.2143199077056243E-2</v>
      </c>
      <c r="H185" s="30">
        <f>(('Internal Standard'!$F$13*('Peak Areas'!G181/'Internal Standard'!$C$10))/'Peak Areas'!AB181)</f>
        <v>0.9916046841660292</v>
      </c>
      <c r="I185" s="30">
        <f>IF('Peak Areas'!L181=0,0,((('Peak Areas'!L181*Coefficients!$G$21+Coefficients!$H$21)*$G185)))</f>
        <v>0</v>
      </c>
      <c r="J185" s="30">
        <f>IF('Peak Areas'!M181=0,0,((('Peak Areas'!M181*Coefficients!$G$20+Coefficients!$H$20)*$G185)))</f>
        <v>0.41263633303076175</v>
      </c>
      <c r="K185" s="30">
        <f>IF('Peak Areas'!N181=0,0,((('Peak Areas'!N181*Coefficients!$G$41+Coefficients!$H$41)*$G185)))</f>
        <v>0.10108424677130533</v>
      </c>
      <c r="L185" s="30">
        <f>IF('Peak Areas'!O181=0,0,((('Peak Areas'!O181*Coefficients!$G$10+Coefficients!$H$10)*$G185)))</f>
        <v>0</v>
      </c>
      <c r="M185" s="30">
        <f>IF('Peak Areas'!P181=0,0,((('Peak Areas'!P181*Coefficients!$G$32+Coefficients!$H$32)*$G185)))</f>
        <v>1.5534680708748134</v>
      </c>
      <c r="N185" s="30">
        <f>IF('Peak Areas'!Q181=0,0,((('Peak Areas'!Q181*Coefficients!$G$11+Coefficients!$H$11)*$G185)))</f>
        <v>0</v>
      </c>
      <c r="O185" s="30">
        <f>IF('Peak Areas'!R181=0,0,((('Peak Areas'!R181*Coefficients!$G$39+Coefficients!$H$39)*$G185)))</f>
        <v>0.55131581264915019</v>
      </c>
      <c r="P185" s="30">
        <f>IF('Peak Areas'!S181=0,0,((('Peak Areas'!S181*Coefficients!$G$46+Coefficients!$H$46)*$G185)))</f>
        <v>0</v>
      </c>
      <c r="Q185" s="30">
        <f>IF('Peak Areas'!T181=0,0,((('Peak Areas'!T181*Coefficients!$G$51+Coefficients!$H$51)*$G185)))</f>
        <v>1.1668954694359914</v>
      </c>
      <c r="R185" s="30">
        <f>IF('Peak Areas'!U181=0,0,((('Peak Areas'!U181*Coefficients!$G$26+Coefficients!$H$26)*$G185)))</f>
        <v>0.426197551705635</v>
      </c>
      <c r="S185" s="30">
        <f>IF('Peak Areas'!V181=0,0,((('Peak Areas'!V181*Coefficients!$G$13+Coefficients!$H$13)*$G185)))</f>
        <v>0.2105859199723121</v>
      </c>
      <c r="T185" s="30">
        <f>IF('Peak Areas'!W181=0,0,((('Peak Areas'!W181*Coefficients!$G$12+Coefficients!$H$12)*$G185)))</f>
        <v>0.67381864720093398</v>
      </c>
      <c r="U185" s="30">
        <f>IF('Peak Areas'!X181=0,0,((('Peak Areas'!X181*Coefficients!$G$27+Coefficients!$H$27)*$G185)))</f>
        <v>0</v>
      </c>
      <c r="V185" s="30">
        <f>IF('Peak Areas'!Y181=0,0,((('Peak Areas'!Y181*Coefficients!$G$34+Coefficients!$H$34)*$G185)))</f>
        <v>3.6783494197224147E-2</v>
      </c>
      <c r="W185" s="30">
        <f>IF('Peak Areas'!Z181=0,0,((('Peak Areas'!Z181*Coefficients!$G$52+Coefficients!$H$52)*$G185)))</f>
        <v>0.62363691965422441</v>
      </c>
      <c r="X185" s="30">
        <f>IF('Peak Areas'!AA181=0,0,((('Peak Areas'!AA181*Coefficients!$G$33+Coefficients!$H$33)*$G185)))</f>
        <v>0.1550710564077003</v>
      </c>
      <c r="Y185" s="30">
        <f>IF('Peak Areas'!AC181=0,0,((('Peak Areas'!AC181*Coefficients!$G$19+Coefficients!$H$19)*$G185)))</f>
        <v>1.723624399995519</v>
      </c>
      <c r="Z185" s="30">
        <f>IF('Peak Areas'!AD181=0,0,((('Peak Areas'!AD181*Coefficients!$G$18+Coefficients!$H$18)*$G185)))</f>
        <v>0.22771006341166805</v>
      </c>
      <c r="AA185" s="30">
        <f>IF('Peak Areas'!AE181=0,0,((('Peak Areas'!AE181*Coefficients!$G$18+Coefficients!$H$18)*$G185)))</f>
        <v>12.311682141111271</v>
      </c>
      <c r="AB185" s="30">
        <f>IF('Peak Areas'!AF181=0,0,((('Peak Areas'!AF181*Coefficients!$G$18+Coefficients!$H$18)*$G185)))</f>
        <v>1.3284001104287551</v>
      </c>
      <c r="AC185" s="30">
        <f>IF('Peak Areas'!AG181=0,0,((('Peak Areas'!AG181*Coefficients!$G$7+Coefficients!$H$7)*$G185)))</f>
        <v>0</v>
      </c>
      <c r="AD185" s="30">
        <f>IF('Peak Areas'!AH181=0,0,((('Peak Areas'!AH181*Coefficients!$G$6+Coefficients!$H$6)*$G185)))</f>
        <v>0.26975552856660479</v>
      </c>
      <c r="AF185" s="30">
        <f>IF('Peak Areas'!K181=0,0,((('Peak Areas'!K181*Coefficients!$G$22+Coefficients!$H$22)*$G185)))</f>
        <v>0.21274284041154579</v>
      </c>
      <c r="AG185" s="30">
        <f t="shared" si="4"/>
        <v>12.524424981522817</v>
      </c>
      <c r="AH185" s="30">
        <f t="shared" si="5"/>
        <v>14.08053515536324</v>
      </c>
    </row>
    <row r="186" spans="1:34" x14ac:dyDescent="0.25">
      <c r="A186" s="2">
        <f>'Peak Areas'!A182</f>
        <v>172</v>
      </c>
      <c r="B186" s="62">
        <f>'Peak Areas'!B182</f>
        <v>45884</v>
      </c>
      <c r="C186" s="2" t="str">
        <f>'Peak Areas'!C182</f>
        <v>Q+C nut high</v>
      </c>
      <c r="D186" s="2">
        <f>'Peak Areas'!D182</f>
        <v>0</v>
      </c>
      <c r="E186" s="2">
        <f>'Peak Areas'!E182</f>
        <v>0</v>
      </c>
      <c r="F186" s="30">
        <f>'Peak Areas'!F182</f>
        <v>0.1</v>
      </c>
      <c r="G186" s="30">
        <f>((1/'Peak Areas'!$G182)*(('Peak Areas'!$H182+('Internal Standard'!$E$10/1000))/'Peak Areas'!$F182)*'Peak Areas'!$J182)*H186</f>
        <v>4.2364174493045421E-2</v>
      </c>
      <c r="H186" s="30">
        <f>(('Internal Standard'!$F$13*('Peak Areas'!G182/'Internal Standard'!$C$10))/'Peak Areas'!AB182)</f>
        <v>0.9968041057187158</v>
      </c>
      <c r="I186" s="30">
        <f>IF('Peak Areas'!L182=0,0,((('Peak Areas'!L182*Coefficients!$G$21+Coefficients!$H$21)*$G186)))</f>
        <v>0</v>
      </c>
      <c r="J186" s="30">
        <f>IF('Peak Areas'!M182=0,0,((('Peak Areas'!M182*Coefficients!$G$20+Coefficients!$H$20)*$G186)))</f>
        <v>0.40645649793519784</v>
      </c>
      <c r="K186" s="30">
        <f>IF('Peak Areas'!N182=0,0,((('Peak Areas'!N182*Coefficients!$G$41+Coefficients!$H$41)*$G186)))</f>
        <v>8.5827536296841922E-2</v>
      </c>
      <c r="L186" s="30">
        <f>IF('Peak Areas'!O182=0,0,((('Peak Areas'!O182*Coefficients!$G$10+Coefficients!$H$10)*$G186)))</f>
        <v>0</v>
      </c>
      <c r="M186" s="30">
        <f>IF('Peak Areas'!P182=0,0,((('Peak Areas'!P182*Coefficients!$G$32+Coefficients!$H$32)*$G186)))</f>
        <v>1.5138591865371829</v>
      </c>
      <c r="N186" s="30">
        <f>IF('Peak Areas'!Q182=0,0,((('Peak Areas'!Q182*Coefficients!$G$11+Coefficients!$H$11)*$G186)))</f>
        <v>0</v>
      </c>
      <c r="O186" s="30">
        <f>IF('Peak Areas'!R182=0,0,((('Peak Areas'!R182*Coefficients!$G$39+Coefficients!$H$39)*$G186)))</f>
        <v>0.51680954933307244</v>
      </c>
      <c r="P186" s="30">
        <f>IF('Peak Areas'!S182=0,0,((('Peak Areas'!S182*Coefficients!$G$46+Coefficients!$H$46)*$G186)))</f>
        <v>0</v>
      </c>
      <c r="Q186" s="30">
        <f>IF('Peak Areas'!T182=0,0,((('Peak Areas'!T182*Coefficients!$G$51+Coefficients!$H$51)*$G186)))</f>
        <v>1.0589062029543759</v>
      </c>
      <c r="R186" s="30">
        <f>IF('Peak Areas'!U182=0,0,((('Peak Areas'!U182*Coefficients!$G$26+Coefficients!$H$26)*$G186)))</f>
        <v>0.41338008090137773</v>
      </c>
      <c r="S186" s="30">
        <f>IF('Peak Areas'!V182=0,0,((('Peak Areas'!V182*Coefficients!$G$13+Coefficients!$H$13)*$G186)))</f>
        <v>0.22076103416602361</v>
      </c>
      <c r="T186" s="30">
        <f>IF('Peak Areas'!W182=0,0,((('Peak Areas'!W182*Coefficients!$G$12+Coefficients!$H$12)*$G186)))</f>
        <v>0.67598181484123521</v>
      </c>
      <c r="U186" s="30">
        <f>IF('Peak Areas'!X182=0,0,((('Peak Areas'!X182*Coefficients!$G$27+Coefficients!$H$27)*$G186)))</f>
        <v>0</v>
      </c>
      <c r="V186" s="30">
        <f>IF('Peak Areas'!Y182=0,0,((('Peak Areas'!Y182*Coefficients!$G$34+Coefficients!$H$34)*$G186)))</f>
        <v>3.4524465087082956E-2</v>
      </c>
      <c r="W186" s="30">
        <f>IF('Peak Areas'!Z182=0,0,((('Peak Areas'!Z182*Coefficients!$G$52+Coefficients!$H$52)*$G186)))</f>
        <v>0.6066083099929841</v>
      </c>
      <c r="X186" s="30">
        <f>IF('Peak Areas'!AA182=0,0,((('Peak Areas'!AA182*Coefficients!$G$33+Coefficients!$H$33)*$G186)))</f>
        <v>0.16020565866086617</v>
      </c>
      <c r="Y186" s="30">
        <f>IF('Peak Areas'!AC182=0,0,((('Peak Areas'!AC182*Coefficients!$G$19+Coefficients!$H$19)*$G186)))</f>
        <v>1.6621844232562804</v>
      </c>
      <c r="Z186" s="30">
        <f>IF('Peak Areas'!AD182=0,0,((('Peak Areas'!AD182*Coefficients!$G$18+Coefficients!$H$18)*$G186)))</f>
        <v>0.21711293736021917</v>
      </c>
      <c r="AA186" s="30">
        <f>IF('Peak Areas'!AE182=0,0,((('Peak Areas'!AE182*Coefficients!$G$18+Coefficients!$H$18)*$G186)))</f>
        <v>12.179523592871272</v>
      </c>
      <c r="AB186" s="30">
        <f>IF('Peak Areas'!AF182=0,0,((('Peak Areas'!AF182*Coefficients!$G$18+Coefficients!$H$18)*$G186)))</f>
        <v>1.2259198065297041</v>
      </c>
      <c r="AC186" s="30">
        <f>IF('Peak Areas'!AG182=0,0,((('Peak Areas'!AG182*Coefficients!$G$7+Coefficients!$H$7)*$G186)))</f>
        <v>0</v>
      </c>
      <c r="AD186" s="30">
        <f>IF('Peak Areas'!AH182=0,0,((('Peak Areas'!AH182*Coefficients!$G$6+Coefficients!$H$6)*$G186)))</f>
        <v>0.32159307384217406</v>
      </c>
      <c r="AF186" s="30">
        <f>IF('Peak Areas'!K182=0,0,((('Peak Areas'!K182*Coefficients!$G$22+Coefficients!$H$22)*$G186)))</f>
        <v>0.19170136458124068</v>
      </c>
      <c r="AG186" s="30">
        <f t="shared" si="4"/>
        <v>12.371224957452512</v>
      </c>
      <c r="AH186" s="30">
        <f t="shared" si="5"/>
        <v>13.814257701342436</v>
      </c>
    </row>
    <row r="187" spans="1:34" x14ac:dyDescent="0.25">
      <c r="A187" s="2">
        <f>'Peak Areas'!A183</f>
        <v>173</v>
      </c>
      <c r="B187" s="62">
        <f>'Peak Areas'!B183</f>
        <v>45884</v>
      </c>
      <c r="C187" s="2" t="str">
        <f>'Peak Areas'!C183</f>
        <v>Q+P low</v>
      </c>
      <c r="D187" s="2">
        <f>'Peak Areas'!D183</f>
        <v>0</v>
      </c>
      <c r="E187" s="2">
        <f>'Peak Areas'!E183</f>
        <v>0</v>
      </c>
      <c r="F187" s="30">
        <f>'Peak Areas'!F183</f>
        <v>0.1</v>
      </c>
      <c r="G187" s="30">
        <f>((1/'Peak Areas'!$G183)*(('Peak Areas'!$H183+('Internal Standard'!$E$10/1000))/'Peak Areas'!$F183)*'Peak Areas'!$J183)*H187</f>
        <v>4.2093101355375889E-2</v>
      </c>
      <c r="H187" s="30">
        <f>(('Internal Standard'!$F$13*('Peak Areas'!G183/'Internal Standard'!$C$10))/'Peak Areas'!AB183)</f>
        <v>0.99042591424413851</v>
      </c>
      <c r="I187" s="30">
        <f>IF('Peak Areas'!L183=0,0,((('Peak Areas'!L183*Coefficients!$G$21+Coefficients!$H$21)*$G187)))</f>
        <v>0</v>
      </c>
      <c r="J187" s="30">
        <f>IF('Peak Areas'!M183=0,0,((('Peak Areas'!M183*Coefficients!$G$20+Coefficients!$H$20)*$G187)))</f>
        <v>0.15232012095448483</v>
      </c>
      <c r="K187" s="30">
        <f>IF('Peak Areas'!N183=0,0,((('Peak Areas'!N183*Coefficients!$G$41+Coefficients!$H$41)*$G187)))</f>
        <v>5.5637592038389021E-2</v>
      </c>
      <c r="L187" s="30">
        <f>IF('Peak Areas'!O183=0,0,((('Peak Areas'!O183*Coefficients!$G$10+Coefficients!$H$10)*$G187)))</f>
        <v>0</v>
      </c>
      <c r="M187" s="30">
        <f>IF('Peak Areas'!P183=0,0,((('Peak Areas'!P183*Coefficients!$G$32+Coefficients!$H$32)*$G187)))</f>
        <v>0.85641109507861013</v>
      </c>
      <c r="N187" s="30">
        <f>IF('Peak Areas'!Q183=0,0,((('Peak Areas'!Q183*Coefficients!$G$11+Coefficients!$H$11)*$G187)))</f>
        <v>0</v>
      </c>
      <c r="O187" s="30">
        <f>IF('Peak Areas'!R183=0,0,((('Peak Areas'!R183*Coefficients!$G$39+Coefficients!$H$39)*$G187)))</f>
        <v>0.2090965828667401</v>
      </c>
      <c r="P187" s="30">
        <f>IF('Peak Areas'!S183=0,0,((('Peak Areas'!S183*Coefficients!$G$46+Coefficients!$H$46)*$G187)))</f>
        <v>0</v>
      </c>
      <c r="Q187" s="30">
        <f>IF('Peak Areas'!T183=0,0,((('Peak Areas'!T183*Coefficients!$G$51+Coefficients!$H$51)*$G187)))</f>
        <v>0.88768980990039081</v>
      </c>
      <c r="R187" s="30">
        <f>IF('Peak Areas'!U183=0,0,((('Peak Areas'!U183*Coefficients!$G$26+Coefficients!$H$26)*$G187)))</f>
        <v>0.26937108400464288</v>
      </c>
      <c r="S187" s="30">
        <f>IF('Peak Areas'!V183=0,0,((('Peak Areas'!V183*Coefficients!$G$13+Coefficients!$H$13)*$G187)))</f>
        <v>0.19526396818568578</v>
      </c>
      <c r="T187" s="30">
        <f>IF('Peak Areas'!W183=0,0,((('Peak Areas'!W183*Coefficients!$G$12+Coefficients!$H$12)*$G187)))</f>
        <v>0.2777396213156848</v>
      </c>
      <c r="U187" s="30">
        <f>IF('Peak Areas'!X183=0,0,((('Peak Areas'!X183*Coefficients!$G$27+Coefficients!$H$27)*$G187)))</f>
        <v>2.8357061812911741E-2</v>
      </c>
      <c r="V187" s="30">
        <f>IF('Peak Areas'!Y183=0,0,((('Peak Areas'!Y183*Coefficients!$G$34+Coefficients!$H$34)*$G187)))</f>
        <v>0</v>
      </c>
      <c r="W187" s="30">
        <f>IF('Peak Areas'!Z183=0,0,((('Peak Areas'!Z183*Coefficients!$G$52+Coefficients!$H$52)*$G187)))</f>
        <v>0.44698403011932997</v>
      </c>
      <c r="X187" s="30">
        <f>IF('Peak Areas'!AA183=0,0,((('Peak Areas'!AA183*Coefficients!$G$33+Coefficients!$H$33)*$G187)))</f>
        <v>0.11166251597862918</v>
      </c>
      <c r="Y187" s="30">
        <f>IF('Peak Areas'!AC183=0,0,((('Peak Areas'!AC183*Coefficients!$G$19+Coefficients!$H$19)*$G187)))</f>
        <v>0.65117767324655318</v>
      </c>
      <c r="Z187" s="30">
        <f>IF('Peak Areas'!AD183=0,0,((('Peak Areas'!AD183*Coefficients!$G$18+Coefficients!$H$18)*$G187)))</f>
        <v>7.1000808107028968E-2</v>
      </c>
      <c r="AA187" s="30">
        <f>IF('Peak Areas'!AE183=0,0,((('Peak Areas'!AE183*Coefficients!$G$18+Coefficients!$H$18)*$G187)))</f>
        <v>6.3751410016957131</v>
      </c>
      <c r="AB187" s="30">
        <f>IF('Peak Areas'!AF183=0,0,((('Peak Areas'!AF183*Coefficients!$G$18+Coefficients!$H$18)*$G187)))</f>
        <v>0.69528840134078362</v>
      </c>
      <c r="AC187" s="30">
        <f>IF('Peak Areas'!AG183=0,0,((('Peak Areas'!AG183*Coefficients!$G$7+Coefficients!$H$7)*$G187)))</f>
        <v>0</v>
      </c>
      <c r="AD187" s="30">
        <f>IF('Peak Areas'!AH183=0,0,((('Peak Areas'!AH183*Coefficients!$G$6+Coefficients!$H$6)*$G187)))</f>
        <v>0.27831166329718476</v>
      </c>
      <c r="AF187" s="30">
        <f>IF('Peak Areas'!K183=0,0,((('Peak Areas'!K183*Coefficients!$G$22+Coefficients!$H$22)*$G187)))</f>
        <v>5.5064778867158597E-2</v>
      </c>
      <c r="AG187" s="30">
        <f t="shared" si="4"/>
        <v>6.4302057805628721</v>
      </c>
      <c r="AH187" s="30">
        <f t="shared" si="5"/>
        <v>7.1964949900106845</v>
      </c>
    </row>
    <row r="188" spans="1:34" x14ac:dyDescent="0.25">
      <c r="A188" s="2">
        <f>'Peak Areas'!A184</f>
        <v>174</v>
      </c>
      <c r="B188" s="62">
        <f>'Peak Areas'!B184</f>
        <v>45884</v>
      </c>
      <c r="C188" s="2" t="str">
        <f>'Peak Areas'!C184</f>
        <v>Q+P low</v>
      </c>
      <c r="D188" s="2">
        <f>'Peak Areas'!D184</f>
        <v>0</v>
      </c>
      <c r="E188" s="2">
        <f>'Peak Areas'!E184</f>
        <v>0</v>
      </c>
      <c r="F188" s="30">
        <f>'Peak Areas'!F184</f>
        <v>0.1</v>
      </c>
      <c r="G188" s="30">
        <f>((1/'Peak Areas'!$G184)*(('Peak Areas'!$H184+('Internal Standard'!$E$10/1000))/'Peak Areas'!$F184)*'Peak Areas'!$J184)*H188</f>
        <v>4.3539806876436278E-2</v>
      </c>
      <c r="H188" s="30">
        <f>(('Internal Standard'!$F$13*('Peak Areas'!G184/'Internal Standard'!$C$10))/'Peak Areas'!AB184)</f>
        <v>1.0244660441514417</v>
      </c>
      <c r="I188" s="30">
        <f>IF('Peak Areas'!L184=0,0,((('Peak Areas'!L184*Coefficients!$G$21+Coefficients!$H$21)*$G188)))</f>
        <v>0</v>
      </c>
      <c r="J188" s="30">
        <f>IF('Peak Areas'!M184=0,0,((('Peak Areas'!M184*Coefficients!$G$20+Coefficients!$H$20)*$G188)))</f>
        <v>0.1237237054382461</v>
      </c>
      <c r="K188" s="30">
        <f>IF('Peak Areas'!N184=0,0,((('Peak Areas'!N184*Coefficients!$G$41+Coefficients!$H$41)*$G188)))</f>
        <v>8.4576090009330265E-2</v>
      </c>
      <c r="L188" s="30">
        <f>IF('Peak Areas'!O184=0,0,((('Peak Areas'!O184*Coefficients!$G$10+Coefficients!$H$10)*$G188)))</f>
        <v>0</v>
      </c>
      <c r="M188" s="30">
        <f>IF('Peak Areas'!P184=0,0,((('Peak Areas'!P184*Coefficients!$G$32+Coefficients!$H$32)*$G188)))</f>
        <v>0.81318170854298466</v>
      </c>
      <c r="N188" s="30">
        <f>IF('Peak Areas'!Q184=0,0,((('Peak Areas'!Q184*Coefficients!$G$11+Coefficients!$H$11)*$G188)))</f>
        <v>0</v>
      </c>
      <c r="O188" s="30">
        <f>IF('Peak Areas'!R184=0,0,((('Peak Areas'!R184*Coefficients!$G$39+Coefficients!$H$39)*$G188)))</f>
        <v>0.17713833574908752</v>
      </c>
      <c r="P188" s="30">
        <f>IF('Peak Areas'!S184=0,0,((('Peak Areas'!S184*Coefficients!$G$46+Coefficients!$H$46)*$G188)))</f>
        <v>0</v>
      </c>
      <c r="Q188" s="30">
        <f>IF('Peak Areas'!T184=0,0,((('Peak Areas'!T184*Coefficients!$G$51+Coefficients!$H$51)*$G188)))</f>
        <v>0.92753467613419505</v>
      </c>
      <c r="R188" s="30">
        <f>IF('Peak Areas'!U184=0,0,((('Peak Areas'!U184*Coefficients!$G$26+Coefficients!$H$26)*$G188)))</f>
        <v>0.28340102390488564</v>
      </c>
      <c r="S188" s="30">
        <f>IF('Peak Areas'!V184=0,0,((('Peak Areas'!V184*Coefficients!$G$13+Coefficients!$H$13)*$G188)))</f>
        <v>0.20451191076187361</v>
      </c>
      <c r="T188" s="30">
        <f>IF('Peak Areas'!W184=0,0,((('Peak Areas'!W184*Coefficients!$G$12+Coefficients!$H$12)*$G188)))</f>
        <v>0.24357011512330648</v>
      </c>
      <c r="U188" s="30">
        <f>IF('Peak Areas'!X184=0,0,((('Peak Areas'!X184*Coefficients!$G$27+Coefficients!$H$27)*$G188)))</f>
        <v>0</v>
      </c>
      <c r="V188" s="30">
        <f>IF('Peak Areas'!Y184=0,0,((('Peak Areas'!Y184*Coefficients!$G$34+Coefficients!$H$34)*$G188)))</f>
        <v>4.2534023828930116E-2</v>
      </c>
      <c r="W188" s="30">
        <f>IF('Peak Areas'!Z184=0,0,((('Peak Areas'!Z184*Coefficients!$G$52+Coefficients!$H$52)*$G188)))</f>
        <v>0.47110947874541997</v>
      </c>
      <c r="X188" s="30">
        <f>IF('Peak Areas'!AA184=0,0,((('Peak Areas'!AA184*Coefficients!$G$33+Coefficients!$H$33)*$G188)))</f>
        <v>6.1153147493672164E-2</v>
      </c>
      <c r="Y188" s="30">
        <f>IF('Peak Areas'!AC184=0,0,((('Peak Areas'!AC184*Coefficients!$G$19+Coefficients!$H$19)*$G188)))</f>
        <v>0.56438183469352132</v>
      </c>
      <c r="Z188" s="30">
        <f>IF('Peak Areas'!AD184=0,0,((('Peak Areas'!AD184*Coefficients!$G$18+Coefficients!$H$18)*$G188)))</f>
        <v>0.12491192667325882</v>
      </c>
      <c r="AA188" s="30">
        <f>IF('Peak Areas'!AE184=0,0,((('Peak Areas'!AE184*Coefficients!$G$18+Coefficients!$H$18)*$G188)))</f>
        <v>5.6485268287304455</v>
      </c>
      <c r="AB188" s="30">
        <f>IF('Peak Areas'!AF184=0,0,((('Peak Areas'!AF184*Coefficients!$G$18+Coefficients!$H$18)*$G188)))</f>
        <v>0.61648075253668033</v>
      </c>
      <c r="AC188" s="30">
        <f>IF('Peak Areas'!AG184=0,0,((('Peak Areas'!AG184*Coefficients!$G$7+Coefficients!$H$7)*$G188)))</f>
        <v>0</v>
      </c>
      <c r="AD188" s="30">
        <f>IF('Peak Areas'!AH184=0,0,((('Peak Areas'!AH184*Coefficients!$G$6+Coefficients!$H$6)*$G188)))</f>
        <v>0.11582919764681313</v>
      </c>
      <c r="AF188" s="30">
        <f>IF('Peak Areas'!K184=0,0,((('Peak Areas'!K184*Coefficients!$G$22+Coefficients!$H$22)*$G188)))</f>
        <v>5.7083864575649998E-2</v>
      </c>
      <c r="AG188" s="30">
        <f t="shared" si="4"/>
        <v>5.7056106933060953</v>
      </c>
      <c r="AH188" s="30">
        <f t="shared" si="5"/>
        <v>6.4470033725160345</v>
      </c>
    </row>
    <row r="189" spans="1:34" x14ac:dyDescent="0.25">
      <c r="A189" s="2">
        <f>'Peak Areas'!A185</f>
        <v>175</v>
      </c>
      <c r="B189" s="62">
        <f>'Peak Areas'!B185</f>
        <v>45884</v>
      </c>
      <c r="C189" s="2" t="str">
        <f>'Peak Areas'!C185</f>
        <v>Q+P high</v>
      </c>
      <c r="D189" s="2">
        <f>'Peak Areas'!D185</f>
        <v>0</v>
      </c>
      <c r="E189" s="2">
        <f>'Peak Areas'!E185</f>
        <v>0</v>
      </c>
      <c r="F189" s="30">
        <f>'Peak Areas'!F185</f>
        <v>0.1</v>
      </c>
      <c r="G189" s="30">
        <f>((1/'Peak Areas'!$G185)*(('Peak Areas'!$H185+('Internal Standard'!$E$10/1000))/'Peak Areas'!$F185)*'Peak Areas'!$J185)*H189</f>
        <v>4.2745842489299968E-2</v>
      </c>
      <c r="H189" s="30">
        <f>(('Internal Standard'!$F$13*('Peak Areas'!G185/'Internal Standard'!$C$10))/'Peak Areas'!AB185)</f>
        <v>1.0057845291599992</v>
      </c>
      <c r="I189" s="30">
        <f>IF('Peak Areas'!L185=0,0,((('Peak Areas'!L185*Coefficients!$G$21+Coefficients!$H$21)*$G189)))</f>
        <v>0</v>
      </c>
      <c r="J189" s="30">
        <f>IF('Peak Areas'!M185=0,0,((('Peak Areas'!M185*Coefficients!$G$20+Coefficients!$H$20)*$G189)))</f>
        <v>0.12186089318031236</v>
      </c>
      <c r="K189" s="30">
        <f>IF('Peak Areas'!N185=0,0,((('Peak Areas'!N185*Coefficients!$G$41+Coefficients!$H$41)*$G189)))</f>
        <v>4.6348248365085727E-2</v>
      </c>
      <c r="L189" s="30">
        <f>IF('Peak Areas'!O185=0,0,((('Peak Areas'!O185*Coefficients!$G$10+Coefficients!$H$10)*$G189)))</f>
        <v>0</v>
      </c>
      <c r="M189" s="30">
        <f>IF('Peak Areas'!P185=0,0,((('Peak Areas'!P185*Coefficients!$G$32+Coefficients!$H$32)*$G189)))</f>
        <v>0.75558200454962776</v>
      </c>
      <c r="N189" s="30">
        <f>IF('Peak Areas'!Q185=0,0,((('Peak Areas'!Q185*Coefficients!$G$11+Coefficients!$H$11)*$G189)))</f>
        <v>0</v>
      </c>
      <c r="O189" s="30">
        <f>IF('Peak Areas'!R185=0,0,((('Peak Areas'!R185*Coefficients!$G$39+Coefficients!$H$39)*$G189)))</f>
        <v>0.1601022312168916</v>
      </c>
      <c r="P189" s="30">
        <f>IF('Peak Areas'!S185=0,0,((('Peak Areas'!S185*Coefficients!$G$46+Coefficients!$H$46)*$G189)))</f>
        <v>0</v>
      </c>
      <c r="Q189" s="30">
        <f>IF('Peak Areas'!T185=0,0,((('Peak Areas'!T185*Coefficients!$G$51+Coefficients!$H$51)*$G189)))</f>
        <v>0.83937689311569386</v>
      </c>
      <c r="R189" s="30">
        <f>IF('Peak Areas'!U185=0,0,((('Peak Areas'!U185*Coefficients!$G$26+Coefficients!$H$26)*$G189)))</f>
        <v>0.25333286332957322</v>
      </c>
      <c r="S189" s="30">
        <f>IF('Peak Areas'!V185=0,0,((('Peak Areas'!V185*Coefficients!$G$13+Coefficients!$H$13)*$G189)))</f>
        <v>0.19475210624137837</v>
      </c>
      <c r="T189" s="30">
        <f>IF('Peak Areas'!W185=0,0,((('Peak Areas'!W185*Coefficients!$G$12+Coefficients!$H$12)*$G189)))</f>
        <v>0.26236787870179828</v>
      </c>
      <c r="U189" s="30">
        <f>IF('Peak Areas'!X185=0,0,((('Peak Areas'!X185*Coefficients!$G$27+Coefficients!$H$27)*$G189)))</f>
        <v>3.3476209895811647E-2</v>
      </c>
      <c r="V189" s="30">
        <f>IF('Peak Areas'!Y185=0,0,((('Peak Areas'!Y185*Coefficients!$G$34+Coefficients!$H$34)*$G189)))</f>
        <v>0.54290198139233392</v>
      </c>
      <c r="W189" s="30">
        <f>IF('Peak Areas'!Z185=0,0,((('Peak Areas'!Z185*Coefficients!$G$52+Coefficients!$H$52)*$G189)))</f>
        <v>0.4665329519597371</v>
      </c>
      <c r="X189" s="30">
        <f>IF('Peak Areas'!AA185=0,0,((('Peak Areas'!AA185*Coefficients!$G$33+Coefficients!$H$33)*$G189)))</f>
        <v>5.5967754093478199E-2</v>
      </c>
      <c r="Y189" s="30">
        <f>IF('Peak Areas'!AC185=0,0,((('Peak Areas'!AC185*Coefficients!$G$19+Coefficients!$H$19)*$G189)))</f>
        <v>0.50293344967120124</v>
      </c>
      <c r="Z189" s="30">
        <f>IF('Peak Areas'!AD185=0,0,((('Peak Areas'!AD185*Coefficients!$G$18+Coefficients!$H$18)*$G189)))</f>
        <v>0.13284464872389115</v>
      </c>
      <c r="AA189" s="30">
        <f>IF('Peak Areas'!AE185=0,0,((('Peak Areas'!AE185*Coefficients!$G$18+Coefficients!$H$18)*$G189)))</f>
        <v>5.3366833921235095</v>
      </c>
      <c r="AB189" s="30">
        <f>IF('Peak Areas'!AF185=0,0,((('Peak Areas'!AF185*Coefficients!$G$18+Coefficients!$H$18)*$G189)))</f>
        <v>0.6808938742643964</v>
      </c>
      <c r="AC189" s="30">
        <f>IF('Peak Areas'!AG185=0,0,((('Peak Areas'!AG185*Coefficients!$G$7+Coefficients!$H$7)*$G189)))</f>
        <v>0</v>
      </c>
      <c r="AD189" s="30">
        <f>IF('Peak Areas'!AH185=0,0,((('Peak Areas'!AH185*Coefficients!$G$6+Coefficients!$H$6)*$G189)))</f>
        <v>0.17699932324063825</v>
      </c>
      <c r="AF189" s="30">
        <f>IF('Peak Areas'!K185=0,0,((('Peak Areas'!K185*Coefficients!$G$22+Coefficients!$H$22)*$G189)))</f>
        <v>4.3719223465676277E-2</v>
      </c>
      <c r="AG189" s="30">
        <f t="shared" si="4"/>
        <v>5.380402615589186</v>
      </c>
      <c r="AH189" s="30">
        <f t="shared" si="5"/>
        <v>6.1941411385774732</v>
      </c>
    </row>
    <row r="190" spans="1:34" x14ac:dyDescent="0.25">
      <c r="A190" s="2">
        <f>'Peak Areas'!A186</f>
        <v>176</v>
      </c>
      <c r="B190" s="62">
        <f>'Peak Areas'!B186</f>
        <v>45884</v>
      </c>
      <c r="C190" s="2" t="str">
        <f>'Peak Areas'!C186</f>
        <v>Q+P high</v>
      </c>
      <c r="D190" s="2">
        <f>'Peak Areas'!D186</f>
        <v>0</v>
      </c>
      <c r="E190" s="2">
        <f>'Peak Areas'!E186</f>
        <v>0</v>
      </c>
      <c r="F190" s="30">
        <f>'Peak Areas'!F186</f>
        <v>0.1</v>
      </c>
      <c r="G190" s="30">
        <f>((1/'Peak Areas'!$G186)*(('Peak Areas'!$H186+('Internal Standard'!$E$10/1000))/'Peak Areas'!$F186)*'Peak Areas'!$J186)*H190</f>
        <v>4.0713695798025175E-2</v>
      </c>
      <c r="H190" s="30">
        <f>(('Internal Standard'!$F$13*('Peak Areas'!G186/'Internal Standard'!$C$10))/'Peak Areas'!AB186)</f>
        <v>0.95796931289470999</v>
      </c>
      <c r="I190" s="30">
        <f>IF('Peak Areas'!L186=0,0,((('Peak Areas'!L186*Coefficients!$G$21+Coefficients!$H$21)*$G190)))</f>
        <v>0</v>
      </c>
      <c r="J190" s="30">
        <f>IF('Peak Areas'!M186=0,0,((('Peak Areas'!M186*Coefficients!$G$20+Coefficients!$H$20)*$G190)))</f>
        <v>0.10689506585010565</v>
      </c>
      <c r="K190" s="30">
        <f>IF('Peak Areas'!N186=0,0,((('Peak Areas'!N186*Coefficients!$G$41+Coefficients!$H$41)*$G190)))</f>
        <v>5.150467065490498E-2</v>
      </c>
      <c r="L190" s="30">
        <f>IF('Peak Areas'!O186=0,0,((('Peak Areas'!O186*Coefficients!$G$10+Coefficients!$H$10)*$G190)))</f>
        <v>0</v>
      </c>
      <c r="M190" s="30">
        <f>IF('Peak Areas'!P186=0,0,((('Peak Areas'!P186*Coefficients!$G$32+Coefficients!$H$32)*$G190)))</f>
        <v>0.70975775979208</v>
      </c>
      <c r="N190" s="30">
        <f>IF('Peak Areas'!Q186=0,0,((('Peak Areas'!Q186*Coefficients!$G$11+Coefficients!$H$11)*$G190)))</f>
        <v>0</v>
      </c>
      <c r="O190" s="30">
        <f>IF('Peak Areas'!R186=0,0,((('Peak Areas'!R186*Coefficients!$G$39+Coefficients!$H$39)*$G190)))</f>
        <v>0.14773053340660769</v>
      </c>
      <c r="P190" s="30">
        <f>IF('Peak Areas'!S186=0,0,((('Peak Areas'!S186*Coefficients!$G$46+Coefficients!$H$46)*$G190)))</f>
        <v>0</v>
      </c>
      <c r="Q190" s="30">
        <f>IF('Peak Areas'!T186=0,0,((('Peak Areas'!T186*Coefficients!$G$51+Coefficients!$H$51)*$G190)))</f>
        <v>0.78405808278068734</v>
      </c>
      <c r="R190" s="30">
        <f>IF('Peak Areas'!U186=0,0,((('Peak Areas'!U186*Coefficients!$G$26+Coefficients!$H$26)*$G190)))</f>
        <v>0.24745030618084887</v>
      </c>
      <c r="S190" s="30">
        <f>IF('Peak Areas'!V186=0,0,((('Peak Areas'!V186*Coefficients!$G$13+Coefficients!$H$13)*$G190)))</f>
        <v>0.19577799354668249</v>
      </c>
      <c r="T190" s="30">
        <f>IF('Peak Areas'!W186=0,0,((('Peak Areas'!W186*Coefficients!$G$12+Coefficients!$H$12)*$G190)))</f>
        <v>0.25452353362792973</v>
      </c>
      <c r="U190" s="30">
        <f>IF('Peak Areas'!X186=0,0,((('Peak Areas'!X186*Coefficients!$G$27+Coefficients!$H$27)*$G190)))</f>
        <v>2.9165850065321762E-2</v>
      </c>
      <c r="V190" s="30">
        <f>IF('Peak Areas'!Y186=0,0,((('Peak Areas'!Y186*Coefficients!$G$34+Coefficients!$H$34)*$G190)))</f>
        <v>0.5146136929122066</v>
      </c>
      <c r="W190" s="30">
        <f>IF('Peak Areas'!Z186=0,0,((('Peak Areas'!Z186*Coefficients!$G$52+Coefficients!$H$52)*$G190)))</f>
        <v>0.45444411165886617</v>
      </c>
      <c r="X190" s="30">
        <f>IF('Peak Areas'!AA186=0,0,((('Peak Areas'!AA186*Coefficients!$G$33+Coefficients!$H$33)*$G190)))</f>
        <v>4.8128346228428244E-2</v>
      </c>
      <c r="Y190" s="30">
        <f>IF('Peak Areas'!AC186=0,0,((('Peak Areas'!AC186*Coefficients!$G$19+Coefficients!$H$19)*$G190)))</f>
        <v>0.4844068000951931</v>
      </c>
      <c r="Z190" s="30">
        <f>IF('Peak Areas'!AD186=0,0,((('Peak Areas'!AD186*Coefficients!$G$18+Coefficients!$H$18)*$G190)))</f>
        <v>0.13698925011052793</v>
      </c>
      <c r="AA190" s="30">
        <f>IF('Peak Areas'!AE186=0,0,((('Peak Areas'!AE186*Coefficients!$G$18+Coefficients!$H$18)*$G190)))</f>
        <v>5.2202390135381416</v>
      </c>
      <c r="AB190" s="30">
        <f>IF('Peak Areas'!AF186=0,0,((('Peak Areas'!AF186*Coefficients!$G$18+Coefficients!$H$18)*$G190)))</f>
        <v>0.66147947071461655</v>
      </c>
      <c r="AC190" s="30">
        <f>IF('Peak Areas'!AG186=0,0,((('Peak Areas'!AG186*Coefficients!$G$7+Coefficients!$H$7)*$G190)))</f>
        <v>0</v>
      </c>
      <c r="AD190" s="30">
        <f>IF('Peak Areas'!AH186=0,0,((('Peak Areas'!AH186*Coefficients!$G$6+Coefficients!$H$6)*$G190)))</f>
        <v>0.31357738447943895</v>
      </c>
      <c r="AF190" s="30">
        <f>IF('Peak Areas'!K186=0,0,((('Peak Areas'!K186*Coefficients!$G$22+Coefficients!$H$22)*$G190)))</f>
        <v>4.9791452800485921E-2</v>
      </c>
      <c r="AG190" s="30">
        <f t="shared" si="4"/>
        <v>5.2700304663386275</v>
      </c>
      <c r="AH190" s="30">
        <f t="shared" si="5"/>
        <v>6.0684991871637717</v>
      </c>
    </row>
    <row r="191" spans="1:34" x14ac:dyDescent="0.25">
      <c r="A191" s="2">
        <f>'Peak Areas'!A187</f>
        <v>177</v>
      </c>
      <c r="B191" s="62">
        <f>'Peak Areas'!B187</f>
        <v>45884</v>
      </c>
      <c r="C191" s="2" t="str">
        <f>'Peak Areas'!C187</f>
        <v>Q+P low nut</v>
      </c>
      <c r="D191" s="2">
        <f>'Peak Areas'!D187</f>
        <v>0</v>
      </c>
      <c r="E191" s="2">
        <f>'Peak Areas'!E187</f>
        <v>0</v>
      </c>
      <c r="F191" s="30">
        <f>'Peak Areas'!F187</f>
        <v>0.1</v>
      </c>
      <c r="G191" s="30">
        <f>((1/'Peak Areas'!$G187)*(('Peak Areas'!$H187+('Internal Standard'!$E$10/1000))/'Peak Areas'!$F187)*'Peak Areas'!$J187)*H191</f>
        <v>4.034299893052766E-2</v>
      </c>
      <c r="H191" s="30">
        <f>(('Internal Standard'!$F$13*('Peak Areas'!G187/'Internal Standard'!$C$10))/'Peak Areas'!AB187)</f>
        <v>0.94924703365947427</v>
      </c>
      <c r="I191" s="30">
        <f>IF('Peak Areas'!L187=0,0,((('Peak Areas'!L187*Coefficients!$G$21+Coefficients!$H$21)*$G191)))</f>
        <v>0</v>
      </c>
      <c r="J191" s="30">
        <f>IF('Peak Areas'!M187=0,0,((('Peak Areas'!M187*Coefficients!$G$20+Coefficients!$H$20)*$G191)))</f>
        <v>0.2637012783842923</v>
      </c>
      <c r="K191" s="30">
        <f>IF('Peak Areas'!N187=0,0,((('Peak Areas'!N187*Coefficients!$G$41+Coefficients!$H$41)*$G191)))</f>
        <v>0.10991017323478533</v>
      </c>
      <c r="L191" s="30">
        <f>IF('Peak Areas'!O187=0,0,((('Peak Areas'!O187*Coefficients!$G$10+Coefficients!$H$10)*$G191)))</f>
        <v>0</v>
      </c>
      <c r="M191" s="30">
        <f>IF('Peak Areas'!P187=0,0,((('Peak Areas'!P187*Coefficients!$G$32+Coefficients!$H$32)*$G191)))</f>
        <v>1.4605482576566411</v>
      </c>
      <c r="N191" s="30">
        <f>IF('Peak Areas'!Q187=0,0,((('Peak Areas'!Q187*Coefficients!$G$11+Coefficients!$H$11)*$G191)))</f>
        <v>0</v>
      </c>
      <c r="O191" s="30">
        <f>IF('Peak Areas'!R187=0,0,((('Peak Areas'!R187*Coefficients!$G$39+Coefficients!$H$39)*$G191)))</f>
        <v>0.51763619684333517</v>
      </c>
      <c r="P191" s="30">
        <f>IF('Peak Areas'!S187=0,0,((('Peak Areas'!S187*Coefficients!$G$46+Coefficients!$H$46)*$G191)))</f>
        <v>0</v>
      </c>
      <c r="Q191" s="30">
        <f>IF('Peak Areas'!T187=0,0,((('Peak Areas'!T187*Coefficients!$G$51+Coefficients!$H$51)*$G191)))</f>
        <v>0.86963659587294995</v>
      </c>
      <c r="R191" s="30">
        <f>IF('Peak Areas'!U187=0,0,((('Peak Areas'!U187*Coefficients!$G$26+Coefficients!$H$26)*$G191)))</f>
        <v>0.49114066565729303</v>
      </c>
      <c r="S191" s="30">
        <f>IF('Peak Areas'!V187=0,0,((('Peak Areas'!V187*Coefficients!$G$13+Coefficients!$H$13)*$G191)))</f>
        <v>0.2826025719316641</v>
      </c>
      <c r="T191" s="30">
        <f>IF('Peak Areas'!W187=0,0,((('Peak Areas'!W187*Coefficients!$G$12+Coefficients!$H$12)*$G191)))</f>
        <v>0.64958758734245003</v>
      </c>
      <c r="U191" s="30">
        <f>IF('Peak Areas'!X187=0,0,((('Peak Areas'!X187*Coefficients!$G$27+Coefficients!$H$27)*$G191)))</f>
        <v>4.6107529145474418E-2</v>
      </c>
      <c r="V191" s="30">
        <f>IF('Peak Areas'!Y187=0,0,((('Peak Areas'!Y187*Coefficients!$G$34+Coefficients!$H$34)*$G191)))</f>
        <v>1.6648398512065703</v>
      </c>
      <c r="W191" s="30">
        <f>IF('Peak Areas'!Z187=0,0,((('Peak Areas'!Z187*Coefficients!$G$52+Coefficients!$H$52)*$G191)))</f>
        <v>0.6789460965020766</v>
      </c>
      <c r="X191" s="30">
        <f>IF('Peak Areas'!AA187=0,0,((('Peak Areas'!AA187*Coefficients!$G$33+Coefficients!$H$33)*$G191)))</f>
        <v>0.16120376964532346</v>
      </c>
      <c r="Y191" s="30">
        <f>IF('Peak Areas'!AC187=0,0,((('Peak Areas'!AC187*Coefficients!$G$19+Coefficients!$H$19)*$G191)))</f>
        <v>1.5274465290461512</v>
      </c>
      <c r="Z191" s="30">
        <f>IF('Peak Areas'!AD187=0,0,((('Peak Areas'!AD187*Coefficients!$G$18+Coefficients!$H$18)*$G191)))</f>
        <v>0.15335539806162657</v>
      </c>
      <c r="AA191" s="30">
        <f>IF('Peak Areas'!AE187=0,0,((('Peak Areas'!AE187*Coefficients!$G$18+Coefficients!$H$18)*$G191)))</f>
        <v>11.607758837930229</v>
      </c>
      <c r="AB191" s="30">
        <f>IF('Peak Areas'!AF187=0,0,((('Peak Areas'!AF187*Coefficients!$G$18+Coefficients!$H$18)*$G191)))</f>
        <v>1.252433466820027</v>
      </c>
      <c r="AC191" s="30">
        <f>IF('Peak Areas'!AG187=0,0,((('Peak Areas'!AG187*Coefficients!$G$7+Coefficients!$H$7)*$G191)))</f>
        <v>0</v>
      </c>
      <c r="AD191" s="30">
        <f>IF('Peak Areas'!AH187=0,0,((('Peak Areas'!AH187*Coefficients!$G$6+Coefficients!$H$6)*$G191)))</f>
        <v>0.35584365878719637</v>
      </c>
      <c r="AF191" s="30">
        <f>IF('Peak Areas'!K187=0,0,((('Peak Areas'!K187*Coefficients!$G$22+Coefficients!$H$22)*$G191)))</f>
        <v>7.5362999962398536E-2</v>
      </c>
      <c r="AG191" s="30">
        <f t="shared" si="4"/>
        <v>11.683121837892628</v>
      </c>
      <c r="AH191" s="30">
        <f t="shared" si="5"/>
        <v>13.08891070277428</v>
      </c>
    </row>
    <row r="192" spans="1:34" x14ac:dyDescent="0.25">
      <c r="A192" s="2">
        <f>'Peak Areas'!A188</f>
        <v>178</v>
      </c>
      <c r="B192" s="62">
        <f>'Peak Areas'!B188</f>
        <v>45884</v>
      </c>
      <c r="C192" s="2" t="str">
        <f>'Peak Areas'!C188</f>
        <v>Q+P low nut</v>
      </c>
      <c r="D192" s="2">
        <f>'Peak Areas'!D188</f>
        <v>0</v>
      </c>
      <c r="E192" s="2">
        <f>'Peak Areas'!E188</f>
        <v>0</v>
      </c>
      <c r="F192" s="30">
        <f>'Peak Areas'!F188</f>
        <v>0.1</v>
      </c>
      <c r="G192" s="30">
        <f>((1/'Peak Areas'!$G188)*(('Peak Areas'!$H188+('Internal Standard'!$E$10/1000))/'Peak Areas'!$F188)*'Peak Areas'!$J188)*H192</f>
        <v>3.8103980066112618E-2</v>
      </c>
      <c r="H192" s="30">
        <f>(('Internal Standard'!$F$13*('Peak Areas'!G188/'Internal Standard'!$C$10))/'Peak Areas'!AB188)</f>
        <v>0.89656423684970865</v>
      </c>
      <c r="I192" s="30">
        <f>IF('Peak Areas'!L188=0,0,((('Peak Areas'!L188*Coefficients!$G$21+Coefficients!$H$21)*$G192)))</f>
        <v>0</v>
      </c>
      <c r="J192" s="30">
        <f>IF('Peak Areas'!M188=0,0,((('Peak Areas'!M188*Coefficients!$G$20+Coefficients!$H$20)*$G192)))</f>
        <v>0.27491585560202919</v>
      </c>
      <c r="K192" s="30">
        <f>IF('Peak Areas'!N188=0,0,((('Peak Areas'!N188*Coefficients!$G$41+Coefficients!$H$41)*$G192)))</f>
        <v>6.0743249336007547E-2</v>
      </c>
      <c r="L192" s="30">
        <f>IF('Peak Areas'!O188=0,0,((('Peak Areas'!O188*Coefficients!$G$10+Coefficients!$H$10)*$G192)))</f>
        <v>0</v>
      </c>
      <c r="M192" s="30">
        <f>IF('Peak Areas'!P188=0,0,((('Peak Areas'!P188*Coefficients!$G$32+Coefficients!$H$32)*$G192)))</f>
        <v>1.4715321034631299</v>
      </c>
      <c r="N192" s="30">
        <f>IF('Peak Areas'!Q188=0,0,((('Peak Areas'!Q188*Coefficients!$G$11+Coefficients!$H$11)*$G192)))</f>
        <v>0.19289088769255716</v>
      </c>
      <c r="O192" s="30">
        <f>IF('Peak Areas'!R188=0,0,((('Peak Areas'!R188*Coefficients!$G$39+Coefficients!$H$39)*$G192)))</f>
        <v>0.38722936122341312</v>
      </c>
      <c r="P192" s="30">
        <f>IF('Peak Areas'!S188=0,0,((('Peak Areas'!S188*Coefficients!$G$46+Coefficients!$H$46)*$G192)))</f>
        <v>0</v>
      </c>
      <c r="Q192" s="30">
        <f>IF('Peak Areas'!T188=0,0,((('Peak Areas'!T188*Coefficients!$G$51+Coefficients!$H$51)*$G192)))</f>
        <v>0.33760319416167667</v>
      </c>
      <c r="R192" s="30">
        <f>IF('Peak Areas'!U188=0,0,((('Peak Areas'!U188*Coefficients!$G$26+Coefficients!$H$26)*$G192)))</f>
        <v>0.36019121492779704</v>
      </c>
      <c r="S192" s="30">
        <f>IF('Peak Areas'!V188=0,0,((('Peak Areas'!V188*Coefficients!$G$13+Coefficients!$H$13)*$G192)))</f>
        <v>0.27963534747541463</v>
      </c>
      <c r="T192" s="30">
        <f>IF('Peak Areas'!W188=0,0,((('Peak Areas'!W188*Coefficients!$G$12+Coefficients!$H$12)*$G192)))</f>
        <v>0.66153796901856821</v>
      </c>
      <c r="U192" s="30">
        <f>IF('Peak Areas'!X188=0,0,((('Peak Areas'!X188*Coefficients!$G$27+Coefficients!$H$27)*$G192)))</f>
        <v>4.6231128317306948E-2</v>
      </c>
      <c r="V192" s="30">
        <f>IF('Peak Areas'!Y188=0,0,((('Peak Areas'!Y188*Coefficients!$G$34+Coefficients!$H$34)*$G192)))</f>
        <v>1.7594187796522995</v>
      </c>
      <c r="W192" s="30">
        <f>IF('Peak Areas'!Z188=0,0,((('Peak Areas'!Z188*Coefficients!$G$52+Coefficients!$H$52)*$G192)))</f>
        <v>0.64553809121449046</v>
      </c>
      <c r="X192" s="30">
        <f>IF('Peak Areas'!AA188=0,0,((('Peak Areas'!AA188*Coefficients!$G$33+Coefficients!$H$33)*$G192)))</f>
        <v>0.17165760013387685</v>
      </c>
      <c r="Y192" s="30">
        <f>IF('Peak Areas'!AC188=0,0,((('Peak Areas'!AC188*Coefficients!$G$19+Coefficients!$H$19)*$G192)))</f>
        <v>1.6121202592201622</v>
      </c>
      <c r="Z192" s="30">
        <f>IF('Peak Areas'!AD188=0,0,((('Peak Areas'!AD188*Coefficients!$G$18+Coefficients!$H$18)*$G192)))</f>
        <v>0.20155024048010137</v>
      </c>
      <c r="AA192" s="30">
        <f>IF('Peak Areas'!AE188=0,0,((('Peak Areas'!AE188*Coefficients!$G$18+Coefficients!$H$18)*$G192)))</f>
        <v>12.613301978159715</v>
      </c>
      <c r="AB192" s="30">
        <f>IF('Peak Areas'!AF188=0,0,((('Peak Areas'!AF188*Coefficients!$G$18+Coefficients!$H$18)*$G192)))</f>
        <v>1.5047644977939378</v>
      </c>
      <c r="AC192" s="30">
        <f>IF('Peak Areas'!AG188=0,0,((('Peak Areas'!AG188*Coefficients!$G$7+Coefficients!$H$7)*$G192)))</f>
        <v>0</v>
      </c>
      <c r="AD192" s="30">
        <f>IF('Peak Areas'!AH188=0,0,((('Peak Areas'!AH188*Coefficients!$G$6+Coefficients!$H$6)*$G192)))</f>
        <v>1.8624115330235707</v>
      </c>
      <c r="AF192" s="30">
        <f>IF('Peak Areas'!K188=0,0,((('Peak Areas'!K188*Coefficients!$G$22+Coefficients!$H$22)*$G192)))</f>
        <v>9.0361641810021223E-2</v>
      </c>
      <c r="AG192" s="30">
        <f t="shared" si="4"/>
        <v>12.703663619969737</v>
      </c>
      <c r="AH192" s="30">
        <f t="shared" si="5"/>
        <v>14.409978358243775</v>
      </c>
    </row>
    <row r="193" spans="1:34" x14ac:dyDescent="0.25">
      <c r="A193" s="2">
        <f>'Peak Areas'!A189</f>
        <v>179</v>
      </c>
      <c r="B193" s="62">
        <f>'Peak Areas'!B189</f>
        <v>45884</v>
      </c>
      <c r="C193" s="2" t="str">
        <f>'Peak Areas'!C189</f>
        <v>Q+P high nut</v>
      </c>
      <c r="D193" s="2">
        <f>'Peak Areas'!D189</f>
        <v>0</v>
      </c>
      <c r="E193" s="2">
        <f>'Peak Areas'!E189</f>
        <v>0</v>
      </c>
      <c r="F193" s="30">
        <f>'Peak Areas'!F189</f>
        <v>0.1</v>
      </c>
      <c r="G193" s="30">
        <f>((1/'Peak Areas'!$G189)*(('Peak Areas'!$H189+('Internal Standard'!$E$10/1000))/'Peak Areas'!$F189)*'Peak Areas'!$J189)*H193</f>
        <v>3.8216747175167029E-2</v>
      </c>
      <c r="H193" s="30">
        <f>(('Internal Standard'!$F$13*('Peak Areas'!G189/'Internal Standard'!$C$10))/'Peak Areas'!AB189)</f>
        <v>0.89921758059216528</v>
      </c>
      <c r="I193" s="30">
        <f>IF('Peak Areas'!L189=0,0,((('Peak Areas'!L189*Coefficients!$G$21+Coefficients!$H$21)*$G193)))</f>
        <v>0</v>
      </c>
      <c r="J193" s="30">
        <f>IF('Peak Areas'!M189=0,0,((('Peak Areas'!M189*Coefficients!$G$20+Coefficients!$H$20)*$G193)))</f>
        <v>0.15814187287740294</v>
      </c>
      <c r="K193" s="30">
        <f>IF('Peak Areas'!N189=0,0,((('Peak Areas'!N189*Coefficients!$G$41+Coefficients!$H$41)*$G193)))</f>
        <v>8.1595338212489682E-2</v>
      </c>
      <c r="L193" s="30">
        <f>IF('Peak Areas'!O189=0,0,((('Peak Areas'!O189*Coefficients!$G$10+Coefficients!$H$10)*$G193)))</f>
        <v>0</v>
      </c>
      <c r="M193" s="30">
        <f>IF('Peak Areas'!P189=0,0,((('Peak Areas'!P189*Coefficients!$G$32+Coefficients!$H$32)*$G193)))</f>
        <v>0.52781474587631305</v>
      </c>
      <c r="N193" s="30">
        <f>IF('Peak Areas'!Q189=0,0,((('Peak Areas'!Q189*Coefficients!$G$11+Coefficients!$H$11)*$G193)))</f>
        <v>0</v>
      </c>
      <c r="O193" s="30">
        <f>IF('Peak Areas'!R189=0,0,((('Peak Areas'!R189*Coefficients!$G$39+Coefficients!$H$39)*$G193)))</f>
        <v>0.11451812161546214</v>
      </c>
      <c r="P193" s="30">
        <f>IF('Peak Areas'!S189=0,0,((('Peak Areas'!S189*Coefficients!$G$46+Coefficients!$H$46)*$G193)))</f>
        <v>0</v>
      </c>
      <c r="Q193" s="30">
        <f>IF('Peak Areas'!T189=0,0,((('Peak Areas'!T189*Coefficients!$G$51+Coefficients!$H$51)*$G193)))</f>
        <v>0.63355687632218138</v>
      </c>
      <c r="R193" s="30">
        <f>IF('Peak Areas'!U189=0,0,((('Peak Areas'!U189*Coefficients!$G$26+Coefficients!$H$26)*$G193)))</f>
        <v>0.25604384605469632</v>
      </c>
      <c r="S193" s="30">
        <f>IF('Peak Areas'!V189=0,0,((('Peak Areas'!V189*Coefficients!$G$13+Coefficients!$H$13)*$G193)))</f>
        <v>0.16776956420331524</v>
      </c>
      <c r="T193" s="30">
        <f>IF('Peak Areas'!W189=0,0,((('Peak Areas'!W189*Coefficients!$G$12+Coefficients!$H$12)*$G193)))</f>
        <v>0.37961520359662521</v>
      </c>
      <c r="U193" s="30">
        <f>IF('Peak Areas'!X189=0,0,((('Peak Areas'!X189*Coefficients!$G$27+Coefficients!$H$27)*$G193)))</f>
        <v>3.1646601120679442E-2</v>
      </c>
      <c r="V193" s="30">
        <f>IF('Peak Areas'!Y189=0,0,((('Peak Areas'!Y189*Coefficients!$G$34+Coefficients!$H$34)*$G193)))</f>
        <v>0.75859202525063252</v>
      </c>
      <c r="W193" s="30">
        <f>IF('Peak Areas'!Z189=0,0,((('Peak Areas'!Z189*Coefficients!$G$52+Coefficients!$H$52)*$G193)))</f>
        <v>0.39303240930946737</v>
      </c>
      <c r="X193" s="30">
        <f>IF('Peak Areas'!AA189=0,0,((('Peak Areas'!AA189*Coefficients!$G$33+Coefficients!$H$33)*$G193)))</f>
        <v>0.10357792451376213</v>
      </c>
      <c r="Y193" s="30">
        <f>IF('Peak Areas'!AC189=0,0,((('Peak Areas'!AC189*Coefficients!$G$19+Coefficients!$H$19)*$G193)))</f>
        <v>0.73009261306562778</v>
      </c>
      <c r="Z193" s="30">
        <f>IF('Peak Areas'!AD189=0,0,((('Peak Areas'!AD189*Coefficients!$G$18+Coefficients!$H$18)*$G193)))</f>
        <v>5.676151546211005E-2</v>
      </c>
      <c r="AA193" s="30">
        <f>IF('Peak Areas'!AE189=0,0,((('Peak Areas'!AE189*Coefficients!$G$18+Coefficients!$H$18)*$G193)))</f>
        <v>5.9993296037205432</v>
      </c>
      <c r="AB193" s="30">
        <f>IF('Peak Areas'!AF189=0,0,((('Peak Areas'!AF189*Coefficients!$G$18+Coefficients!$H$18)*$G193)))</f>
        <v>0.71721977069916043</v>
      </c>
      <c r="AC193" s="30">
        <f>IF('Peak Areas'!AG189=0,0,((('Peak Areas'!AG189*Coefficients!$G$7+Coefficients!$H$7)*$G193)))</f>
        <v>0</v>
      </c>
      <c r="AD193" s="30">
        <f>IF('Peak Areas'!AH189=0,0,((('Peak Areas'!AH189*Coefficients!$G$6+Coefficients!$H$6)*$G193)))</f>
        <v>7.5439392817044468E-2</v>
      </c>
      <c r="AF193" s="30">
        <f>IF('Peak Areas'!K189=0,0,((('Peak Areas'!K189*Coefficients!$G$22+Coefficients!$H$22)*$G193)))</f>
        <v>6.0824362119643503E-2</v>
      </c>
      <c r="AG193" s="30">
        <f t="shared" si="4"/>
        <v>6.0601539658401871</v>
      </c>
      <c r="AH193" s="30">
        <f t="shared" si="5"/>
        <v>6.8341352520014578</v>
      </c>
    </row>
    <row r="194" spans="1:34" x14ac:dyDescent="0.25">
      <c r="A194" s="2">
        <f>'Peak Areas'!A190</f>
        <v>180</v>
      </c>
      <c r="B194" s="62">
        <f>'Peak Areas'!B190</f>
        <v>45884</v>
      </c>
      <c r="C194" s="2" t="str">
        <f>'Peak Areas'!C190</f>
        <v>Q+P high nut</v>
      </c>
      <c r="D194" s="2">
        <f>'Peak Areas'!D190</f>
        <v>0</v>
      </c>
      <c r="E194" s="2">
        <f>'Peak Areas'!E190</f>
        <v>0</v>
      </c>
      <c r="F194" s="30">
        <f>'Peak Areas'!F190</f>
        <v>0.1</v>
      </c>
      <c r="G194" s="30">
        <f>((1/'Peak Areas'!$G190)*(('Peak Areas'!$H190+('Internal Standard'!$E$10/1000))/'Peak Areas'!$F190)*'Peak Areas'!$J190)*H194</f>
        <v>4.1032779123864778E-2</v>
      </c>
      <c r="H194" s="30">
        <f>(('Internal Standard'!$F$13*('Peak Areas'!G190/'Internal Standard'!$C$10))/'Peak Areas'!AB190)</f>
        <v>0.96547715585564176</v>
      </c>
      <c r="I194" s="30">
        <f>IF('Peak Areas'!L190=0,0,((('Peak Areas'!L190*Coefficients!$G$21+Coefficients!$H$21)*$G194)))</f>
        <v>0</v>
      </c>
      <c r="J194" s="30">
        <f>IF('Peak Areas'!M190=0,0,((('Peak Areas'!M190*Coefficients!$G$20+Coefficients!$H$20)*$G194)))</f>
        <v>0.1314711386554859</v>
      </c>
      <c r="K194" s="30">
        <f>IF('Peak Areas'!N190=0,0,((('Peak Areas'!N190*Coefficients!$G$41+Coefficients!$H$41)*$G194)))</f>
        <v>5.2128999975760336E-2</v>
      </c>
      <c r="L194" s="30">
        <f>IF('Peak Areas'!O190=0,0,((('Peak Areas'!O190*Coefficients!$G$10+Coefficients!$H$10)*$G194)))</f>
        <v>0</v>
      </c>
      <c r="M194" s="30">
        <f>IF('Peak Areas'!P190=0,0,((('Peak Areas'!P190*Coefficients!$G$32+Coefficients!$H$32)*$G194)))</f>
        <v>0.4721451536976175</v>
      </c>
      <c r="N194" s="30">
        <f>IF('Peak Areas'!Q190=0,0,((('Peak Areas'!Q190*Coefficients!$G$11+Coefficients!$H$11)*$G194)))</f>
        <v>0</v>
      </c>
      <c r="O194" s="30">
        <f>IF('Peak Areas'!R190=0,0,((('Peak Areas'!R190*Coefficients!$G$39+Coefficients!$H$39)*$G194)))</f>
        <v>9.2991494260314944E-2</v>
      </c>
      <c r="P194" s="30">
        <f>IF('Peak Areas'!S190=0,0,((('Peak Areas'!S190*Coefficients!$G$46+Coefficients!$H$46)*$G194)))</f>
        <v>0</v>
      </c>
      <c r="Q194" s="30">
        <f>IF('Peak Areas'!T190=0,0,((('Peak Areas'!T190*Coefficients!$G$51+Coefficients!$H$51)*$G194)))</f>
        <v>0.55481301165116259</v>
      </c>
      <c r="R194" s="30">
        <f>IF('Peak Areas'!U190=0,0,((('Peak Areas'!U190*Coefficients!$G$26+Coefficients!$H$26)*$G194)))</f>
        <v>0.24426823792736826</v>
      </c>
      <c r="S194" s="30">
        <f>IF('Peak Areas'!V190=0,0,((('Peak Areas'!V190*Coefficients!$G$13+Coefficients!$H$13)*$G194)))</f>
        <v>0.13695062452083984</v>
      </c>
      <c r="T194" s="30">
        <f>IF('Peak Areas'!W190=0,0,((('Peak Areas'!W190*Coefficients!$G$12+Coefficients!$H$12)*$G194)))</f>
        <v>0.3440334086469109</v>
      </c>
      <c r="U194" s="30">
        <f>IF('Peak Areas'!X190=0,0,((('Peak Areas'!X190*Coefficients!$G$27+Coefficients!$H$27)*$G194)))</f>
        <v>2.6454474868252188E-2</v>
      </c>
      <c r="V194" s="30">
        <f>IF('Peak Areas'!Y190=0,0,((('Peak Areas'!Y190*Coefficients!$G$34+Coefficients!$H$34)*$G194)))</f>
        <v>0.63605449989433638</v>
      </c>
      <c r="W194" s="30">
        <f>IF('Peak Areas'!Z190=0,0,((('Peak Areas'!Z190*Coefficients!$G$52+Coefficients!$H$52)*$G194)))</f>
        <v>0.36025028076128601</v>
      </c>
      <c r="X194" s="30">
        <f>IF('Peak Areas'!AA190=0,0,((('Peak Areas'!AA190*Coefficients!$G$33+Coefficients!$H$33)*$G194)))</f>
        <v>6.0358866015188396E-2</v>
      </c>
      <c r="Y194" s="30">
        <f>IF('Peak Areas'!AC190=0,0,((('Peak Areas'!AC190*Coefficients!$G$19+Coefficients!$H$19)*$G194)))</f>
        <v>0.62650594752379629</v>
      </c>
      <c r="Z194" s="30">
        <f>IF('Peak Areas'!AD190=0,0,((('Peak Areas'!AD190*Coefficients!$G$18+Coefficients!$H$18)*$G194)))</f>
        <v>3.9670466237284992E-2</v>
      </c>
      <c r="AA194" s="30">
        <f>IF('Peak Areas'!AE190=0,0,((('Peak Areas'!AE190*Coefficients!$G$18+Coefficients!$H$18)*$G194)))</f>
        <v>5.1871847631056633</v>
      </c>
      <c r="AB194" s="30">
        <f>IF('Peak Areas'!AF190=0,0,((('Peak Areas'!AF190*Coefficients!$G$18+Coefficients!$H$18)*$G194)))</f>
        <v>0.64003293248482906</v>
      </c>
      <c r="AC194" s="30">
        <f>IF('Peak Areas'!AG190=0,0,((('Peak Areas'!AG190*Coefficients!$G$7+Coefficients!$H$7)*$G194)))</f>
        <v>0</v>
      </c>
      <c r="AD194" s="30">
        <f>IF('Peak Areas'!AH190=0,0,((('Peak Areas'!AH190*Coefficients!$G$6+Coefficients!$H$6)*$G194)))</f>
        <v>7.5850710182184228E-2</v>
      </c>
      <c r="AF194" s="30">
        <f>IF('Peak Areas'!K190=0,0,((('Peak Areas'!K190*Coefficients!$G$22+Coefficients!$H$22)*$G194)))</f>
        <v>3.2716487945228342E-2</v>
      </c>
      <c r="AG194" s="30">
        <f t="shared" si="4"/>
        <v>5.2199012510508913</v>
      </c>
      <c r="AH194" s="30">
        <f t="shared" si="5"/>
        <v>5.8996046497730052</v>
      </c>
    </row>
    <row r="195" spans="1:34" x14ac:dyDescent="0.25">
      <c r="A195" s="2">
        <f>'Peak Areas'!A191</f>
        <v>181</v>
      </c>
      <c r="B195" s="62">
        <f>'Peak Areas'!B191</f>
        <v>45884</v>
      </c>
      <c r="C195" s="2" t="str">
        <f>'Peak Areas'!C191</f>
        <v>Q+D low</v>
      </c>
      <c r="D195" s="2">
        <f>'Peak Areas'!D191</f>
        <v>0</v>
      </c>
      <c r="E195" s="2">
        <f>'Peak Areas'!E191</f>
        <v>0</v>
      </c>
      <c r="F195" s="30">
        <f>'Peak Areas'!F191</f>
        <v>0.1</v>
      </c>
      <c r="G195" s="30">
        <f>((1/'Peak Areas'!$G191)*(('Peak Areas'!$H191+('Internal Standard'!$E$10/1000))/'Peak Areas'!$F191)*'Peak Areas'!$J191)*H195</f>
        <v>4.431733840133148E-2</v>
      </c>
      <c r="H195" s="30">
        <f>(('Internal Standard'!$F$13*('Peak Areas'!G191/'Internal Standard'!$C$10))/'Peak Areas'!AB191)</f>
        <v>1.0427609035607406</v>
      </c>
      <c r="I195" s="30">
        <f>IF('Peak Areas'!L191=0,0,((('Peak Areas'!L191*Coefficients!$G$21+Coefficients!$H$21)*$G195)))</f>
        <v>0</v>
      </c>
      <c r="J195" s="30">
        <f>IF('Peak Areas'!M191=0,0,((('Peak Areas'!M191*Coefficients!$G$20+Coefficients!$H$20)*$G195)))</f>
        <v>0.13149101413945349</v>
      </c>
      <c r="K195" s="30">
        <f>IF('Peak Areas'!N191=0,0,((('Peak Areas'!N191*Coefficients!$G$41+Coefficients!$H$41)*$G195)))</f>
        <v>5.6340222462867177E-2</v>
      </c>
      <c r="L195" s="30">
        <f>IF('Peak Areas'!O191=0,0,((('Peak Areas'!O191*Coefficients!$G$10+Coefficients!$H$10)*$G195)))</f>
        <v>0</v>
      </c>
      <c r="M195" s="30">
        <f>IF('Peak Areas'!P191=0,0,((('Peak Areas'!P191*Coefficients!$G$32+Coefficients!$H$32)*$G195)))</f>
        <v>0.80509752009460611</v>
      </c>
      <c r="N195" s="30">
        <f>IF('Peak Areas'!Q191=0,0,((('Peak Areas'!Q191*Coefficients!$G$11+Coefficients!$H$11)*$G195)))</f>
        <v>0</v>
      </c>
      <c r="O195" s="30">
        <f>IF('Peak Areas'!R191=0,0,((('Peak Areas'!R191*Coefficients!$G$39+Coefficients!$H$39)*$G195)))</f>
        <v>0.18272394363196492</v>
      </c>
      <c r="P195" s="30">
        <f>IF('Peak Areas'!S191=0,0,((('Peak Areas'!S191*Coefficients!$G$46+Coefficients!$H$46)*$G195)))</f>
        <v>0</v>
      </c>
      <c r="Q195" s="30">
        <f>IF('Peak Areas'!T191=0,0,((('Peak Areas'!T191*Coefficients!$G$51+Coefficients!$H$51)*$G195)))</f>
        <v>0.86067959165548458</v>
      </c>
      <c r="R195" s="30">
        <f>IF('Peak Areas'!U191=0,0,((('Peak Areas'!U191*Coefficients!$G$26+Coefficients!$H$26)*$G195)))</f>
        <v>0.26487904806482154</v>
      </c>
      <c r="S195" s="30">
        <f>IF('Peak Areas'!V191=0,0,((('Peak Areas'!V191*Coefficients!$G$13+Coefficients!$H$13)*$G195)))</f>
        <v>0.19860101981698447</v>
      </c>
      <c r="T195" s="30">
        <f>IF('Peak Areas'!W191=0,0,((('Peak Areas'!W191*Coefficients!$G$12+Coefficients!$H$12)*$G195)))</f>
        <v>0.25433602050937631</v>
      </c>
      <c r="U195" s="30">
        <f>IF('Peak Areas'!X191=0,0,((('Peak Areas'!X191*Coefficients!$G$27+Coefficients!$H$27)*$G195)))</f>
        <v>2.8937184714227574E-2</v>
      </c>
      <c r="V195" s="30">
        <f>IF('Peak Areas'!Y191=0,0,((('Peak Areas'!Y191*Coefficients!$G$34+Coefficients!$H$34)*$G195)))</f>
        <v>0</v>
      </c>
      <c r="W195" s="30">
        <f>IF('Peak Areas'!Z191=0,0,((('Peak Areas'!Z191*Coefficients!$G$52+Coefficients!$H$52)*$G195)))</f>
        <v>0.50599636746031618</v>
      </c>
      <c r="X195" s="30">
        <f>IF('Peak Areas'!AA191=0,0,((('Peak Areas'!AA191*Coefficients!$G$33+Coefficients!$H$33)*$G195)))</f>
        <v>0.13182178387400056</v>
      </c>
      <c r="Y195" s="30">
        <f>IF('Peak Areas'!AC191=0,0,((('Peak Areas'!AC191*Coefficients!$G$19+Coefficients!$H$19)*$G195)))</f>
        <v>0.53566747700260908</v>
      </c>
      <c r="Z195" s="30">
        <f>IF('Peak Areas'!AD191=0,0,((('Peak Areas'!AD191*Coefficients!$G$18+Coefficients!$H$18)*$G195)))</f>
        <v>7.2854903476001986E-2</v>
      </c>
      <c r="AA195" s="30">
        <f>IF('Peak Areas'!AE191=0,0,((('Peak Areas'!AE191*Coefficients!$G$18+Coefficients!$H$18)*$G195)))</f>
        <v>5.3642864501658725</v>
      </c>
      <c r="AB195" s="30">
        <f>IF('Peak Areas'!AF191=0,0,((('Peak Areas'!AF191*Coefficients!$G$18+Coefficients!$H$18)*$G195)))</f>
        <v>0.60438314461731379</v>
      </c>
      <c r="AC195" s="30">
        <f>IF('Peak Areas'!AG191=0,0,((('Peak Areas'!AG191*Coefficients!$G$7+Coefficients!$H$7)*$G195)))</f>
        <v>0</v>
      </c>
      <c r="AD195" s="30">
        <f>IF('Peak Areas'!AH191=0,0,((('Peak Areas'!AH191*Coefficients!$G$6+Coefficients!$H$6)*$G195)))</f>
        <v>0.1542380637622256</v>
      </c>
      <c r="AF195" s="30">
        <f>IF('Peak Areas'!K191=0,0,((('Peak Areas'!K191*Coefficients!$G$22+Coefficients!$H$22)*$G195)))</f>
        <v>5.1372722037094858E-2</v>
      </c>
      <c r="AG195" s="30">
        <f t="shared" si="4"/>
        <v>5.4156591722029672</v>
      </c>
      <c r="AH195" s="30">
        <f t="shared" si="5"/>
        <v>6.0928972202962832</v>
      </c>
    </row>
    <row r="196" spans="1:34" x14ac:dyDescent="0.25">
      <c r="A196" s="2">
        <f>'Peak Areas'!A192</f>
        <v>182</v>
      </c>
      <c r="B196" s="62">
        <f>'Peak Areas'!B192</f>
        <v>45884</v>
      </c>
      <c r="C196" s="2" t="str">
        <f>'Peak Areas'!C192</f>
        <v>Q+D low</v>
      </c>
      <c r="D196" s="2">
        <f>'Peak Areas'!D192</f>
        <v>0</v>
      </c>
      <c r="E196" s="2">
        <f>'Peak Areas'!E192</f>
        <v>0</v>
      </c>
      <c r="F196" s="30">
        <f>'Peak Areas'!F192</f>
        <v>0.1</v>
      </c>
      <c r="G196" s="30">
        <f>((1/'Peak Areas'!$G192)*(('Peak Areas'!$H192+('Internal Standard'!$E$10/1000))/'Peak Areas'!$F192)*'Peak Areas'!$J192)*H196</f>
        <v>4.2523684965521447E-2</v>
      </c>
      <c r="H196" s="30">
        <f>(('Internal Standard'!$F$13*('Peak Areas'!G192/'Internal Standard'!$C$10))/'Peak Areas'!AB192)</f>
        <v>1.0005572933063869</v>
      </c>
      <c r="I196" s="30">
        <f>IF('Peak Areas'!L192=0,0,((('Peak Areas'!L192*Coefficients!$G$21+Coefficients!$H$21)*$G196)))</f>
        <v>0</v>
      </c>
      <c r="J196" s="30">
        <f>IF('Peak Areas'!M192=0,0,((('Peak Areas'!M192*Coefficients!$G$20+Coefficients!$H$20)*$G196)))</f>
        <v>8.8501136944662287E-2</v>
      </c>
      <c r="K196" s="30">
        <f>IF('Peak Areas'!N192=0,0,((('Peak Areas'!N192*Coefficients!$G$41+Coefficients!$H$41)*$G196)))</f>
        <v>5.4790308154922147E-2</v>
      </c>
      <c r="L196" s="30">
        <f>IF('Peak Areas'!O192=0,0,((('Peak Areas'!O192*Coefficients!$G$10+Coefficients!$H$10)*$G196)))</f>
        <v>0</v>
      </c>
      <c r="M196" s="30">
        <f>IF('Peak Areas'!P192=0,0,((('Peak Areas'!P192*Coefficients!$G$32+Coefficients!$H$32)*$G196)))</f>
        <v>0.58101776323327581</v>
      </c>
      <c r="N196" s="30">
        <f>IF('Peak Areas'!Q192=0,0,((('Peak Areas'!Q192*Coefficients!$G$11+Coefficients!$H$11)*$G196)))</f>
        <v>0</v>
      </c>
      <c r="O196" s="30">
        <f>IF('Peak Areas'!R192=0,0,((('Peak Areas'!R192*Coefficients!$G$39+Coefficients!$H$39)*$G196)))</f>
        <v>0.12679016060909673</v>
      </c>
      <c r="P196" s="30">
        <f>IF('Peak Areas'!S192=0,0,((('Peak Areas'!S192*Coefficients!$G$46+Coefficients!$H$46)*$G196)))</f>
        <v>0</v>
      </c>
      <c r="Q196" s="30">
        <f>IF('Peak Areas'!T192=0,0,((('Peak Areas'!T192*Coefficients!$G$51+Coefficients!$H$51)*$G196)))</f>
        <v>0.31152545237899359</v>
      </c>
      <c r="R196" s="30">
        <f>IF('Peak Areas'!U192=0,0,((('Peak Areas'!U192*Coefficients!$G$26+Coefficients!$H$26)*$G196)))</f>
        <v>0.26692368467341382</v>
      </c>
      <c r="S196" s="30">
        <f>IF('Peak Areas'!V192=0,0,((('Peak Areas'!V192*Coefficients!$G$13+Coefficients!$H$13)*$G196)))</f>
        <v>0.2572423844537074</v>
      </c>
      <c r="T196" s="30">
        <f>IF('Peak Areas'!W192=0,0,((('Peak Areas'!W192*Coefficients!$G$12+Coefficients!$H$12)*$G196)))</f>
        <v>0.261259450190165</v>
      </c>
      <c r="U196" s="30">
        <f>IF('Peak Areas'!X192=0,0,((('Peak Areas'!X192*Coefficients!$G$27+Coefficients!$H$27)*$G196)))</f>
        <v>2.0334848013639741E-2</v>
      </c>
      <c r="V196" s="30">
        <f>IF('Peak Areas'!Y192=0,0,((('Peak Areas'!Y192*Coefficients!$G$34+Coefficients!$H$34)*$G196)))</f>
        <v>0.6163613692647848</v>
      </c>
      <c r="W196" s="30">
        <f>IF('Peak Areas'!Z192=0,0,((('Peak Areas'!Z192*Coefficients!$G$52+Coefficients!$H$52)*$G196)))</f>
        <v>0.49444698166749723</v>
      </c>
      <c r="X196" s="30">
        <f>IF('Peak Areas'!AA192=0,0,((('Peak Areas'!AA192*Coefficients!$G$33+Coefficients!$H$33)*$G196)))</f>
        <v>6.0098212276821682E-2</v>
      </c>
      <c r="Y196" s="30">
        <f>IF('Peak Areas'!AC192=0,0,((('Peak Areas'!AC192*Coefficients!$G$19+Coefficients!$H$19)*$G196)))</f>
        <v>0.53889969439150065</v>
      </c>
      <c r="Z196" s="30">
        <f>IF('Peak Areas'!AD192=0,0,((('Peak Areas'!AD192*Coefficients!$G$18+Coefficients!$H$18)*$G196)))</f>
        <v>0.12562060402877678</v>
      </c>
      <c r="AA196" s="30">
        <f>IF('Peak Areas'!AE192=0,0,((('Peak Areas'!AE192*Coefficients!$G$18+Coefficients!$H$18)*$G196)))</f>
        <v>5.519969634214335</v>
      </c>
      <c r="AB196" s="30">
        <f>IF('Peak Areas'!AF192=0,0,((('Peak Areas'!AF192*Coefficients!$G$18+Coefficients!$H$18)*$G196)))</f>
        <v>0.63865322292646265</v>
      </c>
      <c r="AC196" s="30">
        <f>IF('Peak Areas'!AG192=0,0,((('Peak Areas'!AG192*Coefficients!$G$7+Coefficients!$H$7)*$G196)))</f>
        <v>0</v>
      </c>
      <c r="AD196" s="30">
        <f>IF('Peak Areas'!AH192=0,0,((('Peak Areas'!AH192*Coefficients!$G$6+Coefficients!$H$6)*$G196)))</f>
        <v>0.23133632014128724</v>
      </c>
      <c r="AF196" s="30">
        <f>IF('Peak Areas'!K192=0,0,((('Peak Areas'!K192*Coefficients!$G$22+Coefficients!$H$22)*$G196)))</f>
        <v>2.7315761483343481E-2</v>
      </c>
      <c r="AG196" s="30">
        <f t="shared" si="4"/>
        <v>5.5472853956976786</v>
      </c>
      <c r="AH196" s="30">
        <f t="shared" si="5"/>
        <v>6.3115592226529182</v>
      </c>
    </row>
    <row r="197" spans="1:34" x14ac:dyDescent="0.25">
      <c r="A197" s="2">
        <f>'Peak Areas'!A193</f>
        <v>183</v>
      </c>
      <c r="B197" s="62">
        <f>'Peak Areas'!B193</f>
        <v>45884</v>
      </c>
      <c r="C197" s="2" t="str">
        <f>'Peak Areas'!C193</f>
        <v xml:space="preserve">Q+D high </v>
      </c>
      <c r="D197" s="2">
        <f>'Peak Areas'!D193</f>
        <v>0</v>
      </c>
      <c r="E197" s="2">
        <f>'Peak Areas'!E193</f>
        <v>0</v>
      </c>
      <c r="F197" s="30">
        <f>'Peak Areas'!F193</f>
        <v>0.1</v>
      </c>
      <c r="G197" s="30">
        <f>((1/'Peak Areas'!$G193)*(('Peak Areas'!$H193+('Internal Standard'!$E$10/1000))/'Peak Areas'!$F193)*'Peak Areas'!$J193)*H197</f>
        <v>4.3201651719041397E-2</v>
      </c>
      <c r="H197" s="30">
        <f>(('Internal Standard'!$F$13*('Peak Areas'!G193/'Internal Standard'!$C$10))/'Peak Areas'!AB193)</f>
        <v>1.0165094522127387</v>
      </c>
      <c r="I197" s="30">
        <f>IF('Peak Areas'!L193=0,0,((('Peak Areas'!L193*Coefficients!$G$21+Coefficients!$H$21)*$G197)))</f>
        <v>0</v>
      </c>
      <c r="J197" s="30">
        <f>IF('Peak Areas'!M193=0,0,((('Peak Areas'!M193*Coefficients!$G$20+Coefficients!$H$20)*$G197)))</f>
        <v>0.13352814400485932</v>
      </c>
      <c r="K197" s="30">
        <f>IF('Peak Areas'!N193=0,0,((('Peak Areas'!N193*Coefficients!$G$41+Coefficients!$H$41)*$G197)))</f>
        <v>6.0827759034841264E-2</v>
      </c>
      <c r="L197" s="30">
        <f>IF('Peak Areas'!O193=0,0,((('Peak Areas'!O193*Coefficients!$G$10+Coefficients!$H$10)*$G197)))</f>
        <v>0</v>
      </c>
      <c r="M197" s="30">
        <f>IF('Peak Areas'!P193=0,0,((('Peak Areas'!P193*Coefficients!$G$32+Coefficients!$H$32)*$G197)))</f>
        <v>0.75386687068984926</v>
      </c>
      <c r="N197" s="30">
        <f>IF('Peak Areas'!Q193=0,0,((('Peak Areas'!Q193*Coefficients!$G$11+Coefficients!$H$11)*$G197)))</f>
        <v>0</v>
      </c>
      <c r="O197" s="30">
        <f>IF('Peak Areas'!R193=0,0,((('Peak Areas'!R193*Coefficients!$G$39+Coefficients!$H$39)*$G197)))</f>
        <v>0.15919993484464365</v>
      </c>
      <c r="P197" s="30">
        <f>IF('Peak Areas'!S193=0,0,((('Peak Areas'!S193*Coefficients!$G$46+Coefficients!$H$46)*$G197)))</f>
        <v>0</v>
      </c>
      <c r="Q197" s="30">
        <f>IF('Peak Areas'!T193=0,0,((('Peak Areas'!T193*Coefficients!$G$51+Coefficients!$H$51)*$G197)))</f>
        <v>0.84028988851565178</v>
      </c>
      <c r="R197" s="30">
        <f>IF('Peak Areas'!U193=0,0,((('Peak Areas'!U193*Coefficients!$G$26+Coefficients!$H$26)*$G197)))</f>
        <v>0.28680066792224829</v>
      </c>
      <c r="S197" s="30">
        <f>IF('Peak Areas'!V193=0,0,((('Peak Areas'!V193*Coefficients!$G$13+Coefficients!$H$13)*$G197)))</f>
        <v>0.21018167026027662</v>
      </c>
      <c r="T197" s="30">
        <f>IF('Peak Areas'!W193=0,0,((('Peak Areas'!W193*Coefficients!$G$12+Coefficients!$H$12)*$G197)))</f>
        <v>0.28421922288047852</v>
      </c>
      <c r="U197" s="30">
        <f>IF('Peak Areas'!X193=0,0,((('Peak Areas'!X193*Coefficients!$G$27+Coefficients!$H$27)*$G197)))</f>
        <v>2.7065461317652091E-2</v>
      </c>
      <c r="V197" s="30">
        <f>IF('Peak Areas'!Y193=0,0,((('Peak Areas'!Y193*Coefficients!$G$34+Coefficients!$H$34)*$G197)))</f>
        <v>0.6373642003149067</v>
      </c>
      <c r="W197" s="30">
        <f>IF('Peak Areas'!Z193=0,0,((('Peak Areas'!Z193*Coefficients!$G$52+Coefficients!$H$52)*$G197)))</f>
        <v>0.52538214841185027</v>
      </c>
      <c r="X197" s="30">
        <f>IF('Peak Areas'!AA193=0,0,((('Peak Areas'!AA193*Coefficients!$G$33+Coefficients!$H$33)*$G197)))</f>
        <v>6.8890051708937208E-2</v>
      </c>
      <c r="Y197" s="30">
        <f>IF('Peak Areas'!AC193=0,0,((('Peak Areas'!AC193*Coefficients!$G$19+Coefficients!$H$19)*$G197)))</f>
        <v>0.55105650755561353</v>
      </c>
      <c r="Z197" s="30">
        <f>IF('Peak Areas'!AD193=0,0,((('Peak Areas'!AD193*Coefficients!$G$18+Coefficients!$H$18)*$G197)))</f>
        <v>0.13507732566103586</v>
      </c>
      <c r="AA197" s="30">
        <f>IF('Peak Areas'!AE193=0,0,((('Peak Areas'!AE193*Coefficients!$G$18+Coefficients!$H$18)*$G197)))</f>
        <v>5.6556557059736017</v>
      </c>
      <c r="AB197" s="30">
        <f>IF('Peak Areas'!AF193=0,0,((('Peak Areas'!AF193*Coefficients!$G$18+Coefficients!$H$18)*$G197)))</f>
        <v>0.72986733269370663</v>
      </c>
      <c r="AC197" s="30">
        <f>IF('Peak Areas'!AG193=0,0,((('Peak Areas'!AG193*Coefficients!$G$7+Coefficients!$H$7)*$G197)))</f>
        <v>0</v>
      </c>
      <c r="AD197" s="30">
        <f>IF('Peak Areas'!AH193=0,0,((('Peak Areas'!AH193*Coefficients!$G$6+Coefficients!$H$6)*$G197)))</f>
        <v>0.14085815891321443</v>
      </c>
      <c r="AF197" s="30">
        <f>IF('Peak Areas'!K193=0,0,((('Peak Areas'!K193*Coefficients!$G$22+Coefficients!$H$22)*$G197)))</f>
        <v>5.4552895106306828E-2</v>
      </c>
      <c r="AG197" s="30">
        <f t="shared" si="4"/>
        <v>5.7102086010799082</v>
      </c>
      <c r="AH197" s="30">
        <f t="shared" si="5"/>
        <v>6.5751532594346509</v>
      </c>
    </row>
    <row r="198" spans="1:34" x14ac:dyDescent="0.25">
      <c r="A198" s="2">
        <f>'Peak Areas'!A194</f>
        <v>184</v>
      </c>
      <c r="B198" s="62">
        <f>'Peak Areas'!B194</f>
        <v>45884</v>
      </c>
      <c r="C198" s="2" t="str">
        <f>'Peak Areas'!C194</f>
        <v xml:space="preserve">Q+D high </v>
      </c>
      <c r="D198" s="2">
        <f>'Peak Areas'!D194</f>
        <v>0</v>
      </c>
      <c r="E198" s="2">
        <f>'Peak Areas'!E194</f>
        <v>0</v>
      </c>
      <c r="F198" s="30">
        <f>'Peak Areas'!F194</f>
        <v>0.1</v>
      </c>
      <c r="G198" s="30">
        <f>((1/'Peak Areas'!$G194)*(('Peak Areas'!$H194+('Internal Standard'!$E$10/1000))/'Peak Areas'!$F194)*'Peak Areas'!$J194)*H198</f>
        <v>4.2042383847461076E-2</v>
      </c>
      <c r="H198" s="30">
        <f>(('Internal Standard'!$F$13*('Peak Areas'!G194/'Internal Standard'!$C$10))/'Peak Areas'!AB194)</f>
        <v>0.98923256111673119</v>
      </c>
      <c r="I198" s="30">
        <f>IF('Peak Areas'!L194=0,0,((('Peak Areas'!L194*Coefficients!$G$21+Coefficients!$H$21)*$G198)))</f>
        <v>0</v>
      </c>
      <c r="J198" s="30">
        <f>IF('Peak Areas'!M194=0,0,((('Peak Areas'!M194*Coefficients!$G$20+Coefficients!$H$20)*$G198)))</f>
        <v>7.9746604702663607E-2</v>
      </c>
      <c r="K198" s="30">
        <f>IF('Peak Areas'!N194=0,0,((('Peak Areas'!N194*Coefficients!$G$41+Coefficients!$H$41)*$G198)))</f>
        <v>3.3230010268754225E-2</v>
      </c>
      <c r="L198" s="30">
        <f>IF('Peak Areas'!O194=0,0,((('Peak Areas'!O194*Coefficients!$G$10+Coefficients!$H$10)*$G198)))</f>
        <v>0</v>
      </c>
      <c r="M198" s="30">
        <f>IF('Peak Areas'!P194=0,0,((('Peak Areas'!P194*Coefficients!$G$32+Coefficients!$H$32)*$G198)))</f>
        <v>0.79336676457410271</v>
      </c>
      <c r="N198" s="30">
        <f>IF('Peak Areas'!Q194=0,0,((('Peak Areas'!Q194*Coefficients!$G$11+Coefficients!$H$11)*$G198)))</f>
        <v>0</v>
      </c>
      <c r="O198" s="30">
        <f>IF('Peak Areas'!R194=0,0,((('Peak Areas'!R194*Coefficients!$G$39+Coefficients!$H$39)*$G198)))</f>
        <v>0.1817002593455305</v>
      </c>
      <c r="P198" s="30">
        <f>IF('Peak Areas'!S194=0,0,((('Peak Areas'!S194*Coefficients!$G$46+Coefficients!$H$46)*$G198)))</f>
        <v>0</v>
      </c>
      <c r="Q198" s="30">
        <f>IF('Peak Areas'!T194=0,0,((('Peak Areas'!T194*Coefficients!$G$51+Coefficients!$H$51)*$G198)))</f>
        <v>0.8161732299255352</v>
      </c>
      <c r="R198" s="30">
        <f>IF('Peak Areas'!U194=0,0,((('Peak Areas'!U194*Coefficients!$G$26+Coefficients!$H$26)*$G198)))</f>
        <v>0.28841214134455634</v>
      </c>
      <c r="S198" s="30">
        <f>IF('Peak Areas'!V194=0,0,((('Peak Areas'!V194*Coefficients!$G$13+Coefficients!$H$13)*$G198)))</f>
        <v>0.21764645510929934</v>
      </c>
      <c r="T198" s="30">
        <f>IF('Peak Areas'!W194=0,0,((('Peak Areas'!W194*Coefficients!$G$12+Coefficients!$H$12)*$G198)))</f>
        <v>0.28687927463964086</v>
      </c>
      <c r="U198" s="30">
        <f>IF('Peak Areas'!X194=0,0,((('Peak Areas'!X194*Coefficients!$G$27+Coefficients!$H$27)*$G198)))</f>
        <v>2.921503702550025E-2</v>
      </c>
      <c r="V198" s="30">
        <f>IF('Peak Areas'!Y194=0,0,((('Peak Areas'!Y194*Coefficients!$G$34+Coefficients!$H$34)*$G198)))</f>
        <v>0.61840298051216647</v>
      </c>
      <c r="W198" s="30">
        <f>IF('Peak Areas'!Z194=0,0,((('Peak Areas'!Z194*Coefficients!$G$52+Coefficients!$H$52)*$G198)))</f>
        <v>0.51431818910482097</v>
      </c>
      <c r="X198" s="30">
        <f>IF('Peak Areas'!AA194=0,0,((('Peak Areas'!AA194*Coefficients!$G$33+Coefficients!$H$33)*$G198)))</f>
        <v>6.2384764014120173E-2</v>
      </c>
      <c r="Y198" s="30">
        <f>IF('Peak Areas'!AC194=0,0,((('Peak Areas'!AC194*Coefficients!$G$19+Coefficients!$H$19)*$G198)))</f>
        <v>0.53362440324190408</v>
      </c>
      <c r="Z198" s="30">
        <f>IF('Peak Areas'!AD194=0,0,((('Peak Areas'!AD194*Coefficients!$G$18+Coefficients!$H$18)*$G198)))</f>
        <v>0.14357780993310043</v>
      </c>
      <c r="AA198" s="30">
        <f>IF('Peak Areas'!AE194=0,0,((('Peak Areas'!AE194*Coefficients!$G$18+Coefficients!$H$18)*$G198)))</f>
        <v>5.3907599206793444</v>
      </c>
      <c r="AB198" s="30">
        <f>IF('Peak Areas'!AF194=0,0,((('Peak Areas'!AF194*Coefficients!$G$18+Coefficients!$H$18)*$G198)))</f>
        <v>0.65599262932925351</v>
      </c>
      <c r="AC198" s="30">
        <f>IF('Peak Areas'!AG194=0,0,((('Peak Areas'!AG194*Coefficients!$G$7+Coefficients!$H$7)*$G198)))</f>
        <v>0</v>
      </c>
      <c r="AD198" s="30">
        <f>IF('Peak Areas'!AH194=0,0,((('Peak Areas'!AH194*Coefficients!$G$6+Coefficients!$H$6)*$G198)))</f>
        <v>8.2219326321038774E-2</v>
      </c>
      <c r="AF198" s="30">
        <f>IF('Peak Areas'!K194=0,0,((('Peak Areas'!K194*Coefficients!$G$22+Coefficients!$H$22)*$G198)))</f>
        <v>3.4690026083216412E-2</v>
      </c>
      <c r="AG198" s="30">
        <f t="shared" si="4"/>
        <v>5.4254499467625612</v>
      </c>
      <c r="AH198" s="30">
        <f t="shared" si="5"/>
        <v>6.2250203860249158</v>
      </c>
    </row>
    <row r="199" spans="1:34" x14ac:dyDescent="0.25">
      <c r="A199" s="2">
        <f>'Peak Areas'!A195</f>
        <v>185</v>
      </c>
      <c r="B199" s="62">
        <f>'Peak Areas'!B195</f>
        <v>45884</v>
      </c>
      <c r="C199" s="2" t="str">
        <f>'Peak Areas'!C195</f>
        <v>Q+D low nut</v>
      </c>
      <c r="D199" s="2">
        <f>'Peak Areas'!D195</f>
        <v>0</v>
      </c>
      <c r="E199" s="2">
        <f>'Peak Areas'!E195</f>
        <v>0</v>
      </c>
      <c r="F199" s="30">
        <f>'Peak Areas'!F195</f>
        <v>0.1</v>
      </c>
      <c r="G199" s="30">
        <f>((1/'Peak Areas'!$G195)*(('Peak Areas'!$H195+('Internal Standard'!$E$10/1000))/'Peak Areas'!$F195)*'Peak Areas'!$J195)*H199</f>
        <v>4.2081362058049084E-2</v>
      </c>
      <c r="H199" s="30">
        <f>(('Internal Standard'!$F$13*('Peak Areas'!G195/'Internal Standard'!$C$10))/'Peak Areas'!AB195)</f>
        <v>0.99014969548350784</v>
      </c>
      <c r="I199" s="30">
        <f>IF('Peak Areas'!L195=0,0,((('Peak Areas'!L195*Coefficients!$G$21+Coefficients!$H$21)*$G199)))</f>
        <v>0</v>
      </c>
      <c r="J199" s="30">
        <f>IF('Peak Areas'!M195=0,0,((('Peak Areas'!M195*Coefficients!$G$20+Coefficients!$H$20)*$G199)))</f>
        <v>0.454412792687653</v>
      </c>
      <c r="K199" s="30">
        <f>IF('Peak Areas'!N195=0,0,((('Peak Areas'!N195*Coefficients!$G$41+Coefficients!$H$41)*$G199)))</f>
        <v>8.978084820189608E-2</v>
      </c>
      <c r="L199" s="30">
        <f>IF('Peak Areas'!O195=0,0,((('Peak Areas'!O195*Coefficients!$G$10+Coefficients!$H$10)*$G199)))</f>
        <v>0</v>
      </c>
      <c r="M199" s="30">
        <f>IF('Peak Areas'!P195=0,0,((('Peak Areas'!P195*Coefficients!$G$32+Coefficients!$H$32)*$G199)))</f>
        <v>1.5468212612856804</v>
      </c>
      <c r="N199" s="30">
        <f>IF('Peak Areas'!Q195=0,0,((('Peak Areas'!Q195*Coefficients!$G$11+Coefficients!$H$11)*$G199)))</f>
        <v>0</v>
      </c>
      <c r="O199" s="30">
        <f>IF('Peak Areas'!R195=0,0,((('Peak Areas'!R195*Coefficients!$G$39+Coefficients!$H$39)*$G199)))</f>
        <v>0.49663169432218929</v>
      </c>
      <c r="P199" s="30">
        <f>IF('Peak Areas'!S195=0,0,((('Peak Areas'!S195*Coefficients!$G$46+Coefficients!$H$46)*$G199)))</f>
        <v>0</v>
      </c>
      <c r="Q199" s="30">
        <f>IF('Peak Areas'!T195=0,0,((('Peak Areas'!T195*Coefficients!$G$51+Coefficients!$H$51)*$G199)))</f>
        <v>1.1033078082954983</v>
      </c>
      <c r="R199" s="30">
        <f>IF('Peak Areas'!U195=0,0,((('Peak Areas'!U195*Coefficients!$G$26+Coefficients!$H$26)*$G199)))</f>
        <v>0.43414834689974624</v>
      </c>
      <c r="S199" s="30">
        <f>IF('Peak Areas'!V195=0,0,((('Peak Areas'!V195*Coefficients!$G$13+Coefficients!$H$13)*$G199)))</f>
        <v>0.23245435479904192</v>
      </c>
      <c r="T199" s="30">
        <f>IF('Peak Areas'!W195=0,0,((('Peak Areas'!W195*Coefficients!$G$12+Coefficients!$H$12)*$G199)))</f>
        <v>0.81176432050512792</v>
      </c>
      <c r="U199" s="30">
        <f>IF('Peak Areas'!X195=0,0,((('Peak Areas'!X195*Coefficients!$G$27+Coefficients!$H$27)*$G199)))</f>
        <v>2.71620292648245E-2</v>
      </c>
      <c r="V199" s="30">
        <f>IF('Peak Areas'!Y195=0,0,((('Peak Areas'!Y195*Coefficients!$G$34+Coefficients!$H$34)*$G199)))</f>
        <v>0</v>
      </c>
      <c r="W199" s="30">
        <f>IF('Peak Areas'!Z195=0,0,((('Peak Areas'!Z195*Coefficients!$G$52+Coefficients!$H$52)*$G199)))</f>
        <v>0.63571241150252511</v>
      </c>
      <c r="X199" s="30">
        <f>IF('Peak Areas'!AA195=0,0,((('Peak Areas'!AA195*Coefficients!$G$33+Coefficients!$H$33)*$G199)))</f>
        <v>0.15581331192960468</v>
      </c>
      <c r="Y199" s="30">
        <f>IF('Peak Areas'!AC195=0,0,((('Peak Areas'!AC195*Coefficients!$G$19+Coefficients!$H$19)*$G199)))</f>
        <v>1.5493100139716061</v>
      </c>
      <c r="Z199" s="30">
        <f>IF('Peak Areas'!AD195=0,0,((('Peak Areas'!AD195*Coefficients!$G$18+Coefficients!$H$18)*$G199)))</f>
        <v>0.25081840073437595</v>
      </c>
      <c r="AA199" s="30">
        <f>IF('Peak Areas'!AE195=0,0,((('Peak Areas'!AE195*Coefficients!$G$18+Coefficients!$H$18)*$G199)))</f>
        <v>12.173436984734257</v>
      </c>
      <c r="AB199" s="30">
        <f>IF('Peak Areas'!AF195=0,0,((('Peak Areas'!AF195*Coefficients!$G$18+Coefficients!$H$18)*$G199)))</f>
        <v>1.3555641049409497</v>
      </c>
      <c r="AC199" s="30">
        <f>IF('Peak Areas'!AG195=0,0,((('Peak Areas'!AG195*Coefficients!$G$7+Coefficients!$H$7)*$G199)))</f>
        <v>0</v>
      </c>
      <c r="AD199" s="30">
        <f>IF('Peak Areas'!AH195=0,0,((('Peak Areas'!AH195*Coefficients!$G$6+Coefficients!$H$6)*$G199)))</f>
        <v>0.32173411386314754</v>
      </c>
      <c r="AF199" s="30">
        <f>IF('Peak Areas'!K195=0,0,((('Peak Areas'!K195*Coefficients!$G$22+Coefficients!$H$22)*$G199)))</f>
        <v>0.21437243289756597</v>
      </c>
      <c r="AG199" s="30">
        <f t="shared" si="4"/>
        <v>12.387809417631823</v>
      </c>
      <c r="AH199" s="30">
        <f t="shared" si="5"/>
        <v>13.994191923307149</v>
      </c>
    </row>
    <row r="200" spans="1:34" x14ac:dyDescent="0.25">
      <c r="A200" s="2">
        <f>'Peak Areas'!A196</f>
        <v>186</v>
      </c>
      <c r="B200" s="62">
        <f>'Peak Areas'!B196</f>
        <v>45884</v>
      </c>
      <c r="C200" s="2" t="str">
        <f>'Peak Areas'!C196</f>
        <v>Q+D low nut</v>
      </c>
      <c r="D200" s="2">
        <f>'Peak Areas'!D196</f>
        <v>0</v>
      </c>
      <c r="E200" s="2">
        <f>'Peak Areas'!E196</f>
        <v>0</v>
      </c>
      <c r="F200" s="30">
        <f>'Peak Areas'!F196</f>
        <v>0.1</v>
      </c>
      <c r="G200" s="30">
        <f>((1/'Peak Areas'!$G196)*(('Peak Areas'!$H196+('Internal Standard'!$E$10/1000))/'Peak Areas'!$F196)*'Peak Areas'!$J196)*H200</f>
        <v>4.0197568161090581E-2</v>
      </c>
      <c r="H200" s="30">
        <f>(('Internal Standard'!$F$13*('Peak Areas'!G196/'Internal Standard'!$C$10))/'Peak Areas'!AB196)</f>
        <v>0.94582513320213124</v>
      </c>
      <c r="I200" s="30">
        <f>IF('Peak Areas'!L196=0,0,((('Peak Areas'!L196*Coefficients!$G$21+Coefficients!$H$21)*$G200)))</f>
        <v>0</v>
      </c>
      <c r="J200" s="30">
        <f>IF('Peak Areas'!M196=0,0,((('Peak Areas'!M196*Coefficients!$G$20+Coefficients!$H$20)*$G200)))</f>
        <v>0.42828085235496727</v>
      </c>
      <c r="K200" s="30">
        <f>IF('Peak Areas'!N196=0,0,((('Peak Areas'!N196*Coefficients!$G$41+Coefficients!$H$41)*$G200)))</f>
        <v>9.0357387591823393E-2</v>
      </c>
      <c r="L200" s="30">
        <f>IF('Peak Areas'!O196=0,0,((('Peak Areas'!O196*Coefficients!$G$10+Coefficients!$H$10)*$G200)))</f>
        <v>0</v>
      </c>
      <c r="M200" s="30">
        <f>IF('Peak Areas'!P196=0,0,((('Peak Areas'!P196*Coefficients!$G$32+Coefficients!$H$32)*$G200)))</f>
        <v>1.6044791695473093</v>
      </c>
      <c r="N200" s="30">
        <f>IF('Peak Areas'!Q196=0,0,((('Peak Areas'!Q196*Coefficients!$G$11+Coefficients!$H$11)*$G200)))</f>
        <v>0</v>
      </c>
      <c r="O200" s="30">
        <f>IF('Peak Areas'!R196=0,0,((('Peak Areas'!R196*Coefficients!$G$39+Coefficients!$H$39)*$G200)))</f>
        <v>0.53021365490058592</v>
      </c>
      <c r="P200" s="30">
        <f>IF('Peak Areas'!S196=0,0,((('Peak Areas'!S196*Coefficients!$G$46+Coefficients!$H$46)*$G200)))</f>
        <v>0</v>
      </c>
      <c r="Q200" s="30">
        <f>IF('Peak Areas'!T196=0,0,((('Peak Areas'!T196*Coefficients!$G$51+Coefficients!$H$51)*$G200)))</f>
        <v>1.1386280592470257</v>
      </c>
      <c r="R200" s="30">
        <f>IF('Peak Areas'!U196=0,0,((('Peak Areas'!U196*Coefficients!$G$26+Coefficients!$H$26)*$G200)))</f>
        <v>0.43967106155851893</v>
      </c>
      <c r="S200" s="30">
        <f>IF('Peak Areas'!V196=0,0,((('Peak Areas'!V196*Coefficients!$G$13+Coefficients!$H$13)*$G200)))</f>
        <v>0.22406965010153387</v>
      </c>
      <c r="T200" s="30">
        <f>IF('Peak Areas'!W196=0,0,((('Peak Areas'!W196*Coefficients!$G$12+Coefficients!$H$12)*$G200)))</f>
        <v>0.83354168221779845</v>
      </c>
      <c r="U200" s="30">
        <f>IF('Peak Areas'!X196=0,0,((('Peak Areas'!X196*Coefficients!$G$27+Coefficients!$H$27)*$G200)))</f>
        <v>4.2428984879633404E-2</v>
      </c>
      <c r="V200" s="30">
        <f>IF('Peak Areas'!Y196=0,0,((('Peak Areas'!Y196*Coefficients!$G$34+Coefficients!$H$34)*$G200)))</f>
        <v>1.7268031297191762</v>
      </c>
      <c r="W200" s="30">
        <f>IF('Peak Areas'!Z196=0,0,((('Peak Areas'!Z196*Coefficients!$G$52+Coefficients!$H$52)*$G200)))</f>
        <v>0.65955747950768451</v>
      </c>
      <c r="X200" s="30">
        <f>IF('Peak Areas'!AA196=0,0,((('Peak Areas'!AA196*Coefficients!$G$33+Coefficients!$H$33)*$G200)))</f>
        <v>0.15106443101351918</v>
      </c>
      <c r="Y200" s="30">
        <f>IF('Peak Areas'!AC196=0,0,((('Peak Areas'!AC196*Coefficients!$G$19+Coefficients!$H$19)*$G200)))</f>
        <v>1.6746181507635971</v>
      </c>
      <c r="Z200" s="30">
        <f>IF('Peak Areas'!AD196=0,0,((('Peak Areas'!AD196*Coefficients!$G$18+Coefficients!$H$18)*$G200)))</f>
        <v>0.25066034559973965</v>
      </c>
      <c r="AA200" s="30">
        <f>IF('Peak Areas'!AE196=0,0,((('Peak Areas'!AE196*Coefficients!$G$18+Coefficients!$H$18)*$G200)))</f>
        <v>13.308319482641785</v>
      </c>
      <c r="AB200" s="30">
        <f>IF('Peak Areas'!AF196=0,0,((('Peak Areas'!AF196*Coefficients!$G$18+Coefficients!$H$18)*$G200)))</f>
        <v>1.5277051129318722</v>
      </c>
      <c r="AC200" s="30">
        <f>IF('Peak Areas'!AG196=0,0,((('Peak Areas'!AG196*Coefficients!$G$7+Coefficients!$H$7)*$G200)))</f>
        <v>0</v>
      </c>
      <c r="AD200" s="30">
        <f>IF('Peak Areas'!AH196=0,0,((('Peak Areas'!AH196*Coefficients!$G$6+Coefficients!$H$6)*$G200)))</f>
        <v>0.48131007342600229</v>
      </c>
      <c r="AF200" s="30">
        <f>IF('Peak Areas'!K196=0,0,((('Peak Areas'!K196*Coefficients!$G$22+Coefficients!$H$22)*$G200)))</f>
        <v>0.18047331102705563</v>
      </c>
      <c r="AG200" s="30">
        <f t="shared" si="4"/>
        <v>13.488792793668841</v>
      </c>
      <c r="AH200" s="30">
        <f t="shared" si="5"/>
        <v>15.267158252200453</v>
      </c>
    </row>
    <row r="201" spans="1:34" x14ac:dyDescent="0.25">
      <c r="A201" s="2">
        <f>'Peak Areas'!A197</f>
        <v>187</v>
      </c>
      <c r="B201" s="62">
        <f>'Peak Areas'!B197</f>
        <v>45884</v>
      </c>
      <c r="C201" s="2" t="str">
        <f>'Peak Areas'!C197</f>
        <v>Q+D high nut</v>
      </c>
      <c r="D201" s="2">
        <f>'Peak Areas'!D197</f>
        <v>0</v>
      </c>
      <c r="E201" s="2">
        <f>'Peak Areas'!E197</f>
        <v>0</v>
      </c>
      <c r="F201" s="30">
        <f>'Peak Areas'!F197</f>
        <v>0.1</v>
      </c>
      <c r="G201" s="30">
        <f>((1/'Peak Areas'!$G197)*(('Peak Areas'!$H197+('Internal Standard'!$E$10/1000))/'Peak Areas'!$F197)*'Peak Areas'!$J197)*H201</f>
        <v>3.786527240213057E-2</v>
      </c>
      <c r="H201" s="30">
        <f>(('Internal Standard'!$F$13*('Peak Areas'!G197/'Internal Standard'!$C$10))/'Peak Areas'!AB197)</f>
        <v>0.89094758593248391</v>
      </c>
      <c r="I201" s="30">
        <f>IF('Peak Areas'!L197=0,0,((('Peak Areas'!L197*Coefficients!$G$21+Coefficients!$H$21)*$G201)))</f>
        <v>0</v>
      </c>
      <c r="J201" s="30">
        <f>IF('Peak Areas'!M197=0,0,((('Peak Areas'!M197*Coefficients!$G$20+Coefficients!$H$20)*$G201)))</f>
        <v>0.35824031177913129</v>
      </c>
      <c r="K201" s="30">
        <f>IF('Peak Areas'!N197=0,0,((('Peak Areas'!N197*Coefficients!$G$41+Coefficients!$H$41)*$G201)))</f>
        <v>9.0980912006145387E-2</v>
      </c>
      <c r="L201" s="30">
        <f>IF('Peak Areas'!O197=0,0,((('Peak Areas'!O197*Coefficients!$G$10+Coefficients!$H$10)*$G201)))</f>
        <v>0</v>
      </c>
      <c r="M201" s="30">
        <f>IF('Peak Areas'!P197=0,0,((('Peak Areas'!P197*Coefficients!$G$32+Coefficients!$H$32)*$G201)))</f>
        <v>1.4322855563745331</v>
      </c>
      <c r="N201" s="30">
        <f>IF('Peak Areas'!Q197=0,0,((('Peak Areas'!Q197*Coefficients!$G$11+Coefficients!$H$11)*$G201)))</f>
        <v>0</v>
      </c>
      <c r="O201" s="30">
        <f>IF('Peak Areas'!R197=0,0,((('Peak Areas'!R197*Coefficients!$G$39+Coefficients!$H$39)*$G201)))</f>
        <v>0.50435970823280807</v>
      </c>
      <c r="P201" s="30">
        <f>IF('Peak Areas'!S197=0,0,((('Peak Areas'!S197*Coefficients!$G$46+Coefficients!$H$46)*$G201)))</f>
        <v>0</v>
      </c>
      <c r="Q201" s="30">
        <f>IF('Peak Areas'!T197=0,0,((('Peak Areas'!T197*Coefficients!$G$51+Coefficients!$H$51)*$G201)))</f>
        <v>1.039265166133637</v>
      </c>
      <c r="R201" s="30">
        <f>IF('Peak Areas'!U197=0,0,((('Peak Areas'!U197*Coefficients!$G$26+Coefficients!$H$26)*$G201)))</f>
        <v>0.40648546208105835</v>
      </c>
      <c r="S201" s="30">
        <f>IF('Peak Areas'!V197=0,0,((('Peak Areas'!V197*Coefficients!$G$13+Coefficients!$H$13)*$G201)))</f>
        <v>0.22536669905007814</v>
      </c>
      <c r="T201" s="30">
        <f>IF('Peak Areas'!W197=0,0,((('Peak Areas'!W197*Coefficients!$G$12+Coefficients!$H$12)*$G201)))</f>
        <v>0.70936460750288088</v>
      </c>
      <c r="U201" s="30">
        <f>IF('Peak Areas'!X197=0,0,((('Peak Areas'!X197*Coefficients!$G$27+Coefficients!$H$27)*$G201)))</f>
        <v>3.6422351131077897E-2</v>
      </c>
      <c r="V201" s="30">
        <f>IF('Peak Areas'!Y197=0,0,((('Peak Areas'!Y197*Coefficients!$G$34+Coefficients!$H$34)*$G201)))</f>
        <v>1.661784275747441</v>
      </c>
      <c r="W201" s="30">
        <f>IF('Peak Areas'!Z197=0,0,((('Peak Areas'!Z197*Coefficients!$G$52+Coefficients!$H$52)*$G201)))</f>
        <v>0.65604861074717091</v>
      </c>
      <c r="X201" s="30">
        <f>IF('Peak Areas'!AA197=0,0,((('Peak Areas'!AA197*Coefficients!$G$33+Coefficients!$H$33)*$G201)))</f>
        <v>0.14796826109879752</v>
      </c>
      <c r="Y201" s="30">
        <f>IF('Peak Areas'!AC197=0,0,((('Peak Areas'!AC197*Coefficients!$G$19+Coefficients!$H$19)*$G201)))</f>
        <v>1.599690382325361</v>
      </c>
      <c r="Z201" s="30">
        <f>IF('Peak Areas'!AD197=0,0,((('Peak Areas'!AD197*Coefficients!$G$18+Coefficients!$H$18)*$G201)))</f>
        <v>0.23482926432876411</v>
      </c>
      <c r="AA201" s="30">
        <f>IF('Peak Areas'!AE197=0,0,((('Peak Areas'!AE197*Coefficients!$G$18+Coefficients!$H$18)*$G201)))</f>
        <v>12.458635890825322</v>
      </c>
      <c r="AB201" s="30">
        <f>IF('Peak Areas'!AF197=0,0,((('Peak Areas'!AF197*Coefficients!$G$18+Coefficients!$H$18)*$G201)))</f>
        <v>1.4760242448055048</v>
      </c>
      <c r="AC201" s="30">
        <f>IF('Peak Areas'!AG197=0,0,((('Peak Areas'!AG197*Coefficients!$G$7+Coefficients!$H$7)*$G201)))</f>
        <v>0</v>
      </c>
      <c r="AD201" s="30">
        <f>IF('Peak Areas'!AH197=0,0,((('Peak Areas'!AH197*Coefficients!$G$6+Coefficients!$H$6)*$G201)))</f>
        <v>0.43955252679892098</v>
      </c>
      <c r="AF201" s="30">
        <f>IF('Peak Areas'!K197=0,0,((('Peak Areas'!K197*Coefficients!$G$22+Coefficients!$H$22)*$G201)))</f>
        <v>0.13414303598899394</v>
      </c>
      <c r="AG201" s="30">
        <f t="shared" si="4"/>
        <v>12.592778926814317</v>
      </c>
      <c r="AH201" s="30">
        <f t="shared" si="5"/>
        <v>14.303632435948586</v>
      </c>
    </row>
    <row r="202" spans="1:34" x14ac:dyDescent="0.25">
      <c r="A202" s="2">
        <f>'Peak Areas'!A198</f>
        <v>188</v>
      </c>
      <c r="B202" s="62">
        <f>'Peak Areas'!B198</f>
        <v>45884</v>
      </c>
      <c r="C202" s="2" t="str">
        <f>'Peak Areas'!C198</f>
        <v>Q+D high nut</v>
      </c>
      <c r="D202" s="2">
        <f>'Peak Areas'!D198</f>
        <v>0</v>
      </c>
      <c r="E202" s="2">
        <f>'Peak Areas'!E198</f>
        <v>0</v>
      </c>
      <c r="F202" s="30">
        <f>'Peak Areas'!F198</f>
        <v>0.1</v>
      </c>
      <c r="G202" s="30">
        <f>((1/'Peak Areas'!$G198)*(('Peak Areas'!$H198+('Internal Standard'!$E$10/1000))/'Peak Areas'!$F198)*'Peak Areas'!$J198)*H202</f>
        <v>4.1436506375525109E-2</v>
      </c>
      <c r="H202" s="30">
        <f>(('Internal Standard'!$F$13*('Peak Areas'!G198/'Internal Standard'!$C$10))/'Peak Areas'!AB198)</f>
        <v>0.97497662060059076</v>
      </c>
      <c r="I202" s="30">
        <f>IF('Peak Areas'!L198=0,0,((('Peak Areas'!L198*Coefficients!$G$21+Coefficients!$H$21)*$G202)))</f>
        <v>0</v>
      </c>
      <c r="J202" s="30">
        <f>IF('Peak Areas'!M198=0,0,((('Peak Areas'!M198*Coefficients!$G$20+Coefficients!$H$20)*$G202)))</f>
        <v>0.42504260829729129</v>
      </c>
      <c r="K202" s="30">
        <f>IF('Peak Areas'!N198=0,0,((('Peak Areas'!N198*Coefficients!$G$41+Coefficients!$H$41)*$G202)))</f>
        <v>8.9806815904540621E-2</v>
      </c>
      <c r="L202" s="30">
        <f>IF('Peak Areas'!O198=0,0,((('Peak Areas'!O198*Coefficients!$G$10+Coefficients!$H$10)*$G202)))</f>
        <v>0</v>
      </c>
      <c r="M202" s="30">
        <f>IF('Peak Areas'!P198=0,0,((('Peak Areas'!P198*Coefficients!$G$32+Coefficients!$H$32)*$G202)))</f>
        <v>1.3747916680276131</v>
      </c>
      <c r="N202" s="30">
        <f>IF('Peak Areas'!Q198=0,0,((('Peak Areas'!Q198*Coefficients!$G$11+Coefficients!$H$11)*$G202)))</f>
        <v>0</v>
      </c>
      <c r="O202" s="30">
        <f>IF('Peak Areas'!R198=0,0,((('Peak Areas'!R198*Coefficients!$G$39+Coefficients!$H$39)*$G202)))</f>
        <v>0.47385600312185805</v>
      </c>
      <c r="P202" s="30">
        <f>IF('Peak Areas'!S198=0,0,((('Peak Areas'!S198*Coefficients!$G$46+Coefficients!$H$46)*$G202)))</f>
        <v>0</v>
      </c>
      <c r="Q202" s="30">
        <f>IF('Peak Areas'!T198=0,0,((('Peak Areas'!T198*Coefficients!$G$51+Coefficients!$H$51)*$G202)))</f>
        <v>0.9966681457976595</v>
      </c>
      <c r="R202" s="30">
        <f>IF('Peak Areas'!U198=0,0,((('Peak Areas'!U198*Coefficients!$G$26+Coefficients!$H$26)*$G202)))</f>
        <v>0.40562293863728377</v>
      </c>
      <c r="S202" s="30">
        <f>IF('Peak Areas'!V198=0,0,((('Peak Areas'!V198*Coefficients!$G$13+Coefficients!$H$13)*$G202)))</f>
        <v>0.21319661181323063</v>
      </c>
      <c r="T202" s="30">
        <f>IF('Peak Areas'!W198=0,0,((('Peak Areas'!W198*Coefficients!$G$12+Coefficients!$H$12)*$G202)))</f>
        <v>0.69779117831337822</v>
      </c>
      <c r="U202" s="30">
        <f>IF('Peak Areas'!X198=0,0,((('Peak Areas'!X198*Coefficients!$G$27+Coefficients!$H$27)*$G202)))</f>
        <v>0</v>
      </c>
      <c r="V202" s="30">
        <f>IF('Peak Areas'!Y198=0,0,((('Peak Areas'!Y198*Coefficients!$G$34+Coefficients!$H$34)*$G202)))</f>
        <v>4.7570273563108646E-2</v>
      </c>
      <c r="W202" s="30">
        <f>IF('Peak Areas'!Z198=0,0,((('Peak Areas'!Z198*Coefficients!$G$52+Coefficients!$H$52)*$G202)))</f>
        <v>0.669882518484895</v>
      </c>
      <c r="X202" s="30">
        <f>IF('Peak Areas'!AA198=0,0,((('Peak Areas'!AA198*Coefficients!$G$33+Coefficients!$H$33)*$G202)))</f>
        <v>0.16504025471416181</v>
      </c>
      <c r="Y202" s="30">
        <f>IF('Peak Areas'!AC198=0,0,((('Peak Areas'!AC198*Coefficients!$G$19+Coefficients!$H$19)*$G202)))</f>
        <v>1.5884008769472697</v>
      </c>
      <c r="Z202" s="30">
        <f>IF('Peak Areas'!AD198=0,0,((('Peak Areas'!AD198*Coefficients!$G$18+Coefficients!$H$18)*$G202)))</f>
        <v>0.24325231454421303</v>
      </c>
      <c r="AA202" s="30">
        <f>IF('Peak Areas'!AE198=0,0,((('Peak Areas'!AE198*Coefficients!$G$18+Coefficients!$H$18)*$G202)))</f>
        <v>11.778167829345833</v>
      </c>
      <c r="AB202" s="30">
        <f>IF('Peak Areas'!AF198=0,0,((('Peak Areas'!AF198*Coefficients!$G$18+Coefficients!$H$18)*$G202)))</f>
        <v>1.3930996040180095</v>
      </c>
      <c r="AC202" s="30">
        <f>IF('Peak Areas'!AG198=0,0,((('Peak Areas'!AG198*Coefficients!$G$7+Coefficients!$H$7)*$G202)))</f>
        <v>0</v>
      </c>
      <c r="AD202" s="30">
        <f>IF('Peak Areas'!AH198=0,0,((('Peak Areas'!AH198*Coefficients!$G$6+Coefficients!$H$6)*$G202)))</f>
        <v>0.40788349848317168</v>
      </c>
      <c r="AF202" s="30">
        <f>IF('Peak Areas'!K198=0,0,((('Peak Areas'!K198*Coefficients!$G$22+Coefficients!$H$22)*$G202)))</f>
        <v>0.22411003609516403</v>
      </c>
      <c r="AG202" s="30">
        <f t="shared" si="4"/>
        <v>12.002277865440997</v>
      </c>
      <c r="AH202" s="30">
        <f t="shared" si="5"/>
        <v>13.63862978400322</v>
      </c>
    </row>
  </sheetData>
  <mergeCells count="1">
    <mergeCell ref="A1:H1"/>
  </mergeCells>
  <conditionalFormatting sqref="AH15:AH2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{A1AEBF78-5804-4DE5-9B2D-7496F7B748FF}</x14:id>
        </ext>
      </extLst>
    </cfRule>
  </conditionalFormatting>
  <hyperlinks>
    <hyperlink ref="A5" r:id="rId1" xr:uid="{00000000-0004-0000-0300-000000000000}"/>
    <hyperlink ref="J3:L3" r:id="rId2" display="Protocols and Methods Link" xr:uid="{00000000-0004-0000-0300-000002000000}"/>
    <hyperlink ref="J4:L4" r:id="rId3" display="Technical Description of Methods Link" xr:uid="{00000000-0004-0000-0300-000003000000}"/>
  </hyperlinks>
  <pageMargins left="0.75" right="0.75" top="1" bottom="1" header="0.5" footer="0.5"/>
  <pageSetup orientation="portrait" verticalDpi="300" r:id="rId4"/>
  <drawing r:id="rId5"/>
  <legacy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AEBF78-5804-4DE5-9B2D-7496F7B748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AH15:AH215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5"/>
    <pageSetUpPr fitToPage="1"/>
  </sheetPr>
  <dimension ref="A1:AU11"/>
  <sheetViews>
    <sheetView workbookViewId="0"/>
  </sheetViews>
  <sheetFormatPr defaultColWidth="9.109375" defaultRowHeight="13.2" x14ac:dyDescent="0.25"/>
  <cols>
    <col min="1" max="3" width="8.44140625" style="2" customWidth="1"/>
    <col min="4" max="47" width="8.44140625" style="4" customWidth="1"/>
    <col min="48" max="256" width="8.44140625" style="2" customWidth="1"/>
    <col min="257" max="16384" width="9.109375" style="2"/>
  </cols>
  <sheetData>
    <row r="1" spans="1:47" ht="17.399999999999999" x14ac:dyDescent="0.3">
      <c r="A1" s="68" t="s">
        <v>62</v>
      </c>
    </row>
    <row r="2" spans="1:47" ht="17.399999999999999" x14ac:dyDescent="0.3">
      <c r="A2" s="68"/>
      <c r="D2" s="86" t="s">
        <v>159</v>
      </c>
      <c r="E2" s="4" t="s">
        <v>125</v>
      </c>
    </row>
    <row r="3" spans="1:47" ht="17.399999999999999" x14ac:dyDescent="0.3">
      <c r="A3" s="68"/>
      <c r="D3" s="87" t="s">
        <v>160</v>
      </c>
      <c r="E3" s="4" t="s">
        <v>126</v>
      </c>
    </row>
    <row r="4" spans="1:47" ht="17.399999999999999" x14ac:dyDescent="0.3">
      <c r="A4" s="68"/>
    </row>
    <row r="5" spans="1:47" ht="15" x14ac:dyDescent="0.25">
      <c r="M5" s="88" t="s">
        <v>101</v>
      </c>
      <c r="N5" s="88"/>
      <c r="O5" s="88"/>
    </row>
    <row r="6" spans="1:47" ht="16.8" x14ac:dyDescent="0.25">
      <c r="M6" s="88"/>
      <c r="N6" s="89" t="s">
        <v>156</v>
      </c>
      <c r="O6" s="88"/>
    </row>
    <row r="7" spans="1:47" s="90" customFormat="1" x14ac:dyDescent="0.25">
      <c r="B7" s="91" t="s">
        <v>107</v>
      </c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4"/>
    </row>
    <row r="8" spans="1:47" s="90" customFormat="1" ht="14.4" x14ac:dyDescent="0.3">
      <c r="B8" s="95" t="s">
        <v>88</v>
      </c>
      <c r="C8" s="96"/>
      <c r="D8" s="97" t="s">
        <v>161</v>
      </c>
      <c r="E8" s="97"/>
      <c r="F8" s="97"/>
      <c r="G8" s="97" t="s">
        <v>93</v>
      </c>
      <c r="H8" s="97"/>
      <c r="I8" s="97"/>
      <c r="J8" s="97" t="s">
        <v>6</v>
      </c>
      <c r="K8" s="97"/>
      <c r="L8" s="97"/>
      <c r="M8" s="97" t="s">
        <v>67</v>
      </c>
      <c r="N8" s="97"/>
      <c r="O8" s="97"/>
      <c r="P8" s="97" t="s">
        <v>7</v>
      </c>
      <c r="Q8" s="97"/>
      <c r="R8" s="97"/>
      <c r="S8" s="97" t="s">
        <v>85</v>
      </c>
      <c r="T8" s="97"/>
      <c r="U8" s="97"/>
      <c r="V8" s="97" t="s">
        <v>118</v>
      </c>
      <c r="W8" s="97"/>
      <c r="X8" s="97"/>
      <c r="Y8" s="97" t="s">
        <v>49</v>
      </c>
      <c r="Z8" s="97"/>
      <c r="AA8" s="97"/>
      <c r="AB8" s="97" t="s">
        <v>15</v>
      </c>
      <c r="AC8" s="97"/>
      <c r="AD8" s="97"/>
      <c r="AE8" s="97" t="s">
        <v>52</v>
      </c>
      <c r="AF8" s="97"/>
      <c r="AG8" s="97"/>
      <c r="AH8" s="97" t="s">
        <v>79</v>
      </c>
      <c r="AI8" s="97"/>
      <c r="AJ8" s="97"/>
      <c r="AK8" s="97" t="s">
        <v>121</v>
      </c>
      <c r="AL8" s="97"/>
      <c r="AM8" s="97"/>
      <c r="AN8" s="97" t="s">
        <v>69</v>
      </c>
      <c r="AO8" s="97"/>
      <c r="AP8" s="97"/>
      <c r="AQ8" s="97" t="s">
        <v>29</v>
      </c>
      <c r="AR8" s="97"/>
      <c r="AS8" s="97"/>
      <c r="AT8" s="97" t="s">
        <v>28</v>
      </c>
      <c r="AU8" s="98"/>
    </row>
    <row r="9" spans="1:47" s="23" customFormat="1" ht="14.4" x14ac:dyDescent="0.3">
      <c r="D9" s="86" t="s">
        <v>159</v>
      </c>
      <c r="E9" s="87" t="s">
        <v>160</v>
      </c>
      <c r="F9" s="99"/>
      <c r="G9" s="86" t="s">
        <v>159</v>
      </c>
      <c r="H9" s="87" t="s">
        <v>160</v>
      </c>
      <c r="I9" s="99"/>
      <c r="J9" s="86" t="s">
        <v>159</v>
      </c>
      <c r="K9" s="87" t="s">
        <v>160</v>
      </c>
      <c r="L9" s="99"/>
      <c r="M9" s="86" t="s">
        <v>159</v>
      </c>
      <c r="N9" s="87" t="s">
        <v>160</v>
      </c>
      <c r="O9" s="99"/>
      <c r="P9" s="86" t="s">
        <v>159</v>
      </c>
      <c r="Q9" s="87" t="s">
        <v>160</v>
      </c>
      <c r="R9" s="99"/>
      <c r="S9" s="86" t="s">
        <v>159</v>
      </c>
      <c r="T9" s="87" t="s">
        <v>160</v>
      </c>
      <c r="U9" s="99"/>
      <c r="V9" s="86" t="s">
        <v>159</v>
      </c>
      <c r="W9" s="87" t="s">
        <v>160</v>
      </c>
      <c r="X9" s="99"/>
      <c r="Y9" s="86" t="s">
        <v>159</v>
      </c>
      <c r="Z9" s="87" t="s">
        <v>160</v>
      </c>
      <c r="AA9" s="99"/>
      <c r="AB9" s="86" t="s">
        <v>159</v>
      </c>
      <c r="AC9" s="87" t="s">
        <v>160</v>
      </c>
      <c r="AD9" s="99"/>
      <c r="AE9" s="86" t="s">
        <v>159</v>
      </c>
      <c r="AF9" s="87" t="s">
        <v>160</v>
      </c>
      <c r="AG9" s="99"/>
      <c r="AH9" s="86" t="s">
        <v>159</v>
      </c>
      <c r="AI9" s="87" t="s">
        <v>160</v>
      </c>
      <c r="AJ9" s="99"/>
      <c r="AK9" s="86" t="s">
        <v>159</v>
      </c>
      <c r="AL9" s="87" t="s">
        <v>160</v>
      </c>
      <c r="AM9" s="99"/>
      <c r="AN9" s="86" t="s">
        <v>159</v>
      </c>
      <c r="AO9" s="87" t="s">
        <v>160</v>
      </c>
      <c r="AP9" s="99"/>
      <c r="AQ9" s="86" t="s">
        <v>159</v>
      </c>
      <c r="AR9" s="87" t="s">
        <v>160</v>
      </c>
      <c r="AS9" s="99"/>
      <c r="AT9" s="86" t="s">
        <v>159</v>
      </c>
      <c r="AU9" s="87" t="s">
        <v>160</v>
      </c>
    </row>
    <row r="11" spans="1:47" x14ac:dyDescent="0.25">
      <c r="B11" s="2">
        <f>'Peak Areas'!A11</f>
        <v>1</v>
      </c>
      <c r="D11" s="4">
        <f>((Coefficients!$L$21*('Peak Areas'!$H11+('Internal Standard'!$E$10/1000)))/(('Peak Areas'!$G11/1000)*'Peak Areas'!$F11))/1000</f>
        <v>4.9746019870993618E-3</v>
      </c>
      <c r="E11" s="4">
        <f>((Coefficients!$K$21*('Peak Areas'!$H11+('Internal Standard'!$E$10/1000)))/(('Peak Areas'!$G11/1000)*'Peak Areas'!$F11))/1000</f>
        <v>1.658200662366454E-2</v>
      </c>
      <c r="G11" s="4">
        <f>((Coefficients!$L$41*('Peak Areas'!$H11+('Internal Standard'!$E$10/1000)))/(('Peak Areas'!$G11/1000)*'Peak Areas'!$F11))/1000</f>
        <v>5.4538679835179817E-3</v>
      </c>
      <c r="H11" s="4">
        <f>((Coefficients!$K$41*('Peak Areas'!$H11+('Internal Standard'!$E$10/1000)))/(('Peak Areas'!$G11/1000)*'Peak Areas'!$F11))/1000</f>
        <v>1.8179559945059938E-2</v>
      </c>
      <c r="J11" s="4">
        <f>((Coefficients!$L$10*('Peak Areas'!$H11+('Internal Standard'!$E$10/1000)))/(('Peak Areas'!$G11/1000)*'Peak Areas'!$F11))/1000</f>
        <v>5.4844877140130975E-3</v>
      </c>
      <c r="K11" s="4">
        <f>((Coefficients!$K$10*('Peak Areas'!$H11+('Internal Standard'!$E$10/1000)))/(('Peak Areas'!$G11/1000)*'Peak Areas'!$F11))/1000</f>
        <v>1.8281625713376989E-2</v>
      </c>
      <c r="M11" s="4">
        <f>((Coefficients!$L$32*('Peak Areas'!$H11+('Internal Standard'!$E$10/1000)))/(('Peak Areas'!$G11/1000)*'Peak Areas'!$F11))/1000</f>
        <v>5.7468793598334511E-3</v>
      </c>
      <c r="N11" s="4">
        <f>((Coefficients!$K$32*('Peak Areas'!$H11+('Internal Standard'!$E$10/1000)))/(('Peak Areas'!$G11/1000)*'Peak Areas'!$F11))/1000</f>
        <v>1.9156264532778172E-2</v>
      </c>
      <c r="P11" s="4">
        <f>((Coefficients!$L$11*('Peak Areas'!$H11+('Internal Standard'!$E$10/1000)))/(('Peak Areas'!$G11/1000)*'Peak Areas'!$F11))/1000</f>
        <v>4.2169084829497532E-3</v>
      </c>
      <c r="Q11" s="4">
        <f>((Coefficients!$K$11*('Peak Areas'!$H11+('Internal Standard'!$E$10/1000)))/(('Peak Areas'!$G11/1000)*'Peak Areas'!$F11))/1000</f>
        <v>1.4056361609832512E-2</v>
      </c>
      <c r="S11" s="4">
        <f>((Coefficients!$L$39*('Peak Areas'!$H11+('Internal Standard'!$E$10/1000)))/(('Peak Areas'!$G11/1000)*'Peak Areas'!$F11))/1000</f>
        <v>3.2217796364957703E-3</v>
      </c>
      <c r="T11" s="4">
        <f>((Coefficients!$K$39*('Peak Areas'!$H11+('Internal Standard'!$E$10/1000)))/(('Peak Areas'!$G11/1000)*'Peak Areas'!$F11))/1000</f>
        <v>1.0739265454985901E-2</v>
      </c>
      <c r="V11" s="4">
        <f>((Coefficients!$L$51*('Peak Areas'!$H11+('Internal Standard'!$E$10/1000)))/(('Peak Areas'!$G11/1000)*'Peak Areas'!$F11))/1000</f>
        <v>4.4575654388605244E-3</v>
      </c>
      <c r="W11" s="4">
        <f>((Coefficients!$K$51*('Peak Areas'!$H11+('Internal Standard'!$E$10/1000)))/(('Peak Areas'!$G11/1000)*'Peak Areas'!$F11))/1000</f>
        <v>1.4858551462868418E-2</v>
      </c>
      <c r="Y11" s="4">
        <f>((Coefficients!$L$26*('Peak Areas'!$H11+('Internal Standard'!$E$10/1000)))/(('Peak Areas'!$G11/1000)*'Peak Areas'!$F11))/1000</f>
        <v>3.8426527772746702E-3</v>
      </c>
      <c r="Z11" s="4">
        <f>((Coefficients!$K$26*('Peak Areas'!$H11+('Internal Standard'!$E$10/1000)))/(('Peak Areas'!$G11/1000)*'Peak Areas'!$F11))/1000</f>
        <v>1.2808842590915569E-2</v>
      </c>
      <c r="AB11" s="4">
        <f>((Coefficients!$L$12*('Peak Areas'!$H11+('Internal Standard'!$E$10/1000)))/(('Peak Areas'!$G11/1000)*'Peak Areas'!$F11))/1000</f>
        <v>4.0114078874095077E-3</v>
      </c>
      <c r="AC11" s="4">
        <f>((Coefficients!$K$12*('Peak Areas'!$H11+('Internal Standard'!$E$10/1000)))/(('Peak Areas'!$G11/1000)*'Peak Areas'!$F11))/1000</f>
        <v>1.3371359624698362E-2</v>
      </c>
      <c r="AE11" s="4">
        <f>((Coefficients!$L$27*('Peak Areas'!$H11+('Internal Standard'!$E$10/1000)))/(('Peak Areas'!$G11/1000)*'Peak Areas'!$F11))/1000</f>
        <v>4.8505875495978073E-3</v>
      </c>
      <c r="AF11" s="4">
        <f>((Coefficients!$K$27*('Peak Areas'!$H11+('Internal Standard'!$E$10/1000)))/(('Peak Areas'!$G11/1000)*'Peak Areas'!$F11))/1000</f>
        <v>1.6168625165326023E-2</v>
      </c>
      <c r="AH11" s="4">
        <f>((Coefficients!$L$34*('Peak Areas'!$H11+('Internal Standard'!$E$10/1000)))/(('Peak Areas'!$G11/1000)*'Peak Areas'!$F11))/1000</f>
        <v>3.7009766939939117E-3</v>
      </c>
      <c r="AI11" s="4">
        <f>((Coefficients!$K$34*('Peak Areas'!$H11+('Internal Standard'!$E$10/1000)))/(('Peak Areas'!$G11/1000)*'Peak Areas'!$F11))/1000</f>
        <v>1.2336588979979706E-2</v>
      </c>
      <c r="AK11" s="4">
        <f>((Coefficients!$L$52*('Peak Areas'!$H11+('Internal Standard'!$E$10/1000)))/(('Peak Areas'!$G11/1000)*'Peak Areas'!$F11))/1000</f>
        <v>4.864457463249477E-3</v>
      </c>
      <c r="AL11" s="4">
        <f>((Coefficients!$K$52*('Peak Areas'!$H11+('Internal Standard'!$E$10/1000)))/(('Peak Areas'!$G11/1000)*'Peak Areas'!$F11))/1000</f>
        <v>1.621485821083159E-2</v>
      </c>
      <c r="AN11" s="4">
        <f>((Coefficients!$L$33*('Peak Areas'!$H11+('Internal Standard'!$E$10/1000)))/(('Peak Areas'!$G11/1000)*'Peak Areas'!$F11))/1000</f>
        <v>3.8460429096201596E-3</v>
      </c>
      <c r="AO11" s="4">
        <f>((Coefficients!$K$33*('Peak Areas'!$H11+('Internal Standard'!$E$10/1000)))/(('Peak Areas'!$G11/1000)*'Peak Areas'!$F11))/1000</f>
        <v>1.2820143032067199E-2</v>
      </c>
      <c r="AQ11" s="4">
        <f>((Coefficients!$L$19*('Peak Areas'!$H11+('Internal Standard'!$E$10/1000)))/(('Peak Areas'!$G11/1000)*'Peak Areas'!$F11))/1000</f>
        <v>1.7394708320766186E-2</v>
      </c>
      <c r="AR11" s="4">
        <f>((Coefficients!$K$19*('Peak Areas'!$H11+('Internal Standard'!$E$10/1000)))/(('Peak Areas'!$G11/1000)*'Peak Areas'!$F11))/1000</f>
        <v>5.7982361069220618E-2</v>
      </c>
      <c r="AT11" s="4">
        <f>((Coefficients!$L$18*('Peak Areas'!$H11+('Internal Standard'!$E$10/1000)))/(('Peak Areas'!$G11/1000)*'Peak Areas'!$F11))/1000</f>
        <v>1.374122997448903E-2</v>
      </c>
      <c r="AU11" s="4">
        <f>((Coefficients!$K$18*('Peak Areas'!$H11+('Internal Standard'!$E$10/1000)))/(('Peak Areas'!$G11/1000)*'Peak Areas'!$F11))/1000</f>
        <v>4.5804099914963439E-2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Coefficients</vt:lpstr>
      <vt:lpstr>Internal Standard</vt:lpstr>
      <vt:lpstr>Peak Areas</vt:lpstr>
      <vt:lpstr>ug_liter</vt:lpstr>
      <vt:lpstr>Detection Limits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Pinckney</dc:creator>
  <cp:lastModifiedBy>Cat Schlenker</cp:lastModifiedBy>
  <dcterms:created xsi:type="dcterms:W3CDTF">2012-02-03T19:24:55Z</dcterms:created>
  <dcterms:modified xsi:type="dcterms:W3CDTF">2026-03-04T14:18:30Z</dcterms:modified>
</cp:coreProperties>
</file>