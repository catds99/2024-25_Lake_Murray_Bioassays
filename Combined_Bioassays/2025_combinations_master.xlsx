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795f5e3347afba5/Desktop/Dissertation/Lake_Murray/2024-25_Lake_Murray_Bioassays/Combined_Bioassays/"/>
    </mc:Choice>
  </mc:AlternateContent>
  <xr:revisionPtr revIDLastSave="2422" documentId="8_{44E9C83B-B51A-41DF-A541-4EF01DA29DBA}" xr6:coauthVersionLast="47" xr6:coauthVersionMax="47" xr10:uidLastSave="{4181C8FF-C8A6-4EA4-BA89-16783D14FA72}"/>
  <bookViews>
    <workbookView xWindow="-108" yWindow="-108" windowWidth="23256" windowHeight="13896" firstSheet="2" activeTab="4" xr2:uid="{7970D31B-D252-4A7D-9D19-9A81574FAEE7}"/>
  </bookViews>
  <sheets>
    <sheet name="Carb_RFU" sheetId="1" r:id="rId1"/>
    <sheet name="Carb_standardcurve" sheetId="7" r:id="rId2"/>
    <sheet name="Carb_Biomass" sheetId="2" r:id="rId3"/>
    <sheet name="Carb_PAM" sheetId="3" r:id="rId4"/>
    <sheet name="Dic_RFU" sheetId="4" r:id="rId5"/>
    <sheet name="Dic_standardcurve" sheetId="8" r:id="rId6"/>
    <sheet name="Dic_Biomass" sheetId="5" r:id="rId7"/>
    <sheet name="Dic_PAM" sheetId="6" r:id="rId8"/>
    <sheet name="PFOS_RFU" sheetId="21" r:id="rId9"/>
    <sheet name="PFOS_standardcurve" sheetId="22" r:id="rId10"/>
    <sheet name="PFOS_Biomass" sheetId="23" r:id="rId11"/>
    <sheet name="PFOS_PAM" sheetId="24" r:id="rId12"/>
    <sheet name="Q_RFU" sheetId="25" r:id="rId13"/>
    <sheet name="Q_standardcurve" sheetId="26" r:id="rId14"/>
    <sheet name="Q_biomass" sheetId="27" r:id="rId15"/>
    <sheet name="Q_PAM" sheetId="28" r:id="rId16"/>
    <sheet name="all_FvFm" sheetId="9" r:id="rId17"/>
    <sheet name="all_pd" sheetId="29" r:id="rId18"/>
    <sheet name="all_delta" sheetId="30" r:id="rId19"/>
    <sheet name="all_pd_delta" sheetId="31" r:id="rId20"/>
    <sheet name="all_PAM" sheetId="32" r:id="rId21"/>
  </sheets>
  <externalReferences>
    <externalReference r:id="rId2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69" i="4" l="1"/>
  <c r="AK53" i="4"/>
  <c r="AK32" i="4"/>
  <c r="AK20" i="4"/>
  <c r="AH28" i="4"/>
  <c r="AH51" i="4"/>
  <c r="AH72" i="4"/>
  <c r="AK71" i="4"/>
  <c r="AK61" i="4"/>
  <c r="AK50" i="4"/>
  <c r="AH52" i="4"/>
  <c r="AH53" i="4"/>
  <c r="AH54" i="4"/>
  <c r="AH55" i="4"/>
  <c r="AH56" i="4"/>
  <c r="AH57" i="4"/>
  <c r="AH58" i="4"/>
  <c r="AH59" i="4"/>
  <c r="AH60" i="4"/>
  <c r="AH61" i="4"/>
  <c r="AH62" i="4"/>
  <c r="AH63" i="4"/>
  <c r="AH64" i="4"/>
  <c r="AH65" i="4"/>
  <c r="AH66" i="4"/>
  <c r="AH67" i="4"/>
  <c r="AH68" i="4"/>
  <c r="AH69" i="4"/>
  <c r="AH70" i="4"/>
  <c r="AH71" i="4"/>
  <c r="AH73" i="4"/>
  <c r="AH74" i="4"/>
  <c r="AH75" i="4"/>
  <c r="AH76" i="4"/>
  <c r="AH77" i="4"/>
  <c r="AH78" i="4"/>
  <c r="AH79" i="4"/>
  <c r="AH80" i="4"/>
  <c r="AH81" i="4"/>
  <c r="AH50" i="4"/>
  <c r="AH31" i="4"/>
  <c r="AH18" i="4"/>
  <c r="AE16" i="4"/>
  <c r="AA24" i="4"/>
  <c r="AA55" i="4"/>
  <c r="X62" i="4"/>
  <c r="X18" i="4"/>
  <c r="AL51" i="2"/>
  <c r="AL52" i="2"/>
  <c r="AL53" i="2"/>
  <c r="AL54" i="2"/>
  <c r="AL55" i="2"/>
  <c r="AL56" i="2"/>
  <c r="AL57" i="2"/>
  <c r="AL58" i="2"/>
  <c r="AL59" i="2"/>
  <c r="AL60" i="2"/>
  <c r="AL61" i="2"/>
  <c r="AL62" i="2"/>
  <c r="AL63" i="2"/>
  <c r="AL64" i="2"/>
  <c r="AL65" i="2"/>
  <c r="AL66" i="2"/>
  <c r="AL67" i="2"/>
  <c r="AL68" i="2"/>
  <c r="AL69" i="2"/>
  <c r="AL70" i="2"/>
  <c r="AL71" i="2"/>
  <c r="AL72" i="2"/>
  <c r="AL73" i="2"/>
  <c r="AL74" i="2"/>
  <c r="AL75" i="2"/>
  <c r="AL76" i="2"/>
  <c r="AL77" i="2"/>
  <c r="AL78" i="2"/>
  <c r="AL79" i="2"/>
  <c r="AL80" i="2"/>
  <c r="AL81" i="2"/>
  <c r="AL50" i="2"/>
  <c r="AL28" i="2"/>
  <c r="AE2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50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18" i="1"/>
  <c r="AL20" i="2"/>
  <c r="X18" i="21"/>
  <c r="AA44" i="21"/>
  <c r="AA80" i="21"/>
  <c r="X55" i="21"/>
  <c r="X25" i="21"/>
  <c r="AH76" i="21"/>
  <c r="AK76" i="21"/>
  <c r="AK50" i="21"/>
  <c r="AK28" i="21"/>
  <c r="AK18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7" i="21"/>
  <c r="AH78" i="21"/>
  <c r="AH79" i="21"/>
  <c r="AH80" i="21"/>
  <c r="AH81" i="21"/>
  <c r="AH50" i="21"/>
  <c r="AH43" i="21"/>
  <c r="AH18" i="21"/>
  <c r="AE30" i="21"/>
  <c r="AA49" i="21"/>
  <c r="AA72" i="21"/>
  <c r="X51" i="21"/>
  <c r="AK73" i="23"/>
  <c r="AK50" i="23"/>
  <c r="AK22" i="23"/>
  <c r="AL22" i="23"/>
  <c r="AH65" i="23"/>
  <c r="AH51" i="23"/>
  <c r="AH52" i="23"/>
  <c r="AH53" i="23"/>
  <c r="AH54" i="23"/>
  <c r="AH55" i="23"/>
  <c r="AH56" i="23"/>
  <c r="AH57" i="23"/>
  <c r="AH58" i="23"/>
  <c r="AH59" i="23"/>
  <c r="AH60" i="23"/>
  <c r="AH61" i="23"/>
  <c r="AH62" i="23"/>
  <c r="AH63" i="23"/>
  <c r="AH64" i="23"/>
  <c r="AH66" i="23"/>
  <c r="AH67" i="23"/>
  <c r="AH68" i="23"/>
  <c r="AH69" i="23"/>
  <c r="AH70" i="23"/>
  <c r="AH71" i="23"/>
  <c r="AH72" i="23"/>
  <c r="AH73" i="23"/>
  <c r="AH74" i="23"/>
  <c r="AH75" i="23"/>
  <c r="AH76" i="23"/>
  <c r="AH77" i="23"/>
  <c r="AH78" i="23"/>
  <c r="AH79" i="23"/>
  <c r="AH80" i="23"/>
  <c r="AH81" i="23"/>
  <c r="AH50" i="23"/>
  <c r="AH32" i="23"/>
  <c r="AH18" i="23"/>
  <c r="AE3" i="23"/>
  <c r="AE4" i="23"/>
  <c r="AE5" i="23"/>
  <c r="AE6" i="23"/>
  <c r="AE7" i="23"/>
  <c r="AE8" i="23"/>
  <c r="AE9" i="23"/>
  <c r="AE10" i="23"/>
  <c r="AE11" i="23"/>
  <c r="AG10" i="23" s="1"/>
  <c r="AE12" i="23"/>
  <c r="AE13" i="23"/>
  <c r="AE14" i="23"/>
  <c r="AG14" i="23" s="1"/>
  <c r="AE15" i="23"/>
  <c r="AE16" i="23"/>
  <c r="AE17" i="23"/>
  <c r="AE18" i="23"/>
  <c r="AG18" i="23" s="1"/>
  <c r="AE19" i="23"/>
  <c r="AE20" i="23"/>
  <c r="AE21" i="23"/>
  <c r="AE22" i="23"/>
  <c r="AE23" i="23"/>
  <c r="AE24" i="23"/>
  <c r="AE25" i="23"/>
  <c r="AE26" i="23"/>
  <c r="AE27" i="23"/>
  <c r="AE28" i="23"/>
  <c r="AE29" i="23"/>
  <c r="AE30" i="23"/>
  <c r="AE31" i="23"/>
  <c r="AE32" i="23"/>
  <c r="AE33" i="23"/>
  <c r="AE34" i="23"/>
  <c r="AE35" i="23"/>
  <c r="AE36" i="23"/>
  <c r="AF34" i="23" s="1"/>
  <c r="AE37" i="23"/>
  <c r="AE38" i="23"/>
  <c r="AE39" i="23"/>
  <c r="AE40" i="23"/>
  <c r="AE41" i="23"/>
  <c r="AE42" i="23"/>
  <c r="AG42" i="23" s="1"/>
  <c r="AE43" i="23"/>
  <c r="AE44" i="23"/>
  <c r="AE45" i="23"/>
  <c r="AE46" i="23"/>
  <c r="AE47" i="23"/>
  <c r="AE48" i="23"/>
  <c r="AE49" i="23"/>
  <c r="AE50" i="23"/>
  <c r="AE51" i="23"/>
  <c r="AG50" i="23" s="1"/>
  <c r="AE52" i="23"/>
  <c r="AE53" i="23"/>
  <c r="AE54" i="23"/>
  <c r="AF54" i="23" s="1"/>
  <c r="AE55" i="23"/>
  <c r="AE56" i="23"/>
  <c r="AE57" i="23"/>
  <c r="AE58" i="23"/>
  <c r="AG58" i="23" s="1"/>
  <c r="AE59" i="23"/>
  <c r="AE60" i="23"/>
  <c r="AE61" i="23"/>
  <c r="AE62" i="23"/>
  <c r="AF62" i="23" s="1"/>
  <c r="AE63" i="23"/>
  <c r="AE64" i="23"/>
  <c r="AE65" i="23"/>
  <c r="AE66" i="23"/>
  <c r="AE67" i="23"/>
  <c r="AE68" i="23"/>
  <c r="AE69" i="23"/>
  <c r="AE70" i="23"/>
  <c r="AE71" i="23"/>
  <c r="AE72" i="23"/>
  <c r="AE73" i="23"/>
  <c r="AE74" i="23"/>
  <c r="AF74" i="23" s="1"/>
  <c r="AE75" i="23"/>
  <c r="AE76" i="23"/>
  <c r="AE77" i="23"/>
  <c r="AE78" i="23"/>
  <c r="AE79" i="23"/>
  <c r="AE80" i="23"/>
  <c r="AE81" i="23"/>
  <c r="AE2" i="23"/>
  <c r="AA51" i="23"/>
  <c r="AA52" i="23"/>
  <c r="AA53" i="23"/>
  <c r="AA54" i="23"/>
  <c r="AA55" i="23"/>
  <c r="AA56" i="23"/>
  <c r="AA57" i="23"/>
  <c r="AA58" i="23"/>
  <c r="AA59" i="23"/>
  <c r="AA60" i="23"/>
  <c r="AA61" i="23"/>
  <c r="AA62" i="23"/>
  <c r="AC62" i="23" s="1"/>
  <c r="AA63" i="23"/>
  <c r="AA64" i="23"/>
  <c r="AA65" i="23"/>
  <c r="AA66" i="23"/>
  <c r="AA67" i="23"/>
  <c r="AA68" i="23"/>
  <c r="AA69" i="23"/>
  <c r="AA70" i="23"/>
  <c r="AA71" i="23"/>
  <c r="AA72" i="23"/>
  <c r="AA73" i="23"/>
  <c r="AA74" i="23"/>
  <c r="AA75" i="23"/>
  <c r="AA76" i="23"/>
  <c r="AA77" i="23"/>
  <c r="AA78" i="23"/>
  <c r="AA79" i="23"/>
  <c r="AA80" i="23"/>
  <c r="AA81" i="23"/>
  <c r="AA50" i="23"/>
  <c r="AA19" i="23"/>
  <c r="AA20" i="23"/>
  <c r="AA21" i="23"/>
  <c r="AA22" i="23"/>
  <c r="AA23" i="23"/>
  <c r="AA24" i="23"/>
  <c r="AA25" i="23"/>
  <c r="AA26" i="23"/>
  <c r="AA27" i="23"/>
  <c r="AA28" i="23"/>
  <c r="AA29" i="23"/>
  <c r="AA30" i="23"/>
  <c r="AA31" i="23"/>
  <c r="AA32" i="23"/>
  <c r="AA33" i="23"/>
  <c r="AA34" i="23"/>
  <c r="AA35" i="23"/>
  <c r="AA36" i="23"/>
  <c r="AA37" i="23"/>
  <c r="AA38" i="23"/>
  <c r="AA39" i="23"/>
  <c r="AA40" i="23"/>
  <c r="AA41" i="23"/>
  <c r="AA42" i="23"/>
  <c r="AA43" i="23"/>
  <c r="AA44" i="23"/>
  <c r="AA45" i="23"/>
  <c r="AA46" i="23"/>
  <c r="AA47" i="23"/>
  <c r="AA48" i="23"/>
  <c r="AA49" i="23"/>
  <c r="AA18" i="23"/>
  <c r="X81" i="23"/>
  <c r="X51" i="23"/>
  <c r="X52" i="23"/>
  <c r="X53" i="23"/>
  <c r="X54" i="23"/>
  <c r="X55" i="23"/>
  <c r="X56" i="23"/>
  <c r="X57" i="23"/>
  <c r="X58" i="23"/>
  <c r="X59" i="23"/>
  <c r="X60" i="23"/>
  <c r="X61" i="23"/>
  <c r="X62" i="23"/>
  <c r="X63" i="23"/>
  <c r="X64" i="23"/>
  <c r="X65" i="23"/>
  <c r="X66" i="23"/>
  <c r="X67" i="23"/>
  <c r="X68" i="23"/>
  <c r="X69" i="23"/>
  <c r="X70" i="23"/>
  <c r="X71" i="23"/>
  <c r="X72" i="23"/>
  <c r="X73" i="23"/>
  <c r="X74" i="23"/>
  <c r="X75" i="23"/>
  <c r="X76" i="23"/>
  <c r="X77" i="23"/>
  <c r="X78" i="23"/>
  <c r="X79" i="23"/>
  <c r="X80" i="23"/>
  <c r="X50" i="23"/>
  <c r="X19" i="23"/>
  <c r="X20" i="23"/>
  <c r="X21" i="23"/>
  <c r="X22" i="23"/>
  <c r="X23" i="23"/>
  <c r="X24" i="23"/>
  <c r="X25" i="23"/>
  <c r="X26" i="23"/>
  <c r="X27" i="23"/>
  <c r="X28" i="23"/>
  <c r="X29" i="23"/>
  <c r="X30" i="23"/>
  <c r="X31" i="23"/>
  <c r="X32" i="23"/>
  <c r="X33" i="23"/>
  <c r="X34" i="23"/>
  <c r="X35" i="23"/>
  <c r="X36" i="23"/>
  <c r="X37" i="23"/>
  <c r="X38" i="23"/>
  <c r="X39" i="23"/>
  <c r="X40" i="23"/>
  <c r="X41" i="23"/>
  <c r="X42" i="23"/>
  <c r="X43" i="23"/>
  <c r="X44" i="23"/>
  <c r="X45" i="23"/>
  <c r="X46" i="23"/>
  <c r="X47" i="23"/>
  <c r="X48" i="23"/>
  <c r="X49" i="23"/>
  <c r="X18" i="23"/>
  <c r="U78" i="23"/>
  <c r="W78" i="23"/>
  <c r="V78" i="23"/>
  <c r="T78" i="23"/>
  <c r="S78" i="23"/>
  <c r="R78" i="23"/>
  <c r="Q78" i="23"/>
  <c r="P78" i="23"/>
  <c r="W74" i="23"/>
  <c r="V74" i="23"/>
  <c r="U74" i="23"/>
  <c r="T74" i="23"/>
  <c r="S74" i="23"/>
  <c r="R74" i="23"/>
  <c r="Q74" i="23"/>
  <c r="P74" i="23"/>
  <c r="W70" i="23"/>
  <c r="V70" i="23"/>
  <c r="U70" i="23"/>
  <c r="T70" i="23"/>
  <c r="S70" i="23"/>
  <c r="R70" i="23"/>
  <c r="Q70" i="23"/>
  <c r="P70" i="23"/>
  <c r="W66" i="23"/>
  <c r="V66" i="23"/>
  <c r="U66" i="23"/>
  <c r="T66" i="23"/>
  <c r="S66" i="23"/>
  <c r="R66" i="23"/>
  <c r="Q66" i="23"/>
  <c r="P66" i="23"/>
  <c r="W62" i="23"/>
  <c r="V62" i="23"/>
  <c r="U62" i="23"/>
  <c r="T62" i="23"/>
  <c r="S62" i="23"/>
  <c r="R62" i="23"/>
  <c r="Q62" i="23"/>
  <c r="P62" i="23"/>
  <c r="W58" i="23"/>
  <c r="V58" i="23"/>
  <c r="U58" i="23"/>
  <c r="T58" i="23"/>
  <c r="S58" i="23"/>
  <c r="R58" i="23"/>
  <c r="Q58" i="23"/>
  <c r="P58" i="23"/>
  <c r="W54" i="23"/>
  <c r="V54" i="23"/>
  <c r="U54" i="23"/>
  <c r="T54" i="23"/>
  <c r="S54" i="23"/>
  <c r="R54" i="23"/>
  <c r="Q54" i="23"/>
  <c r="P54" i="23"/>
  <c r="W50" i="23"/>
  <c r="V50" i="23"/>
  <c r="U50" i="23"/>
  <c r="T50" i="23"/>
  <c r="S50" i="23"/>
  <c r="R50" i="23"/>
  <c r="Q50" i="23"/>
  <c r="P50" i="23"/>
  <c r="W46" i="23"/>
  <c r="V46" i="23"/>
  <c r="U46" i="23"/>
  <c r="T46" i="23"/>
  <c r="S46" i="23"/>
  <c r="R46" i="23"/>
  <c r="Q46" i="23"/>
  <c r="P46" i="23"/>
  <c r="W42" i="23"/>
  <c r="V42" i="23"/>
  <c r="U42" i="23"/>
  <c r="T42" i="23"/>
  <c r="S42" i="23"/>
  <c r="R42" i="23"/>
  <c r="Q42" i="23"/>
  <c r="P42" i="23"/>
  <c r="W38" i="23"/>
  <c r="V38" i="23"/>
  <c r="U38" i="23"/>
  <c r="T38" i="23"/>
  <c r="S38" i="23"/>
  <c r="R38" i="23"/>
  <c r="Q38" i="23"/>
  <c r="P38" i="23"/>
  <c r="W34" i="23"/>
  <c r="V34" i="23"/>
  <c r="U34" i="23"/>
  <c r="T34" i="23"/>
  <c r="S34" i="23"/>
  <c r="R34" i="23"/>
  <c r="Q34" i="23"/>
  <c r="P34" i="23"/>
  <c r="W30" i="23"/>
  <c r="V30" i="23"/>
  <c r="U30" i="23"/>
  <c r="T30" i="23"/>
  <c r="S30" i="23"/>
  <c r="R30" i="23"/>
  <c r="Q30" i="23"/>
  <c r="P30" i="23"/>
  <c r="W26" i="23"/>
  <c r="V26" i="23"/>
  <c r="U26" i="23"/>
  <c r="T26" i="23"/>
  <c r="S26" i="23"/>
  <c r="R26" i="23"/>
  <c r="Q26" i="23"/>
  <c r="P26" i="23"/>
  <c r="W22" i="23"/>
  <c r="V22" i="23"/>
  <c r="U22" i="23"/>
  <c r="T22" i="23"/>
  <c r="S22" i="23"/>
  <c r="R22" i="23"/>
  <c r="Q22" i="23"/>
  <c r="P22" i="23"/>
  <c r="W18" i="23"/>
  <c r="V18" i="23"/>
  <c r="U18" i="23"/>
  <c r="T18" i="23"/>
  <c r="S18" i="23"/>
  <c r="R18" i="23"/>
  <c r="Q18" i="23"/>
  <c r="P18" i="23"/>
  <c r="W14" i="23"/>
  <c r="V14" i="23"/>
  <c r="U14" i="23"/>
  <c r="T14" i="23"/>
  <c r="S14" i="23"/>
  <c r="R14" i="23"/>
  <c r="Q14" i="23"/>
  <c r="P14" i="23"/>
  <c r="W10" i="23"/>
  <c r="V10" i="23"/>
  <c r="U10" i="23"/>
  <c r="T10" i="23"/>
  <c r="S10" i="23"/>
  <c r="R10" i="23"/>
  <c r="Q10" i="23"/>
  <c r="P10" i="23"/>
  <c r="W6" i="23"/>
  <c r="V6" i="23"/>
  <c r="U6" i="23"/>
  <c r="T6" i="23"/>
  <c r="S6" i="23"/>
  <c r="R6" i="23"/>
  <c r="Q6" i="23"/>
  <c r="P6" i="23"/>
  <c r="U2" i="23"/>
  <c r="V2" i="23"/>
  <c r="W2" i="23"/>
  <c r="T2" i="23"/>
  <c r="Q2" i="23"/>
  <c r="R2" i="23"/>
  <c r="S2" i="23"/>
  <c r="P2" i="23"/>
  <c r="AG66" i="23"/>
  <c r="AG46" i="23"/>
  <c r="AH47" i="23"/>
  <c r="AF46" i="23"/>
  <c r="AH34" i="23"/>
  <c r="AH30" i="23"/>
  <c r="AH28" i="23"/>
  <c r="AG26" i="23"/>
  <c r="AH24" i="23"/>
  <c r="AF22" i="23"/>
  <c r="AH22" i="23"/>
  <c r="AF6" i="23"/>
  <c r="AF2" i="23"/>
  <c r="AG2" i="23"/>
  <c r="AH80" i="1"/>
  <c r="AH67" i="1"/>
  <c r="AH28" i="1"/>
  <c r="AH18" i="1"/>
  <c r="AE13" i="1"/>
  <c r="AA68" i="1"/>
  <c r="AA18" i="1"/>
  <c r="X76" i="1"/>
  <c r="X25" i="1"/>
  <c r="P14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1" i="1"/>
  <c r="AH50" i="1"/>
  <c r="AH43" i="1"/>
  <c r="AH26" i="1"/>
  <c r="AL19" i="2"/>
  <c r="AL21" i="2"/>
  <c r="AL22" i="2"/>
  <c r="AL23" i="2"/>
  <c r="AL24" i="2"/>
  <c r="AL25" i="2"/>
  <c r="AL26" i="2"/>
  <c r="AL27" i="2"/>
  <c r="AL29" i="2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18" i="2"/>
  <c r="AI23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50" i="2"/>
  <c r="AI19" i="2"/>
  <c r="AI20" i="2"/>
  <c r="AI21" i="2"/>
  <c r="AI22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18" i="2"/>
  <c r="Y18" i="2"/>
  <c r="Y78" i="2"/>
  <c r="AF75" i="2"/>
  <c r="AF3" i="2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G18" i="2" s="1"/>
  <c r="AF19" i="2"/>
  <c r="AF20" i="2"/>
  <c r="AF21" i="2"/>
  <c r="AF22" i="2"/>
  <c r="AG22" i="2" s="1"/>
  <c r="AF23" i="2"/>
  <c r="AF24" i="2"/>
  <c r="AF25" i="2"/>
  <c r="AF26" i="2"/>
  <c r="AF27" i="2"/>
  <c r="AF28" i="2"/>
  <c r="AF29" i="2"/>
  <c r="AF30" i="2"/>
  <c r="AH30" i="2" s="1"/>
  <c r="AF31" i="2"/>
  <c r="AF32" i="2"/>
  <c r="AF33" i="2"/>
  <c r="AF34" i="2"/>
  <c r="AF35" i="2"/>
  <c r="AF36" i="2"/>
  <c r="AF37" i="2"/>
  <c r="AF38" i="2"/>
  <c r="AG38" i="2" s="1"/>
  <c r="AF39" i="2"/>
  <c r="AF40" i="2"/>
  <c r="AF41" i="2"/>
  <c r="AF42" i="2"/>
  <c r="AG42" i="2" s="1"/>
  <c r="AF43" i="2"/>
  <c r="AF44" i="2"/>
  <c r="AF45" i="2"/>
  <c r="AF46" i="2"/>
  <c r="AF47" i="2"/>
  <c r="AF48" i="2"/>
  <c r="AF49" i="2"/>
  <c r="AF50" i="2"/>
  <c r="AF51" i="2"/>
  <c r="AF52" i="2"/>
  <c r="AF53" i="2"/>
  <c r="AF54" i="2"/>
  <c r="AF55" i="2"/>
  <c r="AF56" i="2"/>
  <c r="AF57" i="2"/>
  <c r="AG54" i="2" s="1"/>
  <c r="AF58" i="2"/>
  <c r="AF59" i="2"/>
  <c r="AF60" i="2"/>
  <c r="AF61" i="2"/>
  <c r="AF62" i="2"/>
  <c r="AF63" i="2"/>
  <c r="AF64" i="2"/>
  <c r="AF65" i="2"/>
  <c r="AF66" i="2"/>
  <c r="AF67" i="2"/>
  <c r="AF68" i="2"/>
  <c r="AF69" i="2"/>
  <c r="AF70" i="2"/>
  <c r="AF71" i="2"/>
  <c r="AF72" i="2"/>
  <c r="AF73" i="2"/>
  <c r="AF74" i="2"/>
  <c r="AF76" i="2"/>
  <c r="AF77" i="2"/>
  <c r="AF78" i="2"/>
  <c r="AF79" i="2"/>
  <c r="AF80" i="2"/>
  <c r="AF81" i="2"/>
  <c r="AF2" i="2"/>
  <c r="AB80" i="2"/>
  <c r="AB51" i="2"/>
  <c r="AB52" i="2"/>
  <c r="AB53" i="2"/>
  <c r="AB54" i="2"/>
  <c r="AB55" i="2"/>
  <c r="AB56" i="2"/>
  <c r="AB57" i="2"/>
  <c r="AB58" i="2"/>
  <c r="AB59" i="2"/>
  <c r="AB60" i="2"/>
  <c r="AB61" i="2"/>
  <c r="AB62" i="2"/>
  <c r="AB63" i="2"/>
  <c r="AB64" i="2"/>
  <c r="AB65" i="2"/>
  <c r="AB66" i="2"/>
  <c r="AB67" i="2"/>
  <c r="AB68" i="2"/>
  <c r="AB69" i="2"/>
  <c r="AB70" i="2"/>
  <c r="AB71" i="2"/>
  <c r="AB72" i="2"/>
  <c r="AB73" i="2"/>
  <c r="AB74" i="2"/>
  <c r="AB75" i="2"/>
  <c r="AB76" i="2"/>
  <c r="AB77" i="2"/>
  <c r="AB78" i="2"/>
  <c r="AB79" i="2"/>
  <c r="AB81" i="2"/>
  <c r="AB50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18" i="2"/>
  <c r="Y75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64" i="2"/>
  <c r="Y65" i="2"/>
  <c r="Y66" i="2"/>
  <c r="Y67" i="2"/>
  <c r="Y68" i="2"/>
  <c r="Y69" i="2"/>
  <c r="Y70" i="2"/>
  <c r="Y71" i="2"/>
  <c r="Y72" i="2"/>
  <c r="Y73" i="2"/>
  <c r="Y74" i="2"/>
  <c r="Y76" i="2"/>
  <c r="Y77" i="2"/>
  <c r="Y79" i="2"/>
  <c r="Y80" i="2"/>
  <c r="Y81" i="2"/>
  <c r="Y50" i="2"/>
  <c r="Y39" i="2"/>
  <c r="Y49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40" i="2"/>
  <c r="Y41" i="2"/>
  <c r="Y42" i="2"/>
  <c r="Y43" i="2"/>
  <c r="Y44" i="2"/>
  <c r="Y45" i="2"/>
  <c r="Y46" i="2"/>
  <c r="Y47" i="2"/>
  <c r="Y48" i="2"/>
  <c r="U74" i="2"/>
  <c r="X78" i="2"/>
  <c r="W78" i="2"/>
  <c r="V78" i="2"/>
  <c r="U78" i="2"/>
  <c r="X74" i="2"/>
  <c r="W74" i="2"/>
  <c r="V74" i="2"/>
  <c r="X70" i="2"/>
  <c r="W70" i="2"/>
  <c r="V70" i="2"/>
  <c r="U70" i="2"/>
  <c r="X66" i="2"/>
  <c r="W66" i="2"/>
  <c r="V66" i="2"/>
  <c r="U66" i="2"/>
  <c r="X62" i="2"/>
  <c r="W62" i="2"/>
  <c r="V62" i="2"/>
  <c r="U62" i="2"/>
  <c r="X58" i="2"/>
  <c r="W58" i="2"/>
  <c r="V58" i="2"/>
  <c r="U58" i="2"/>
  <c r="X54" i="2"/>
  <c r="W54" i="2"/>
  <c r="V54" i="2"/>
  <c r="U54" i="2"/>
  <c r="X50" i="2"/>
  <c r="W50" i="2"/>
  <c r="V50" i="2"/>
  <c r="U50" i="2"/>
  <c r="X46" i="2"/>
  <c r="W46" i="2"/>
  <c r="V46" i="2"/>
  <c r="U46" i="2"/>
  <c r="X42" i="2"/>
  <c r="W42" i="2"/>
  <c r="V42" i="2"/>
  <c r="U42" i="2"/>
  <c r="X38" i="2"/>
  <c r="W38" i="2"/>
  <c r="V38" i="2"/>
  <c r="U38" i="2"/>
  <c r="X34" i="2"/>
  <c r="W34" i="2"/>
  <c r="V34" i="2"/>
  <c r="U34" i="2"/>
  <c r="X30" i="2"/>
  <c r="W30" i="2"/>
  <c r="V30" i="2"/>
  <c r="U30" i="2"/>
  <c r="X26" i="2"/>
  <c r="W26" i="2"/>
  <c r="V26" i="2"/>
  <c r="U26" i="2"/>
  <c r="X22" i="2"/>
  <c r="W22" i="2"/>
  <c r="V22" i="2"/>
  <c r="U22" i="2"/>
  <c r="X18" i="2"/>
  <c r="W18" i="2"/>
  <c r="V18" i="2"/>
  <c r="U18" i="2"/>
  <c r="X14" i="2"/>
  <c r="W14" i="2"/>
  <c r="V14" i="2"/>
  <c r="U14" i="2"/>
  <c r="X10" i="2"/>
  <c r="W10" i="2"/>
  <c r="V10" i="2"/>
  <c r="U10" i="2"/>
  <c r="X6" i="2"/>
  <c r="W6" i="2"/>
  <c r="V6" i="2"/>
  <c r="U6" i="2"/>
  <c r="X2" i="2"/>
  <c r="W2" i="2"/>
  <c r="V2" i="2"/>
  <c r="U2" i="2"/>
  <c r="T78" i="2"/>
  <c r="S78" i="2"/>
  <c r="R78" i="2"/>
  <c r="Q78" i="2"/>
  <c r="T74" i="2"/>
  <c r="S74" i="2"/>
  <c r="R74" i="2"/>
  <c r="Q74" i="2"/>
  <c r="T70" i="2"/>
  <c r="S70" i="2"/>
  <c r="R70" i="2"/>
  <c r="Q70" i="2"/>
  <c r="T66" i="2"/>
  <c r="S66" i="2"/>
  <c r="R66" i="2"/>
  <c r="Q66" i="2"/>
  <c r="T62" i="2"/>
  <c r="S62" i="2"/>
  <c r="R62" i="2"/>
  <c r="Q62" i="2"/>
  <c r="T58" i="2"/>
  <c r="S58" i="2"/>
  <c r="R58" i="2"/>
  <c r="Q58" i="2"/>
  <c r="T54" i="2"/>
  <c r="S54" i="2"/>
  <c r="R54" i="2"/>
  <c r="Q54" i="2"/>
  <c r="T50" i="2"/>
  <c r="S50" i="2"/>
  <c r="R50" i="2"/>
  <c r="Q50" i="2"/>
  <c r="T46" i="2"/>
  <c r="S46" i="2"/>
  <c r="R46" i="2"/>
  <c r="Q46" i="2"/>
  <c r="T42" i="2"/>
  <c r="S42" i="2"/>
  <c r="R42" i="2"/>
  <c r="Q42" i="2"/>
  <c r="T38" i="2"/>
  <c r="S38" i="2"/>
  <c r="R38" i="2"/>
  <c r="Q38" i="2"/>
  <c r="T34" i="2"/>
  <c r="S34" i="2"/>
  <c r="R34" i="2"/>
  <c r="Q34" i="2"/>
  <c r="T30" i="2"/>
  <c r="S30" i="2"/>
  <c r="R30" i="2"/>
  <c r="Q30" i="2"/>
  <c r="T26" i="2"/>
  <c r="S26" i="2"/>
  <c r="R26" i="2"/>
  <c r="Q26" i="2"/>
  <c r="T22" i="2"/>
  <c r="S22" i="2"/>
  <c r="R22" i="2"/>
  <c r="Q22" i="2"/>
  <c r="T18" i="2"/>
  <c r="S18" i="2"/>
  <c r="R18" i="2"/>
  <c r="Q18" i="2"/>
  <c r="T14" i="2"/>
  <c r="S14" i="2"/>
  <c r="R14" i="2"/>
  <c r="Q14" i="2"/>
  <c r="T10" i="2"/>
  <c r="S10" i="2"/>
  <c r="R10" i="2"/>
  <c r="Q10" i="2"/>
  <c r="Q6" i="2"/>
  <c r="T6" i="2"/>
  <c r="S6" i="2"/>
  <c r="R6" i="2"/>
  <c r="T2" i="2"/>
  <c r="R2" i="2"/>
  <c r="S2" i="2"/>
  <c r="Q2" i="2"/>
  <c r="AH70" i="2"/>
  <c r="AG70" i="2"/>
  <c r="AH66" i="2"/>
  <c r="AH50" i="2"/>
  <c r="AG50" i="2"/>
  <c r="AH46" i="2"/>
  <c r="AH34" i="2"/>
  <c r="AH26" i="2"/>
  <c r="AG14" i="2"/>
  <c r="AH10" i="2"/>
  <c r="AG10" i="2"/>
  <c r="AG6" i="2"/>
  <c r="AG2" i="2"/>
  <c r="X18" i="25"/>
  <c r="AK63" i="27"/>
  <c r="AH74" i="27"/>
  <c r="AK18" i="27"/>
  <c r="AH24" i="27"/>
  <c r="AH18" i="27"/>
  <c r="AF10" i="27"/>
  <c r="AF6" i="27"/>
  <c r="AE3" i="27"/>
  <c r="AE4" i="27"/>
  <c r="AE5" i="27"/>
  <c r="AE6" i="27"/>
  <c r="AE7" i="27"/>
  <c r="AE8" i="27"/>
  <c r="AE9" i="27"/>
  <c r="AE10" i="27"/>
  <c r="AG10" i="27" s="1"/>
  <c r="AE11" i="27"/>
  <c r="AE12" i="27"/>
  <c r="AE13" i="27"/>
  <c r="AE14" i="27"/>
  <c r="AG14" i="27" s="1"/>
  <c r="AE15" i="27"/>
  <c r="AE16" i="27"/>
  <c r="AE17" i="27"/>
  <c r="AE18" i="27"/>
  <c r="AG18" i="27" s="1"/>
  <c r="AE19" i="27"/>
  <c r="AE20" i="27"/>
  <c r="AE21" i="27"/>
  <c r="AE22" i="27"/>
  <c r="AE23" i="27"/>
  <c r="AE24" i="27"/>
  <c r="AE25" i="27"/>
  <c r="AE26" i="27"/>
  <c r="AE27" i="27"/>
  <c r="AE28" i="27"/>
  <c r="AE29" i="27"/>
  <c r="AE30" i="27"/>
  <c r="AG30" i="27" s="1"/>
  <c r="AE31" i="27"/>
  <c r="AE32" i="27"/>
  <c r="AE33" i="27"/>
  <c r="AE34" i="27"/>
  <c r="AG34" i="27" s="1"/>
  <c r="AE35" i="27"/>
  <c r="AE36" i="27"/>
  <c r="AE37" i="27"/>
  <c r="AE38" i="27"/>
  <c r="AE39" i="27"/>
  <c r="AE40" i="27"/>
  <c r="AE41" i="27"/>
  <c r="AE42" i="27"/>
  <c r="AE43" i="27"/>
  <c r="AE44" i="27"/>
  <c r="AE45" i="27"/>
  <c r="AE46" i="27"/>
  <c r="AE47" i="27"/>
  <c r="AE48" i="27"/>
  <c r="AE49" i="27"/>
  <c r="AE50" i="27"/>
  <c r="AE51" i="27"/>
  <c r="AE52" i="27"/>
  <c r="AE53" i="27"/>
  <c r="AE54" i="27"/>
  <c r="AE55" i="27"/>
  <c r="AE56" i="27"/>
  <c r="AE57" i="27"/>
  <c r="AE58" i="27"/>
  <c r="AE59" i="27"/>
  <c r="AG58" i="27" s="1"/>
  <c r="AE60" i="27"/>
  <c r="AF58" i="27" s="1"/>
  <c r="AE61" i="27"/>
  <c r="AE62" i="27"/>
  <c r="AE63" i="27"/>
  <c r="AE64" i="27"/>
  <c r="AE65" i="27"/>
  <c r="AE66" i="27"/>
  <c r="AE67" i="27"/>
  <c r="AE68" i="27"/>
  <c r="AE69" i="27"/>
  <c r="AE70" i="27"/>
  <c r="AE71" i="27"/>
  <c r="AE72" i="27"/>
  <c r="AE73" i="27"/>
  <c r="AE74" i="27"/>
  <c r="AE75" i="27"/>
  <c r="AE76" i="27"/>
  <c r="AE77" i="27"/>
  <c r="AE78" i="27"/>
  <c r="AG78" i="27" s="1"/>
  <c r="AE79" i="27"/>
  <c r="AE80" i="27"/>
  <c r="AE81" i="27"/>
  <c r="AE2" i="27"/>
  <c r="AA81" i="27"/>
  <c r="AA51" i="27"/>
  <c r="AA52" i="27"/>
  <c r="AA53" i="27"/>
  <c r="AA54" i="27"/>
  <c r="AA55" i="27"/>
  <c r="AA56" i="27"/>
  <c r="AA57" i="27"/>
  <c r="AA58" i="27"/>
  <c r="AA59" i="27"/>
  <c r="AA60" i="27"/>
  <c r="AA61" i="27"/>
  <c r="AA62" i="27"/>
  <c r="AA63" i="27"/>
  <c r="AA64" i="27"/>
  <c r="AA65" i="27"/>
  <c r="AA66" i="27"/>
  <c r="AA67" i="27"/>
  <c r="AA68" i="27"/>
  <c r="AA69" i="27"/>
  <c r="AA70" i="27"/>
  <c r="AB70" i="27" s="1"/>
  <c r="AA71" i="27"/>
  <c r="AA72" i="27"/>
  <c r="AA73" i="27"/>
  <c r="AA74" i="27"/>
  <c r="AA75" i="27"/>
  <c r="AA76" i="27"/>
  <c r="AA77" i="27"/>
  <c r="AA78" i="27"/>
  <c r="AA79" i="27"/>
  <c r="AA80" i="27"/>
  <c r="AA50" i="27"/>
  <c r="AA19" i="27"/>
  <c r="AA20" i="27"/>
  <c r="AA21" i="27"/>
  <c r="AA22" i="27"/>
  <c r="AA23" i="27"/>
  <c r="AA24" i="27"/>
  <c r="AA25" i="27"/>
  <c r="AA26" i="27"/>
  <c r="AA27" i="27"/>
  <c r="AA28" i="27"/>
  <c r="AA29" i="27"/>
  <c r="AA30" i="27"/>
  <c r="AA31" i="27"/>
  <c r="AA32" i="27"/>
  <c r="AA33" i="27"/>
  <c r="AA34" i="27"/>
  <c r="AA35" i="27"/>
  <c r="AA36" i="27"/>
  <c r="AA37" i="27"/>
  <c r="AA38" i="27"/>
  <c r="AA39" i="27"/>
  <c r="AA40" i="27"/>
  <c r="AA41" i="27"/>
  <c r="AA42" i="27"/>
  <c r="AA43" i="27"/>
  <c r="AA44" i="27"/>
  <c r="AA45" i="27"/>
  <c r="AA46" i="27"/>
  <c r="AA47" i="27"/>
  <c r="AA48" i="27"/>
  <c r="AA49" i="27"/>
  <c r="AA18" i="27"/>
  <c r="Y78" i="27"/>
  <c r="X81" i="27"/>
  <c r="X51" i="27"/>
  <c r="X52" i="27"/>
  <c r="X53" i="27"/>
  <c r="X54" i="27"/>
  <c r="X55" i="27"/>
  <c r="X56" i="27"/>
  <c r="X57" i="27"/>
  <c r="X58" i="27"/>
  <c r="X59" i="27"/>
  <c r="X60" i="27"/>
  <c r="X61" i="27"/>
  <c r="X62" i="27"/>
  <c r="X63" i="27"/>
  <c r="X64" i="27"/>
  <c r="X65" i="27"/>
  <c r="X66" i="27"/>
  <c r="X67" i="27"/>
  <c r="X68" i="27"/>
  <c r="X69" i="27"/>
  <c r="X70" i="27"/>
  <c r="X71" i="27"/>
  <c r="X72" i="27"/>
  <c r="X73" i="27"/>
  <c r="X74" i="27"/>
  <c r="X75" i="27"/>
  <c r="X76" i="27"/>
  <c r="X77" i="27"/>
  <c r="X78" i="27"/>
  <c r="X79" i="27"/>
  <c r="X80" i="27"/>
  <c r="X50" i="27"/>
  <c r="X49" i="27"/>
  <c r="X22" i="27"/>
  <c r="X23" i="27"/>
  <c r="X24" i="27"/>
  <c r="X25" i="27"/>
  <c r="X26" i="27"/>
  <c r="X27" i="27"/>
  <c r="X28" i="27"/>
  <c r="X29" i="27"/>
  <c r="X30" i="27"/>
  <c r="X31" i="27"/>
  <c r="X32" i="27"/>
  <c r="X33" i="27"/>
  <c r="X34" i="27"/>
  <c r="X35" i="27"/>
  <c r="X36" i="27"/>
  <c r="X37" i="27"/>
  <c r="X38" i="27"/>
  <c r="X39" i="27"/>
  <c r="X40" i="27"/>
  <c r="X41" i="27"/>
  <c r="X42" i="27"/>
  <c r="X43" i="27"/>
  <c r="X44" i="27"/>
  <c r="X45" i="27"/>
  <c r="X46" i="27"/>
  <c r="X47" i="27"/>
  <c r="X48" i="27"/>
  <c r="X19" i="27"/>
  <c r="X20" i="27"/>
  <c r="X21" i="27"/>
  <c r="X18" i="27"/>
  <c r="T78" i="27"/>
  <c r="W78" i="27"/>
  <c r="V78" i="27"/>
  <c r="U78" i="27"/>
  <c r="W74" i="27"/>
  <c r="V74" i="27"/>
  <c r="U74" i="27"/>
  <c r="T74" i="27"/>
  <c r="W70" i="27"/>
  <c r="V70" i="27"/>
  <c r="U70" i="27"/>
  <c r="T70" i="27"/>
  <c r="W66" i="27"/>
  <c r="V66" i="27"/>
  <c r="U66" i="27"/>
  <c r="T66" i="27"/>
  <c r="W62" i="27"/>
  <c r="V62" i="27"/>
  <c r="U62" i="27"/>
  <c r="T62" i="27"/>
  <c r="W58" i="27"/>
  <c r="V58" i="27"/>
  <c r="U58" i="27"/>
  <c r="T58" i="27"/>
  <c r="W54" i="27"/>
  <c r="V54" i="27"/>
  <c r="U54" i="27"/>
  <c r="T54" i="27"/>
  <c r="W50" i="27"/>
  <c r="V50" i="27"/>
  <c r="U50" i="27"/>
  <c r="T50" i="27"/>
  <c r="W46" i="27"/>
  <c r="V46" i="27"/>
  <c r="U46" i="27"/>
  <c r="T46" i="27"/>
  <c r="W42" i="27"/>
  <c r="V42" i="27"/>
  <c r="U42" i="27"/>
  <c r="T42" i="27"/>
  <c r="W38" i="27"/>
  <c r="V38" i="27"/>
  <c r="U38" i="27"/>
  <c r="T38" i="27"/>
  <c r="W34" i="27"/>
  <c r="V34" i="27"/>
  <c r="U34" i="27"/>
  <c r="T34" i="27"/>
  <c r="W30" i="27"/>
  <c r="V30" i="27"/>
  <c r="U30" i="27"/>
  <c r="T30" i="27"/>
  <c r="W26" i="27"/>
  <c r="V26" i="27"/>
  <c r="U26" i="27"/>
  <c r="T26" i="27"/>
  <c r="W22" i="27"/>
  <c r="V22" i="27"/>
  <c r="U22" i="27"/>
  <c r="T22" i="27"/>
  <c r="W18" i="27"/>
  <c r="V18" i="27"/>
  <c r="U18" i="27"/>
  <c r="T18" i="27"/>
  <c r="W14" i="27"/>
  <c r="V14" i="27"/>
  <c r="U14" i="27"/>
  <c r="T14" i="27"/>
  <c r="W10" i="27"/>
  <c r="V10" i="27"/>
  <c r="U10" i="27"/>
  <c r="T10" i="27"/>
  <c r="W6" i="27"/>
  <c r="V6" i="27"/>
  <c r="U6" i="27"/>
  <c r="T6" i="27"/>
  <c r="S78" i="27"/>
  <c r="R78" i="27"/>
  <c r="Q78" i="27"/>
  <c r="P78" i="27"/>
  <c r="S74" i="27"/>
  <c r="R74" i="27"/>
  <c r="Q74" i="27"/>
  <c r="P74" i="27"/>
  <c r="S70" i="27"/>
  <c r="R70" i="27"/>
  <c r="Q70" i="27"/>
  <c r="P70" i="27"/>
  <c r="S66" i="27"/>
  <c r="R66" i="27"/>
  <c r="Q66" i="27"/>
  <c r="P66" i="27"/>
  <c r="S62" i="27"/>
  <c r="R62" i="27"/>
  <c r="Q62" i="27"/>
  <c r="P62" i="27"/>
  <c r="S58" i="27"/>
  <c r="R58" i="27"/>
  <c r="Q58" i="27"/>
  <c r="P58" i="27"/>
  <c r="S54" i="27"/>
  <c r="R54" i="27"/>
  <c r="Q54" i="27"/>
  <c r="P54" i="27"/>
  <c r="S50" i="27"/>
  <c r="R50" i="27"/>
  <c r="Q50" i="27"/>
  <c r="P50" i="27"/>
  <c r="S46" i="27"/>
  <c r="R46" i="27"/>
  <c r="Q46" i="27"/>
  <c r="P46" i="27"/>
  <c r="S42" i="27"/>
  <c r="R42" i="27"/>
  <c r="Q42" i="27"/>
  <c r="P42" i="27"/>
  <c r="S38" i="27"/>
  <c r="R38" i="27"/>
  <c r="Q38" i="27"/>
  <c r="P38" i="27"/>
  <c r="S34" i="27"/>
  <c r="R34" i="27"/>
  <c r="Q34" i="27"/>
  <c r="P34" i="27"/>
  <c r="S30" i="27"/>
  <c r="R30" i="27"/>
  <c r="Q30" i="27"/>
  <c r="P30" i="27"/>
  <c r="S26" i="27"/>
  <c r="R26" i="27"/>
  <c r="Q26" i="27"/>
  <c r="P26" i="27"/>
  <c r="S22" i="27"/>
  <c r="R22" i="27"/>
  <c r="Q22" i="27"/>
  <c r="P22" i="27"/>
  <c r="S18" i="27"/>
  <c r="R18" i="27"/>
  <c r="Q18" i="27"/>
  <c r="P18" i="27"/>
  <c r="S14" i="27"/>
  <c r="R14" i="27"/>
  <c r="Q14" i="27"/>
  <c r="P14" i="27"/>
  <c r="S10" i="27"/>
  <c r="R10" i="27"/>
  <c r="Q10" i="27"/>
  <c r="P10" i="27"/>
  <c r="P6" i="27"/>
  <c r="S6" i="27"/>
  <c r="R6" i="27"/>
  <c r="Q6" i="27"/>
  <c r="T2" i="27"/>
  <c r="U2" i="27"/>
  <c r="V2" i="27"/>
  <c r="W2" i="27"/>
  <c r="Q2" i="27"/>
  <c r="R2" i="27"/>
  <c r="S2" i="27"/>
  <c r="P2" i="27"/>
  <c r="AC74" i="27"/>
  <c r="AB74" i="27"/>
  <c r="AG54" i="27"/>
  <c r="AG38" i="27"/>
  <c r="AG6" i="27"/>
  <c r="AG2" i="27"/>
  <c r="J81" i="27"/>
  <c r="J3" i="27"/>
  <c r="K3" i="27"/>
  <c r="L3" i="27"/>
  <c r="M3" i="27"/>
  <c r="J4" i="27"/>
  <c r="K4" i="27"/>
  <c r="L4" i="27"/>
  <c r="M4" i="27"/>
  <c r="J5" i="27"/>
  <c r="K5" i="27"/>
  <c r="L5" i="27"/>
  <c r="M5" i="27"/>
  <c r="J6" i="27"/>
  <c r="K6" i="27"/>
  <c r="L6" i="27"/>
  <c r="M6" i="27"/>
  <c r="J7" i="27"/>
  <c r="K7" i="27"/>
  <c r="L7" i="27"/>
  <c r="M7" i="27"/>
  <c r="J8" i="27"/>
  <c r="K8" i="27"/>
  <c r="L8" i="27"/>
  <c r="M8" i="27"/>
  <c r="J9" i="27"/>
  <c r="K9" i="27"/>
  <c r="L9" i="27"/>
  <c r="M9" i="27"/>
  <c r="J10" i="27"/>
  <c r="K10" i="27"/>
  <c r="L10" i="27"/>
  <c r="M10" i="27"/>
  <c r="J11" i="27"/>
  <c r="K11" i="27"/>
  <c r="L11" i="27"/>
  <c r="M11" i="27"/>
  <c r="J12" i="27"/>
  <c r="K12" i="27"/>
  <c r="L12" i="27"/>
  <c r="M12" i="27"/>
  <c r="J13" i="27"/>
  <c r="K13" i="27"/>
  <c r="L13" i="27"/>
  <c r="M13" i="27"/>
  <c r="J14" i="27"/>
  <c r="K14" i="27"/>
  <c r="L14" i="27"/>
  <c r="M14" i="27"/>
  <c r="J15" i="27"/>
  <c r="K15" i="27"/>
  <c r="L15" i="27"/>
  <c r="M15" i="27"/>
  <c r="J16" i="27"/>
  <c r="K16" i="27"/>
  <c r="L16" i="27"/>
  <c r="M16" i="27"/>
  <c r="J17" i="27"/>
  <c r="K17" i="27"/>
  <c r="L17" i="27"/>
  <c r="M17" i="27"/>
  <c r="J18" i="27"/>
  <c r="K18" i="27"/>
  <c r="L18" i="27"/>
  <c r="M18" i="27"/>
  <c r="J19" i="27"/>
  <c r="K19" i="27"/>
  <c r="L19" i="27"/>
  <c r="M19" i="27"/>
  <c r="J20" i="27"/>
  <c r="K20" i="27"/>
  <c r="L20" i="27"/>
  <c r="M20" i="27"/>
  <c r="J21" i="27"/>
  <c r="K21" i="27"/>
  <c r="L21" i="27"/>
  <c r="M21" i="27"/>
  <c r="J22" i="27"/>
  <c r="K22" i="27"/>
  <c r="L22" i="27"/>
  <c r="M22" i="27"/>
  <c r="J23" i="27"/>
  <c r="K23" i="27"/>
  <c r="L23" i="27"/>
  <c r="M23" i="27"/>
  <c r="J24" i="27"/>
  <c r="K24" i="27"/>
  <c r="L24" i="27"/>
  <c r="M24" i="27"/>
  <c r="J25" i="27"/>
  <c r="K25" i="27"/>
  <c r="L25" i="27"/>
  <c r="M25" i="27"/>
  <c r="J26" i="27"/>
  <c r="K26" i="27"/>
  <c r="L26" i="27"/>
  <c r="M26" i="27"/>
  <c r="J27" i="27"/>
  <c r="K27" i="27"/>
  <c r="L27" i="27"/>
  <c r="M27" i="27"/>
  <c r="J28" i="27"/>
  <c r="K28" i="27"/>
  <c r="L28" i="27"/>
  <c r="M28" i="27"/>
  <c r="J29" i="27"/>
  <c r="K29" i="27"/>
  <c r="L29" i="27"/>
  <c r="M29" i="27"/>
  <c r="J30" i="27"/>
  <c r="K30" i="27"/>
  <c r="L30" i="27"/>
  <c r="M30" i="27"/>
  <c r="J31" i="27"/>
  <c r="K31" i="27"/>
  <c r="L31" i="27"/>
  <c r="M31" i="27"/>
  <c r="J32" i="27"/>
  <c r="K32" i="27"/>
  <c r="L32" i="27"/>
  <c r="M32" i="27"/>
  <c r="J33" i="27"/>
  <c r="K33" i="27"/>
  <c r="L33" i="27"/>
  <c r="M33" i="27"/>
  <c r="J34" i="27"/>
  <c r="K34" i="27"/>
  <c r="L34" i="27"/>
  <c r="M34" i="27"/>
  <c r="J35" i="27"/>
  <c r="K35" i="27"/>
  <c r="L35" i="27"/>
  <c r="M35" i="27"/>
  <c r="J36" i="27"/>
  <c r="K36" i="27"/>
  <c r="L36" i="27"/>
  <c r="M36" i="27"/>
  <c r="J37" i="27"/>
  <c r="K37" i="27"/>
  <c r="L37" i="27"/>
  <c r="M37" i="27"/>
  <c r="J38" i="27"/>
  <c r="K38" i="27"/>
  <c r="L38" i="27"/>
  <c r="M38" i="27"/>
  <c r="J39" i="27"/>
  <c r="K39" i="27"/>
  <c r="L39" i="27"/>
  <c r="M39" i="27"/>
  <c r="J40" i="27"/>
  <c r="K40" i="27"/>
  <c r="L40" i="27"/>
  <c r="M40" i="27"/>
  <c r="J41" i="27"/>
  <c r="K41" i="27"/>
  <c r="L41" i="27"/>
  <c r="M41" i="27"/>
  <c r="J42" i="27"/>
  <c r="K42" i="27"/>
  <c r="L42" i="27"/>
  <c r="M42" i="27"/>
  <c r="J43" i="27"/>
  <c r="K43" i="27"/>
  <c r="L43" i="27"/>
  <c r="M43" i="27"/>
  <c r="J44" i="27"/>
  <c r="K44" i="27"/>
  <c r="L44" i="27"/>
  <c r="M44" i="27"/>
  <c r="J45" i="27"/>
  <c r="K45" i="27"/>
  <c r="L45" i="27"/>
  <c r="M45" i="27"/>
  <c r="J46" i="27"/>
  <c r="K46" i="27"/>
  <c r="L46" i="27"/>
  <c r="M46" i="27"/>
  <c r="J47" i="27"/>
  <c r="K47" i="27"/>
  <c r="L47" i="27"/>
  <c r="M47" i="27"/>
  <c r="J48" i="27"/>
  <c r="K48" i="27"/>
  <c r="L48" i="27"/>
  <c r="M48" i="27"/>
  <c r="J49" i="27"/>
  <c r="K49" i="27"/>
  <c r="L49" i="27"/>
  <c r="M49" i="27"/>
  <c r="J50" i="27"/>
  <c r="K50" i="27"/>
  <c r="L50" i="27"/>
  <c r="M50" i="27"/>
  <c r="J51" i="27"/>
  <c r="K51" i="27"/>
  <c r="L51" i="27"/>
  <c r="M51" i="27"/>
  <c r="J52" i="27"/>
  <c r="K52" i="27"/>
  <c r="L52" i="27"/>
  <c r="M52" i="27"/>
  <c r="J53" i="27"/>
  <c r="K53" i="27"/>
  <c r="L53" i="27"/>
  <c r="M53" i="27"/>
  <c r="J54" i="27"/>
  <c r="K54" i="27"/>
  <c r="L54" i="27"/>
  <c r="M54" i="27"/>
  <c r="J55" i="27"/>
  <c r="K55" i="27"/>
  <c r="L55" i="27"/>
  <c r="M55" i="27"/>
  <c r="J56" i="27"/>
  <c r="K56" i="27"/>
  <c r="L56" i="27"/>
  <c r="M56" i="27"/>
  <c r="J57" i="27"/>
  <c r="K57" i="27"/>
  <c r="L57" i="27"/>
  <c r="M57" i="27"/>
  <c r="J58" i="27"/>
  <c r="K58" i="27"/>
  <c r="L58" i="27"/>
  <c r="M58" i="27"/>
  <c r="J59" i="27"/>
  <c r="K59" i="27"/>
  <c r="L59" i="27"/>
  <c r="M59" i="27"/>
  <c r="J60" i="27"/>
  <c r="K60" i="27"/>
  <c r="L60" i="27"/>
  <c r="M60" i="27"/>
  <c r="J61" i="27"/>
  <c r="K61" i="27"/>
  <c r="L61" i="27"/>
  <c r="M61" i="27"/>
  <c r="J62" i="27"/>
  <c r="K62" i="27"/>
  <c r="L62" i="27"/>
  <c r="M62" i="27"/>
  <c r="J63" i="27"/>
  <c r="K63" i="27"/>
  <c r="L63" i="27"/>
  <c r="M63" i="27"/>
  <c r="J64" i="27"/>
  <c r="K64" i="27"/>
  <c r="L64" i="27"/>
  <c r="M64" i="27"/>
  <c r="J65" i="27"/>
  <c r="K65" i="27"/>
  <c r="L65" i="27"/>
  <c r="M65" i="27"/>
  <c r="J66" i="27"/>
  <c r="K66" i="27"/>
  <c r="L66" i="27"/>
  <c r="M66" i="27"/>
  <c r="J67" i="27"/>
  <c r="K67" i="27"/>
  <c r="L67" i="27"/>
  <c r="M67" i="27"/>
  <c r="J68" i="27"/>
  <c r="K68" i="27"/>
  <c r="L68" i="27"/>
  <c r="M68" i="27"/>
  <c r="J69" i="27"/>
  <c r="K69" i="27"/>
  <c r="L69" i="27"/>
  <c r="M69" i="27"/>
  <c r="J70" i="27"/>
  <c r="K70" i="27"/>
  <c r="L70" i="27"/>
  <c r="M70" i="27"/>
  <c r="J71" i="27"/>
  <c r="K71" i="27"/>
  <c r="L71" i="27"/>
  <c r="M71" i="27"/>
  <c r="J72" i="27"/>
  <c r="K72" i="27"/>
  <c r="L72" i="27"/>
  <c r="M72" i="27"/>
  <c r="J73" i="27"/>
  <c r="K73" i="27"/>
  <c r="L73" i="27"/>
  <c r="M73" i="27"/>
  <c r="J74" i="27"/>
  <c r="K74" i="27"/>
  <c r="L74" i="27"/>
  <c r="M74" i="27"/>
  <c r="J75" i="27"/>
  <c r="K75" i="27"/>
  <c r="L75" i="27"/>
  <c r="M75" i="27"/>
  <c r="J76" i="27"/>
  <c r="K76" i="27"/>
  <c r="L76" i="27"/>
  <c r="M76" i="27"/>
  <c r="J77" i="27"/>
  <c r="K77" i="27"/>
  <c r="L77" i="27"/>
  <c r="M77" i="27"/>
  <c r="J78" i="27"/>
  <c r="K78" i="27"/>
  <c r="L78" i="27"/>
  <c r="M78" i="27"/>
  <c r="J79" i="27"/>
  <c r="K79" i="27"/>
  <c r="L79" i="27"/>
  <c r="M79" i="27"/>
  <c r="J80" i="27"/>
  <c r="K80" i="27"/>
  <c r="L80" i="27"/>
  <c r="M80" i="27"/>
  <c r="K81" i="27"/>
  <c r="L81" i="27"/>
  <c r="M81" i="27"/>
  <c r="K2" i="27"/>
  <c r="L2" i="27"/>
  <c r="M2" i="27"/>
  <c r="J2" i="27"/>
  <c r="D81" i="27"/>
  <c r="D80" i="27"/>
  <c r="D79" i="27"/>
  <c r="D78" i="27"/>
  <c r="D77" i="27"/>
  <c r="D76" i="27"/>
  <c r="D75" i="27"/>
  <c r="D74" i="27"/>
  <c r="D73" i="27"/>
  <c r="D72" i="27"/>
  <c r="D71" i="27"/>
  <c r="D70" i="27"/>
  <c r="D69" i="27"/>
  <c r="D68" i="27"/>
  <c r="D67" i="27"/>
  <c r="D66" i="27"/>
  <c r="D65" i="27"/>
  <c r="D64" i="27"/>
  <c r="D63" i="27"/>
  <c r="D62" i="27"/>
  <c r="D61" i="27"/>
  <c r="D60" i="27"/>
  <c r="D59" i="27"/>
  <c r="D58" i="27"/>
  <c r="D57" i="27"/>
  <c r="D56" i="27"/>
  <c r="D55" i="27"/>
  <c r="D54" i="27"/>
  <c r="D53" i="27"/>
  <c r="D52" i="27"/>
  <c r="D51" i="27"/>
  <c r="D50" i="27"/>
  <c r="D49" i="27"/>
  <c r="D48" i="27"/>
  <c r="D47" i="27"/>
  <c r="D46" i="27"/>
  <c r="D45" i="27"/>
  <c r="D44" i="27"/>
  <c r="D43" i="27"/>
  <c r="D42" i="27"/>
  <c r="D41" i="27"/>
  <c r="D40" i="27"/>
  <c r="D39" i="27"/>
  <c r="D38" i="27"/>
  <c r="D37" i="27"/>
  <c r="D36" i="27"/>
  <c r="D35" i="27"/>
  <c r="D34" i="27"/>
  <c r="D33" i="27"/>
  <c r="D32" i="27"/>
  <c r="D31" i="27"/>
  <c r="D30" i="27"/>
  <c r="D29" i="27"/>
  <c r="D28" i="27"/>
  <c r="D27" i="27"/>
  <c r="D26" i="27"/>
  <c r="D25" i="27"/>
  <c r="D24" i="27"/>
  <c r="D23" i="27"/>
  <c r="D22" i="27"/>
  <c r="D21" i="27"/>
  <c r="D20" i="27"/>
  <c r="D19" i="27"/>
  <c r="D18" i="27"/>
  <c r="J3" i="23"/>
  <c r="K3" i="23"/>
  <c r="L3" i="23"/>
  <c r="M3" i="23"/>
  <c r="J4" i="23"/>
  <c r="K4" i="23"/>
  <c r="L4" i="23"/>
  <c r="M4" i="23"/>
  <c r="J5" i="23"/>
  <c r="K5" i="23"/>
  <c r="L5" i="23"/>
  <c r="M5" i="23"/>
  <c r="J6" i="23"/>
  <c r="K6" i="23"/>
  <c r="L6" i="23"/>
  <c r="M6" i="23"/>
  <c r="J7" i="23"/>
  <c r="K7" i="23"/>
  <c r="L7" i="23"/>
  <c r="M7" i="23"/>
  <c r="J8" i="23"/>
  <c r="K8" i="23"/>
  <c r="L8" i="23"/>
  <c r="M8" i="23"/>
  <c r="J9" i="23"/>
  <c r="K9" i="23"/>
  <c r="L9" i="23"/>
  <c r="M9" i="23"/>
  <c r="J10" i="23"/>
  <c r="K10" i="23"/>
  <c r="L10" i="23"/>
  <c r="M10" i="23"/>
  <c r="J11" i="23"/>
  <c r="K11" i="23"/>
  <c r="L11" i="23"/>
  <c r="M11" i="23"/>
  <c r="J12" i="23"/>
  <c r="K12" i="23"/>
  <c r="L12" i="23"/>
  <c r="M12" i="23"/>
  <c r="J13" i="23"/>
  <c r="K13" i="23"/>
  <c r="L13" i="23"/>
  <c r="M13" i="23"/>
  <c r="J14" i="23"/>
  <c r="K14" i="23"/>
  <c r="L14" i="23"/>
  <c r="M14" i="23"/>
  <c r="J15" i="23"/>
  <c r="K15" i="23"/>
  <c r="L15" i="23"/>
  <c r="M15" i="23"/>
  <c r="J16" i="23"/>
  <c r="K16" i="23"/>
  <c r="L16" i="23"/>
  <c r="M16" i="23"/>
  <c r="J17" i="23"/>
  <c r="K17" i="23"/>
  <c r="L17" i="23"/>
  <c r="M17" i="23"/>
  <c r="J18" i="23"/>
  <c r="K18" i="23"/>
  <c r="L18" i="23"/>
  <c r="M18" i="23"/>
  <c r="J19" i="23"/>
  <c r="K19" i="23"/>
  <c r="L19" i="23"/>
  <c r="M19" i="23"/>
  <c r="J20" i="23"/>
  <c r="K20" i="23"/>
  <c r="L20" i="23"/>
  <c r="M20" i="23"/>
  <c r="J21" i="23"/>
  <c r="K21" i="23"/>
  <c r="L21" i="23"/>
  <c r="M21" i="23"/>
  <c r="J22" i="23"/>
  <c r="K22" i="23"/>
  <c r="L22" i="23"/>
  <c r="M22" i="23"/>
  <c r="J23" i="23"/>
  <c r="K23" i="23"/>
  <c r="L23" i="23"/>
  <c r="M23" i="23"/>
  <c r="J24" i="23"/>
  <c r="K24" i="23"/>
  <c r="L24" i="23"/>
  <c r="M24" i="23"/>
  <c r="J25" i="23"/>
  <c r="K25" i="23"/>
  <c r="L25" i="23"/>
  <c r="M25" i="23"/>
  <c r="J26" i="23"/>
  <c r="K26" i="23"/>
  <c r="L26" i="23"/>
  <c r="M26" i="23"/>
  <c r="J27" i="23"/>
  <c r="K27" i="23"/>
  <c r="L27" i="23"/>
  <c r="M27" i="23"/>
  <c r="J28" i="23"/>
  <c r="K28" i="23"/>
  <c r="L28" i="23"/>
  <c r="M28" i="23"/>
  <c r="J29" i="23"/>
  <c r="K29" i="23"/>
  <c r="L29" i="23"/>
  <c r="M29" i="23"/>
  <c r="J30" i="23"/>
  <c r="K30" i="23"/>
  <c r="L30" i="23"/>
  <c r="M30" i="23"/>
  <c r="J31" i="23"/>
  <c r="K31" i="23"/>
  <c r="L31" i="23"/>
  <c r="M31" i="23"/>
  <c r="J32" i="23"/>
  <c r="K32" i="23"/>
  <c r="L32" i="23"/>
  <c r="M32" i="23"/>
  <c r="J33" i="23"/>
  <c r="K33" i="23"/>
  <c r="L33" i="23"/>
  <c r="M33" i="23"/>
  <c r="J34" i="23"/>
  <c r="K34" i="23"/>
  <c r="L34" i="23"/>
  <c r="M34" i="23"/>
  <c r="J35" i="23"/>
  <c r="K35" i="23"/>
  <c r="L35" i="23"/>
  <c r="M35" i="23"/>
  <c r="J36" i="23"/>
  <c r="K36" i="23"/>
  <c r="L36" i="23"/>
  <c r="M36" i="23"/>
  <c r="J37" i="23"/>
  <c r="K37" i="23"/>
  <c r="L37" i="23"/>
  <c r="M37" i="23"/>
  <c r="J38" i="23"/>
  <c r="K38" i="23"/>
  <c r="L38" i="23"/>
  <c r="M38" i="23"/>
  <c r="J39" i="23"/>
  <c r="K39" i="23"/>
  <c r="L39" i="23"/>
  <c r="M39" i="23"/>
  <c r="J40" i="23"/>
  <c r="K40" i="23"/>
  <c r="L40" i="23"/>
  <c r="M40" i="23"/>
  <c r="J41" i="23"/>
  <c r="K41" i="23"/>
  <c r="L41" i="23"/>
  <c r="M41" i="23"/>
  <c r="J42" i="23"/>
  <c r="K42" i="23"/>
  <c r="L42" i="23"/>
  <c r="M42" i="23"/>
  <c r="J43" i="23"/>
  <c r="K43" i="23"/>
  <c r="L43" i="23"/>
  <c r="M43" i="23"/>
  <c r="J44" i="23"/>
  <c r="K44" i="23"/>
  <c r="L44" i="23"/>
  <c r="M44" i="23"/>
  <c r="J45" i="23"/>
  <c r="K45" i="23"/>
  <c r="L45" i="23"/>
  <c r="M45" i="23"/>
  <c r="J46" i="23"/>
  <c r="K46" i="23"/>
  <c r="L46" i="23"/>
  <c r="M46" i="23"/>
  <c r="J47" i="23"/>
  <c r="K47" i="23"/>
  <c r="L47" i="23"/>
  <c r="M47" i="23"/>
  <c r="J48" i="23"/>
  <c r="K48" i="23"/>
  <c r="L48" i="23"/>
  <c r="M48" i="23"/>
  <c r="J49" i="23"/>
  <c r="K49" i="23"/>
  <c r="L49" i="23"/>
  <c r="M49" i="23"/>
  <c r="J50" i="23"/>
  <c r="K50" i="23"/>
  <c r="L50" i="23"/>
  <c r="M50" i="23"/>
  <c r="J51" i="23"/>
  <c r="K51" i="23"/>
  <c r="L51" i="23"/>
  <c r="M51" i="23"/>
  <c r="J52" i="23"/>
  <c r="K52" i="23"/>
  <c r="L52" i="23"/>
  <c r="M52" i="23"/>
  <c r="J53" i="23"/>
  <c r="K53" i="23"/>
  <c r="L53" i="23"/>
  <c r="M53" i="23"/>
  <c r="J54" i="23"/>
  <c r="K54" i="23"/>
  <c r="L54" i="23"/>
  <c r="M54" i="23"/>
  <c r="J55" i="23"/>
  <c r="K55" i="23"/>
  <c r="L55" i="23"/>
  <c r="M55" i="23"/>
  <c r="J56" i="23"/>
  <c r="K56" i="23"/>
  <c r="L56" i="23"/>
  <c r="M56" i="23"/>
  <c r="J57" i="23"/>
  <c r="K57" i="23"/>
  <c r="L57" i="23"/>
  <c r="M57" i="23"/>
  <c r="J58" i="23"/>
  <c r="K58" i="23"/>
  <c r="L58" i="23"/>
  <c r="M58" i="23"/>
  <c r="J59" i="23"/>
  <c r="K59" i="23"/>
  <c r="L59" i="23"/>
  <c r="M59" i="23"/>
  <c r="J60" i="23"/>
  <c r="K60" i="23"/>
  <c r="L60" i="23"/>
  <c r="M60" i="23"/>
  <c r="J61" i="23"/>
  <c r="K61" i="23"/>
  <c r="L61" i="23"/>
  <c r="M61" i="23"/>
  <c r="J62" i="23"/>
  <c r="K62" i="23"/>
  <c r="L62" i="23"/>
  <c r="M62" i="23"/>
  <c r="J63" i="23"/>
  <c r="K63" i="23"/>
  <c r="L63" i="23"/>
  <c r="M63" i="23"/>
  <c r="J64" i="23"/>
  <c r="K64" i="23"/>
  <c r="L64" i="23"/>
  <c r="M64" i="23"/>
  <c r="J65" i="23"/>
  <c r="K65" i="23"/>
  <c r="L65" i="23"/>
  <c r="M65" i="23"/>
  <c r="J66" i="23"/>
  <c r="K66" i="23"/>
  <c r="L66" i="23"/>
  <c r="M66" i="23"/>
  <c r="J67" i="23"/>
  <c r="K67" i="23"/>
  <c r="L67" i="23"/>
  <c r="M67" i="23"/>
  <c r="J68" i="23"/>
  <c r="K68" i="23"/>
  <c r="L68" i="23"/>
  <c r="M68" i="23"/>
  <c r="J69" i="23"/>
  <c r="K69" i="23"/>
  <c r="L69" i="23"/>
  <c r="M69" i="23"/>
  <c r="J70" i="23"/>
  <c r="K70" i="23"/>
  <c r="L70" i="23"/>
  <c r="M70" i="23"/>
  <c r="J71" i="23"/>
  <c r="K71" i="23"/>
  <c r="L71" i="23"/>
  <c r="M71" i="23"/>
  <c r="J72" i="23"/>
  <c r="K72" i="23"/>
  <c r="L72" i="23"/>
  <c r="M72" i="23"/>
  <c r="J73" i="23"/>
  <c r="K73" i="23"/>
  <c r="L73" i="23"/>
  <c r="M73" i="23"/>
  <c r="J74" i="23"/>
  <c r="K74" i="23"/>
  <c r="L74" i="23"/>
  <c r="M74" i="23"/>
  <c r="J75" i="23"/>
  <c r="K75" i="23"/>
  <c r="L75" i="23"/>
  <c r="M75" i="23"/>
  <c r="J76" i="23"/>
  <c r="K76" i="23"/>
  <c r="L76" i="23"/>
  <c r="M76" i="23"/>
  <c r="J77" i="23"/>
  <c r="K77" i="23"/>
  <c r="L77" i="23"/>
  <c r="M77" i="23"/>
  <c r="J78" i="23"/>
  <c r="K78" i="23"/>
  <c r="L78" i="23"/>
  <c r="M78" i="23"/>
  <c r="J79" i="23"/>
  <c r="K79" i="23"/>
  <c r="L79" i="23"/>
  <c r="M79" i="23"/>
  <c r="J80" i="23"/>
  <c r="K80" i="23"/>
  <c r="L80" i="23"/>
  <c r="M80" i="23"/>
  <c r="J81" i="23"/>
  <c r="K81" i="23"/>
  <c r="L81" i="23"/>
  <c r="M81" i="23"/>
  <c r="K2" i="23"/>
  <c r="L2" i="23"/>
  <c r="M2" i="23"/>
  <c r="J2" i="23"/>
  <c r="D81" i="23"/>
  <c r="D80" i="23"/>
  <c r="D79" i="23"/>
  <c r="D78" i="23"/>
  <c r="D77" i="23"/>
  <c r="D76" i="23"/>
  <c r="D75" i="23"/>
  <c r="D74" i="23"/>
  <c r="D73" i="23"/>
  <c r="D72" i="23"/>
  <c r="D71" i="23"/>
  <c r="D70" i="23"/>
  <c r="D69" i="23"/>
  <c r="D68" i="23"/>
  <c r="D67" i="23"/>
  <c r="D66" i="23"/>
  <c r="D65" i="23"/>
  <c r="D64" i="23"/>
  <c r="D63" i="23"/>
  <c r="D62" i="23"/>
  <c r="D61" i="23"/>
  <c r="D60" i="23"/>
  <c r="D59" i="23"/>
  <c r="D58" i="23"/>
  <c r="D57" i="23"/>
  <c r="D56" i="23"/>
  <c r="D55" i="23"/>
  <c r="D54" i="23"/>
  <c r="D53" i="23"/>
  <c r="D52" i="23"/>
  <c r="D51" i="23"/>
  <c r="D50" i="23"/>
  <c r="D49" i="23"/>
  <c r="D48" i="23"/>
  <c r="D47" i="23"/>
  <c r="D46" i="23"/>
  <c r="D45" i="23"/>
  <c r="D44" i="23"/>
  <c r="D43" i="23"/>
  <c r="D42" i="23"/>
  <c r="D41" i="23"/>
  <c r="D40" i="23"/>
  <c r="D39" i="23"/>
  <c r="D38" i="23"/>
  <c r="D37" i="23"/>
  <c r="D36" i="23"/>
  <c r="D35" i="23"/>
  <c r="D34" i="23"/>
  <c r="D33" i="23"/>
  <c r="D32" i="23"/>
  <c r="D31" i="23"/>
  <c r="D30" i="23"/>
  <c r="D29" i="23"/>
  <c r="D28" i="23"/>
  <c r="D27" i="23"/>
  <c r="D26" i="23"/>
  <c r="D25" i="23"/>
  <c r="D24" i="23"/>
  <c r="D23" i="23"/>
  <c r="D22" i="23"/>
  <c r="D21" i="23"/>
  <c r="D20" i="23"/>
  <c r="D19" i="23"/>
  <c r="D18" i="23"/>
  <c r="J26" i="2"/>
  <c r="K26" i="2"/>
  <c r="L26" i="2"/>
  <c r="M26" i="2"/>
  <c r="J27" i="2"/>
  <c r="K27" i="2"/>
  <c r="L27" i="2"/>
  <c r="M27" i="2"/>
  <c r="J28" i="2"/>
  <c r="K28" i="2"/>
  <c r="L28" i="2"/>
  <c r="M28" i="2"/>
  <c r="J29" i="2"/>
  <c r="K29" i="2"/>
  <c r="L29" i="2"/>
  <c r="M29" i="2"/>
  <c r="J3" i="2"/>
  <c r="K3" i="2"/>
  <c r="L3" i="2"/>
  <c r="M3" i="2"/>
  <c r="J4" i="2"/>
  <c r="K4" i="2"/>
  <c r="L4" i="2"/>
  <c r="M4" i="2"/>
  <c r="J5" i="2"/>
  <c r="K5" i="2"/>
  <c r="L5" i="2"/>
  <c r="M5" i="2"/>
  <c r="J6" i="2"/>
  <c r="K6" i="2"/>
  <c r="L6" i="2"/>
  <c r="M6" i="2"/>
  <c r="J7" i="2"/>
  <c r="K7" i="2"/>
  <c r="L7" i="2"/>
  <c r="M7" i="2"/>
  <c r="J8" i="2"/>
  <c r="K8" i="2"/>
  <c r="L8" i="2"/>
  <c r="M8" i="2"/>
  <c r="J9" i="2"/>
  <c r="K9" i="2"/>
  <c r="L9" i="2"/>
  <c r="M9" i="2"/>
  <c r="J10" i="2"/>
  <c r="K10" i="2"/>
  <c r="L10" i="2"/>
  <c r="M10" i="2"/>
  <c r="J11" i="2"/>
  <c r="K11" i="2"/>
  <c r="L11" i="2"/>
  <c r="M11" i="2"/>
  <c r="J12" i="2"/>
  <c r="K12" i="2"/>
  <c r="L12" i="2"/>
  <c r="M12" i="2"/>
  <c r="J13" i="2"/>
  <c r="K13" i="2"/>
  <c r="L13" i="2"/>
  <c r="M13" i="2"/>
  <c r="J14" i="2"/>
  <c r="K14" i="2"/>
  <c r="L14" i="2"/>
  <c r="M14" i="2"/>
  <c r="J15" i="2"/>
  <c r="K15" i="2"/>
  <c r="L15" i="2"/>
  <c r="M15" i="2"/>
  <c r="J16" i="2"/>
  <c r="K16" i="2"/>
  <c r="L16" i="2"/>
  <c r="M16" i="2"/>
  <c r="J17" i="2"/>
  <c r="K17" i="2"/>
  <c r="L17" i="2"/>
  <c r="M17" i="2"/>
  <c r="J18" i="2"/>
  <c r="K18" i="2"/>
  <c r="L18" i="2"/>
  <c r="M18" i="2"/>
  <c r="J19" i="2"/>
  <c r="K19" i="2"/>
  <c r="L19" i="2"/>
  <c r="M19" i="2"/>
  <c r="J20" i="2"/>
  <c r="K20" i="2"/>
  <c r="L20" i="2"/>
  <c r="M20" i="2"/>
  <c r="J21" i="2"/>
  <c r="K21" i="2"/>
  <c r="L21" i="2"/>
  <c r="M21" i="2"/>
  <c r="J22" i="2"/>
  <c r="K22" i="2"/>
  <c r="L22" i="2"/>
  <c r="M22" i="2"/>
  <c r="J23" i="2"/>
  <c r="K23" i="2"/>
  <c r="L23" i="2"/>
  <c r="M23" i="2"/>
  <c r="J24" i="2"/>
  <c r="K24" i="2"/>
  <c r="L24" i="2"/>
  <c r="M24" i="2"/>
  <c r="J25" i="2"/>
  <c r="K25" i="2"/>
  <c r="L25" i="2"/>
  <c r="M25" i="2"/>
  <c r="J30" i="2"/>
  <c r="K30" i="2"/>
  <c r="L30" i="2"/>
  <c r="M30" i="2"/>
  <c r="J31" i="2"/>
  <c r="K31" i="2"/>
  <c r="L31" i="2"/>
  <c r="M31" i="2"/>
  <c r="J32" i="2"/>
  <c r="K32" i="2"/>
  <c r="L32" i="2"/>
  <c r="M32" i="2"/>
  <c r="J33" i="2"/>
  <c r="K33" i="2"/>
  <c r="L33" i="2"/>
  <c r="M33" i="2"/>
  <c r="J34" i="2"/>
  <c r="K34" i="2"/>
  <c r="L34" i="2"/>
  <c r="M34" i="2"/>
  <c r="J35" i="2"/>
  <c r="K35" i="2"/>
  <c r="L35" i="2"/>
  <c r="M35" i="2"/>
  <c r="J36" i="2"/>
  <c r="K36" i="2"/>
  <c r="L36" i="2"/>
  <c r="M36" i="2"/>
  <c r="J37" i="2"/>
  <c r="K37" i="2"/>
  <c r="L37" i="2"/>
  <c r="M37" i="2"/>
  <c r="J38" i="2"/>
  <c r="K38" i="2"/>
  <c r="L38" i="2"/>
  <c r="M38" i="2"/>
  <c r="J39" i="2"/>
  <c r="K39" i="2"/>
  <c r="L39" i="2"/>
  <c r="M39" i="2"/>
  <c r="J40" i="2"/>
  <c r="K40" i="2"/>
  <c r="L40" i="2"/>
  <c r="M40" i="2"/>
  <c r="J41" i="2"/>
  <c r="K41" i="2"/>
  <c r="L41" i="2"/>
  <c r="M41" i="2"/>
  <c r="J42" i="2"/>
  <c r="K42" i="2"/>
  <c r="L42" i="2"/>
  <c r="M42" i="2"/>
  <c r="J43" i="2"/>
  <c r="K43" i="2"/>
  <c r="L43" i="2"/>
  <c r="M43" i="2"/>
  <c r="J44" i="2"/>
  <c r="K44" i="2"/>
  <c r="L44" i="2"/>
  <c r="M44" i="2"/>
  <c r="J45" i="2"/>
  <c r="K45" i="2"/>
  <c r="L45" i="2"/>
  <c r="M45" i="2"/>
  <c r="J46" i="2"/>
  <c r="K46" i="2"/>
  <c r="L46" i="2"/>
  <c r="M46" i="2"/>
  <c r="J47" i="2"/>
  <c r="K47" i="2"/>
  <c r="L47" i="2"/>
  <c r="M47" i="2"/>
  <c r="J48" i="2"/>
  <c r="K48" i="2"/>
  <c r="L48" i="2"/>
  <c r="M48" i="2"/>
  <c r="J49" i="2"/>
  <c r="K49" i="2"/>
  <c r="L49" i="2"/>
  <c r="M49" i="2"/>
  <c r="J50" i="2"/>
  <c r="K50" i="2"/>
  <c r="L50" i="2"/>
  <c r="M50" i="2"/>
  <c r="J51" i="2"/>
  <c r="K51" i="2"/>
  <c r="L51" i="2"/>
  <c r="M51" i="2"/>
  <c r="J52" i="2"/>
  <c r="K52" i="2"/>
  <c r="L52" i="2"/>
  <c r="M52" i="2"/>
  <c r="J53" i="2"/>
  <c r="K53" i="2"/>
  <c r="L53" i="2"/>
  <c r="M53" i="2"/>
  <c r="J54" i="2"/>
  <c r="K54" i="2"/>
  <c r="L54" i="2"/>
  <c r="M54" i="2"/>
  <c r="J55" i="2"/>
  <c r="K55" i="2"/>
  <c r="L55" i="2"/>
  <c r="M55" i="2"/>
  <c r="J56" i="2"/>
  <c r="K56" i="2"/>
  <c r="L56" i="2"/>
  <c r="M56" i="2"/>
  <c r="J57" i="2"/>
  <c r="K57" i="2"/>
  <c r="L57" i="2"/>
  <c r="M57" i="2"/>
  <c r="J58" i="2"/>
  <c r="K58" i="2"/>
  <c r="L58" i="2"/>
  <c r="M58" i="2"/>
  <c r="J59" i="2"/>
  <c r="K59" i="2"/>
  <c r="L59" i="2"/>
  <c r="M59" i="2"/>
  <c r="J60" i="2"/>
  <c r="K60" i="2"/>
  <c r="L60" i="2"/>
  <c r="M60" i="2"/>
  <c r="J61" i="2"/>
  <c r="K61" i="2"/>
  <c r="L61" i="2"/>
  <c r="M61" i="2"/>
  <c r="J62" i="2"/>
  <c r="K62" i="2"/>
  <c r="L62" i="2"/>
  <c r="M62" i="2"/>
  <c r="J63" i="2"/>
  <c r="K63" i="2"/>
  <c r="L63" i="2"/>
  <c r="M63" i="2"/>
  <c r="J64" i="2"/>
  <c r="K64" i="2"/>
  <c r="L64" i="2"/>
  <c r="M64" i="2"/>
  <c r="J65" i="2"/>
  <c r="K65" i="2"/>
  <c r="L65" i="2"/>
  <c r="M65" i="2"/>
  <c r="J66" i="2"/>
  <c r="K66" i="2"/>
  <c r="L66" i="2"/>
  <c r="M66" i="2"/>
  <c r="J67" i="2"/>
  <c r="K67" i="2"/>
  <c r="L67" i="2"/>
  <c r="M67" i="2"/>
  <c r="J68" i="2"/>
  <c r="K68" i="2"/>
  <c r="L68" i="2"/>
  <c r="M68" i="2"/>
  <c r="J69" i="2"/>
  <c r="K69" i="2"/>
  <c r="L69" i="2"/>
  <c r="M69" i="2"/>
  <c r="J70" i="2"/>
  <c r="K70" i="2"/>
  <c r="L70" i="2"/>
  <c r="M70" i="2"/>
  <c r="J71" i="2"/>
  <c r="K71" i="2"/>
  <c r="L71" i="2"/>
  <c r="M71" i="2"/>
  <c r="J72" i="2"/>
  <c r="K72" i="2"/>
  <c r="L72" i="2"/>
  <c r="M72" i="2"/>
  <c r="J73" i="2"/>
  <c r="K73" i="2"/>
  <c r="L73" i="2"/>
  <c r="M73" i="2"/>
  <c r="J74" i="2"/>
  <c r="K74" i="2"/>
  <c r="L74" i="2"/>
  <c r="M74" i="2"/>
  <c r="J75" i="2"/>
  <c r="K75" i="2"/>
  <c r="L75" i="2"/>
  <c r="M75" i="2"/>
  <c r="J76" i="2"/>
  <c r="K76" i="2"/>
  <c r="L76" i="2"/>
  <c r="M76" i="2"/>
  <c r="J77" i="2"/>
  <c r="K77" i="2"/>
  <c r="L77" i="2"/>
  <c r="M77" i="2"/>
  <c r="J78" i="2"/>
  <c r="K78" i="2"/>
  <c r="L78" i="2"/>
  <c r="M78" i="2"/>
  <c r="J79" i="2"/>
  <c r="K79" i="2"/>
  <c r="L79" i="2"/>
  <c r="M79" i="2"/>
  <c r="J80" i="2"/>
  <c r="K80" i="2"/>
  <c r="L80" i="2"/>
  <c r="M80" i="2"/>
  <c r="J81" i="2"/>
  <c r="K81" i="2"/>
  <c r="L81" i="2"/>
  <c r="M81" i="2"/>
  <c r="K2" i="2"/>
  <c r="L2" i="2"/>
  <c r="M2" i="2"/>
  <c r="J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H9" i="26"/>
  <c r="H2" i="26"/>
  <c r="H5" i="26"/>
  <c r="G7" i="26"/>
  <c r="G5" i="26"/>
  <c r="G4" i="26"/>
  <c r="G3" i="26"/>
  <c r="G2" i="26"/>
  <c r="G9" i="26"/>
  <c r="H8" i="26"/>
  <c r="G8" i="26"/>
  <c r="H7" i="26"/>
  <c r="H6" i="26"/>
  <c r="G6" i="26"/>
  <c r="H4" i="26"/>
  <c r="H3" i="26"/>
  <c r="AF10" i="23" l="1"/>
  <c r="AK54" i="23" s="1"/>
  <c r="AF14" i="23"/>
  <c r="AK58" i="23"/>
  <c r="Y58" i="23"/>
  <c r="Y70" i="23"/>
  <c r="Z58" i="23"/>
  <c r="Z50" i="23"/>
  <c r="AC74" i="23"/>
  <c r="AC54" i="23"/>
  <c r="AB62" i="23"/>
  <c r="AK25" i="23"/>
  <c r="AK18" i="23"/>
  <c r="AK46" i="23"/>
  <c r="AJ30" i="23"/>
  <c r="AK37" i="23"/>
  <c r="AK20" i="23"/>
  <c r="AH41" i="23"/>
  <c r="AH19" i="23"/>
  <c r="AH46" i="23"/>
  <c r="AH36" i="23"/>
  <c r="AH40" i="23"/>
  <c r="AH31" i="23"/>
  <c r="AI30" i="23" s="1"/>
  <c r="AH48" i="23"/>
  <c r="AH39" i="23"/>
  <c r="AH21" i="23"/>
  <c r="AH26" i="23"/>
  <c r="AH33" i="23"/>
  <c r="AH37" i="23"/>
  <c r="AK32" i="23"/>
  <c r="AK49" i="23"/>
  <c r="AH42" i="23"/>
  <c r="AK27" i="23"/>
  <c r="AK44" i="23"/>
  <c r="AK41" i="23"/>
  <c r="AK19" i="23"/>
  <c r="AK36" i="23"/>
  <c r="AK40" i="23"/>
  <c r="AK31" i="23"/>
  <c r="AK39" i="23"/>
  <c r="AK21" i="23"/>
  <c r="AK26" i="23"/>
  <c r="AK30" i="23"/>
  <c r="AK47" i="23"/>
  <c r="AK29" i="23"/>
  <c r="AK34" i="23"/>
  <c r="AK33" i="23"/>
  <c r="AK24" i="23"/>
  <c r="AK42" i="23"/>
  <c r="AK28" i="23"/>
  <c r="AK23" i="23"/>
  <c r="AC70" i="23"/>
  <c r="AB70" i="23"/>
  <c r="AK45" i="23"/>
  <c r="AH29" i="23"/>
  <c r="AH38" i="23"/>
  <c r="AG6" i="23"/>
  <c r="AG34" i="23"/>
  <c r="AK68" i="23"/>
  <c r="AG74" i="23"/>
  <c r="AF30" i="23"/>
  <c r="Y66" i="23"/>
  <c r="AF70" i="23"/>
  <c r="AG30" i="23"/>
  <c r="AK38" i="23"/>
  <c r="AK64" i="23"/>
  <c r="AG70" i="23"/>
  <c r="AK78" i="23"/>
  <c r="AH20" i="23"/>
  <c r="AF26" i="23"/>
  <c r="AK51" i="23"/>
  <c r="AF66" i="23"/>
  <c r="Y50" i="23"/>
  <c r="AG22" i="23"/>
  <c r="AH25" i="23"/>
  <c r="AH43" i="23"/>
  <c r="AB54" i="23"/>
  <c r="AK56" i="23"/>
  <c r="AG62" i="23"/>
  <c r="AK70" i="23"/>
  <c r="AF18" i="23"/>
  <c r="AK43" i="23"/>
  <c r="Y54" i="23"/>
  <c r="AF58" i="23"/>
  <c r="AK52" i="23"/>
  <c r="AK66" i="23"/>
  <c r="AH35" i="23"/>
  <c r="AK48" i="23"/>
  <c r="AG54" i="23"/>
  <c r="AK35" i="23"/>
  <c r="AC38" i="23"/>
  <c r="AH44" i="23"/>
  <c r="AF50" i="23"/>
  <c r="AK75" i="23"/>
  <c r="AC26" i="23"/>
  <c r="AK53" i="23"/>
  <c r="AK71" i="23"/>
  <c r="AH27" i="23"/>
  <c r="AB38" i="23"/>
  <c r="AH49" i="23"/>
  <c r="AF42" i="23"/>
  <c r="AH23" i="23"/>
  <c r="AB34" i="23"/>
  <c r="AH45" i="23"/>
  <c r="AK76" i="23"/>
  <c r="AF38" i="23"/>
  <c r="AB66" i="23"/>
  <c r="AF78" i="23"/>
  <c r="AC34" i="23"/>
  <c r="AG38" i="23"/>
  <c r="AG78" i="23"/>
  <c r="AK59" i="23"/>
  <c r="AK26" i="2"/>
  <c r="AK46" i="2"/>
  <c r="AG30" i="2"/>
  <c r="AD22" i="2"/>
  <c r="AD42" i="2"/>
  <c r="AK74" i="2"/>
  <c r="AJ74" i="2"/>
  <c r="AJ50" i="2"/>
  <c r="AK50" i="2"/>
  <c r="AK66" i="2"/>
  <c r="AJ66" i="2"/>
  <c r="AK30" i="2"/>
  <c r="AD46" i="2"/>
  <c r="AH2" i="2"/>
  <c r="AG58" i="2"/>
  <c r="AG78" i="2"/>
  <c r="AH14" i="2"/>
  <c r="AH18" i="2"/>
  <c r="AH38" i="2"/>
  <c r="AC46" i="2"/>
  <c r="AH58" i="2"/>
  <c r="AH78" i="2"/>
  <c r="AG26" i="2"/>
  <c r="AG46" i="2"/>
  <c r="AG66" i="2"/>
  <c r="AA50" i="2"/>
  <c r="Z70" i="2"/>
  <c r="AJ30" i="2"/>
  <c r="AD78" i="2"/>
  <c r="AJ26" i="2"/>
  <c r="AJ46" i="2"/>
  <c r="AC22" i="2"/>
  <c r="Z26" i="2"/>
  <c r="AH54" i="2"/>
  <c r="AH6" i="2"/>
  <c r="AH22" i="2"/>
  <c r="AH42" i="2"/>
  <c r="Z54" i="2"/>
  <c r="AH62" i="2"/>
  <c r="Z66" i="2"/>
  <c r="AA74" i="2"/>
  <c r="AG34" i="2"/>
  <c r="AG74" i="2"/>
  <c r="AC42" i="2"/>
  <c r="AH74" i="2"/>
  <c r="AG62" i="2"/>
  <c r="AD26" i="2"/>
  <c r="AC38" i="2"/>
  <c r="AF14" i="27"/>
  <c r="AC66" i="27"/>
  <c r="AC58" i="27"/>
  <c r="Z26" i="27"/>
  <c r="AC30" i="27"/>
  <c r="AK72" i="27"/>
  <c r="AK77" i="27"/>
  <c r="AK50" i="27"/>
  <c r="AH23" i="27"/>
  <c r="AK51" i="27"/>
  <c r="AH37" i="27"/>
  <c r="AK57" i="27"/>
  <c r="AK81" i="27"/>
  <c r="AK66" i="27"/>
  <c r="AG66" i="27"/>
  <c r="AF66" i="27"/>
  <c r="AF54" i="27"/>
  <c r="AF74" i="27"/>
  <c r="AK54" i="27"/>
  <c r="AH67" i="27"/>
  <c r="AH80" i="27"/>
  <c r="AH79" i="27"/>
  <c r="AH51" i="27"/>
  <c r="AH60" i="27"/>
  <c r="AH71" i="27"/>
  <c r="AK69" i="27"/>
  <c r="Y22" i="27"/>
  <c r="AH35" i="27"/>
  <c r="AG74" i="27"/>
  <c r="AB30" i="27"/>
  <c r="AH52" i="27"/>
  <c r="AH61" i="27"/>
  <c r="AH72" i="27"/>
  <c r="AH63" i="27"/>
  <c r="AF38" i="27"/>
  <c r="AG46" i="27"/>
  <c r="AB66" i="27"/>
  <c r="AF30" i="27"/>
  <c r="AH66" i="27" s="1"/>
  <c r="AH75" i="27"/>
  <c r="AF78" i="27"/>
  <c r="AK64" i="27"/>
  <c r="Y26" i="27"/>
  <c r="AK56" i="27"/>
  <c r="AF50" i="27"/>
  <c r="AH40" i="27"/>
  <c r="AH47" i="27"/>
  <c r="AH57" i="27"/>
  <c r="AC70" i="27"/>
  <c r="AH22" i="27"/>
  <c r="Z62" i="27"/>
  <c r="Z66" i="27"/>
  <c r="AF34" i="27"/>
  <c r="AK70" i="27"/>
  <c r="AH70" i="27"/>
  <c r="AH77" i="27"/>
  <c r="AH53" i="27"/>
  <c r="AK53" i="27"/>
  <c r="AK65" i="27"/>
  <c r="AB34" i="27"/>
  <c r="AB46" i="27"/>
  <c r="AC18" i="27"/>
  <c r="AG26" i="27"/>
  <c r="AH81" i="27"/>
  <c r="Z34" i="27"/>
  <c r="AH76" i="27"/>
  <c r="AH29" i="27"/>
  <c r="AH50" i="27"/>
  <c r="AG50" i="27"/>
  <c r="AF18" i="27"/>
  <c r="AH54" i="27" s="1"/>
  <c r="AF42" i="27"/>
  <c r="AH78" i="27" s="1"/>
  <c r="AH59" i="27"/>
  <c r="AC62" i="27"/>
  <c r="AF70" i="27"/>
  <c r="AF26" i="27"/>
  <c r="AH62" i="27" s="1"/>
  <c r="AG42" i="27"/>
  <c r="AC54" i="27"/>
  <c r="AB62" i="27"/>
  <c r="AG70" i="27"/>
  <c r="AB58" i="27"/>
  <c r="AH69" i="27"/>
  <c r="AF2" i="27"/>
  <c r="AK45" i="27" s="1"/>
  <c r="Y18" i="27"/>
  <c r="AF22" i="27"/>
  <c r="AH58" i="27" s="1"/>
  <c r="Z38" i="27"/>
  <c r="AH56" i="27"/>
  <c r="AF62" i="27"/>
  <c r="AG22" i="27"/>
  <c r="AH25" i="27"/>
  <c r="AH43" i="27"/>
  <c r="AB54" i="27"/>
  <c r="AG62" i="27"/>
  <c r="AH65" i="27"/>
  <c r="AK74" i="27"/>
  <c r="Z22" i="27"/>
  <c r="Y34" i="27"/>
  <c r="Z42" i="27"/>
  <c r="AF46" i="27"/>
  <c r="H2" i="22"/>
  <c r="H3" i="22"/>
  <c r="H4" i="22"/>
  <c r="H5" i="22"/>
  <c r="H6" i="22"/>
  <c r="H7" i="22"/>
  <c r="H8" i="22"/>
  <c r="H9" i="22"/>
  <c r="G8" i="22"/>
  <c r="G5" i="22"/>
  <c r="G3" i="22"/>
  <c r="G2" i="22"/>
  <c r="G9" i="22"/>
  <c r="G7" i="22"/>
  <c r="G6" i="22"/>
  <c r="G4" i="22"/>
  <c r="AK81" i="23" l="1"/>
  <c r="AK67" i="23"/>
  <c r="AL66" i="23" s="1"/>
  <c r="AK65" i="23"/>
  <c r="AK63" i="23"/>
  <c r="AK72" i="23"/>
  <c r="AL70" i="23" s="1"/>
  <c r="AK60" i="23"/>
  <c r="AM58" i="23" s="1"/>
  <c r="AK74" i="23"/>
  <c r="AM74" i="23" s="1"/>
  <c r="AI78" i="23"/>
  <c r="AK80" i="23"/>
  <c r="AJ54" i="23"/>
  <c r="AK69" i="23"/>
  <c r="AM66" i="23" s="1"/>
  <c r="AK57" i="23"/>
  <c r="AJ66" i="23"/>
  <c r="AJ62" i="23"/>
  <c r="AK62" i="23"/>
  <c r="AJ22" i="23"/>
  <c r="AK79" i="23"/>
  <c r="AK77" i="23"/>
  <c r="AJ34" i="23"/>
  <c r="AI70" i="23"/>
  <c r="AM50" i="23"/>
  <c r="AK61" i="23"/>
  <c r="AJ58" i="23"/>
  <c r="AK55" i="23"/>
  <c r="AM54" i="23" s="1"/>
  <c r="Z70" i="23"/>
  <c r="AC66" i="23"/>
  <c r="AB78" i="23"/>
  <c r="AB58" i="23"/>
  <c r="AC58" i="23"/>
  <c r="AB74" i="23"/>
  <c r="AB26" i="23"/>
  <c r="AB46" i="23"/>
  <c r="AJ74" i="23"/>
  <c r="AI74" i="23"/>
  <c r="Z30" i="23"/>
  <c r="Y30" i="23"/>
  <c r="Z26" i="23"/>
  <c r="Y26" i="23"/>
  <c r="AC22" i="23"/>
  <c r="AB22" i="23"/>
  <c r="AM42" i="23"/>
  <c r="AL42" i="23"/>
  <c r="Y22" i="23"/>
  <c r="Z22" i="23"/>
  <c r="AC78" i="23"/>
  <c r="Z54" i="23"/>
  <c r="AI34" i="23"/>
  <c r="Z74" i="23"/>
  <c r="Y74" i="23"/>
  <c r="AM38" i="23"/>
  <c r="AL38" i="23"/>
  <c r="AC50" i="23"/>
  <c r="AB50" i="23"/>
  <c r="Z34" i="23"/>
  <c r="Y34" i="23"/>
  <c r="Z66" i="23"/>
  <c r="AM18" i="23"/>
  <c r="AL18" i="23"/>
  <c r="AJ46" i="23"/>
  <c r="AI46" i="23"/>
  <c r="Z78" i="23"/>
  <c r="Y78" i="23"/>
  <c r="AM62" i="23"/>
  <c r="AL62" i="23"/>
  <c r="AM70" i="23"/>
  <c r="AL46" i="23"/>
  <c r="AM46" i="23"/>
  <c r="Z18" i="23"/>
  <c r="Y18" i="23"/>
  <c r="AM30" i="23"/>
  <c r="AL30" i="23"/>
  <c r="AJ26" i="23"/>
  <c r="AI26" i="23"/>
  <c r="AC46" i="23"/>
  <c r="AM26" i="23"/>
  <c r="AL26" i="23"/>
  <c r="AM34" i="23"/>
  <c r="AL34" i="23"/>
  <c r="Z38" i="23"/>
  <c r="Y38" i="23"/>
  <c r="Z46" i="23"/>
  <c r="Y46" i="23"/>
  <c r="AC18" i="23"/>
  <c r="AB18" i="23"/>
  <c r="AI58" i="23"/>
  <c r="AJ18" i="23"/>
  <c r="AI18" i="23"/>
  <c r="AI22" i="23"/>
  <c r="Y62" i="23"/>
  <c r="Z62" i="23"/>
  <c r="AJ42" i="23"/>
  <c r="AI42" i="23"/>
  <c r="AM78" i="23"/>
  <c r="AL78" i="23"/>
  <c r="AJ38" i="23"/>
  <c r="AI38" i="23"/>
  <c r="AM22" i="23"/>
  <c r="AC30" i="23"/>
  <c r="AB30" i="23"/>
  <c r="AL58" i="23"/>
  <c r="AC42" i="23"/>
  <c r="AB42" i="23"/>
  <c r="Z42" i="23"/>
  <c r="Y42" i="23"/>
  <c r="AJ50" i="23"/>
  <c r="AI50" i="23"/>
  <c r="Z50" i="2"/>
  <c r="AA26" i="2"/>
  <c r="Z46" i="2"/>
  <c r="AC26" i="2"/>
  <c r="AK62" i="2"/>
  <c r="AJ62" i="2"/>
  <c r="AK78" i="2"/>
  <c r="AJ78" i="2"/>
  <c r="AJ54" i="2"/>
  <c r="AK54" i="2"/>
  <c r="AK34" i="2"/>
  <c r="AJ34" i="2"/>
  <c r="AA46" i="2"/>
  <c r="AA58" i="2"/>
  <c r="Z58" i="2"/>
  <c r="AD74" i="2"/>
  <c r="AC74" i="2"/>
  <c r="AD58" i="2"/>
  <c r="AC58" i="2"/>
  <c r="AD18" i="2"/>
  <c r="AC18" i="2"/>
  <c r="AD54" i="2"/>
  <c r="AC54" i="2"/>
  <c r="AA34" i="2"/>
  <c r="Z34" i="2"/>
  <c r="AK42" i="2"/>
  <c r="AJ42" i="2"/>
  <c r="AK18" i="2"/>
  <c r="AJ18" i="2"/>
  <c r="Z22" i="2"/>
  <c r="AA22" i="2"/>
  <c r="AK22" i="2"/>
  <c r="AJ22" i="2"/>
  <c r="AD70" i="2"/>
  <c r="AC70" i="2"/>
  <c r="AA66" i="2"/>
  <c r="AD30" i="2"/>
  <c r="AC30" i="2"/>
  <c r="AD34" i="2"/>
  <c r="AC34" i="2"/>
  <c r="AC78" i="2"/>
  <c r="AA18" i="2"/>
  <c r="Z18" i="2"/>
  <c r="Z74" i="2"/>
  <c r="AA38" i="2"/>
  <c r="Z38" i="2"/>
  <c r="AJ70" i="2"/>
  <c r="AK70" i="2"/>
  <c r="AA54" i="2"/>
  <c r="AD38" i="2"/>
  <c r="AA70" i="2"/>
  <c r="AK58" i="2"/>
  <c r="AJ58" i="2"/>
  <c r="AD62" i="2"/>
  <c r="AC62" i="2"/>
  <c r="AA30" i="2"/>
  <c r="Z30" i="2"/>
  <c r="AC66" i="2"/>
  <c r="AD66" i="2"/>
  <c r="Z62" i="2"/>
  <c r="AA62" i="2"/>
  <c r="AD50" i="2"/>
  <c r="AC50" i="2"/>
  <c r="AA78" i="2"/>
  <c r="Z78" i="2"/>
  <c r="AA42" i="2"/>
  <c r="Z42" i="2"/>
  <c r="AK38" i="2"/>
  <c r="AJ38" i="2"/>
  <c r="AH45" i="27"/>
  <c r="AH33" i="27"/>
  <c r="AK73" i="27"/>
  <c r="AH34" i="27"/>
  <c r="AH64" i="27"/>
  <c r="AI62" i="27" s="1"/>
  <c r="AH55" i="27"/>
  <c r="AH68" i="27"/>
  <c r="AH26" i="27"/>
  <c r="AH73" i="27"/>
  <c r="AK40" i="27"/>
  <c r="AK44" i="27"/>
  <c r="AK23" i="27"/>
  <c r="AK33" i="27"/>
  <c r="AK35" i="27"/>
  <c r="AK47" i="27"/>
  <c r="AK41" i="27"/>
  <c r="AK43" i="27"/>
  <c r="Z18" i="27"/>
  <c r="AB26" i="27"/>
  <c r="AC46" i="27"/>
  <c r="AJ78" i="27"/>
  <c r="AI78" i="27"/>
  <c r="AJ66" i="27"/>
  <c r="AI66" i="27"/>
  <c r="AJ54" i="27"/>
  <c r="AI54" i="27"/>
  <c r="Y46" i="27"/>
  <c r="Z46" i="27"/>
  <c r="Z54" i="27"/>
  <c r="Y54" i="27"/>
  <c r="Y66" i="27"/>
  <c r="AK25" i="27"/>
  <c r="AJ70" i="27"/>
  <c r="AI70" i="27"/>
  <c r="Y62" i="27"/>
  <c r="AJ74" i="27"/>
  <c r="AI74" i="27"/>
  <c r="AB38" i="27"/>
  <c r="AC38" i="27"/>
  <c r="AL50" i="27"/>
  <c r="AK19" i="27"/>
  <c r="Z58" i="27"/>
  <c r="Y58" i="27"/>
  <c r="AC34" i="27"/>
  <c r="Z74" i="27"/>
  <c r="Y74" i="27"/>
  <c r="Y38" i="27"/>
  <c r="Z30" i="27"/>
  <c r="Y30" i="27"/>
  <c r="AB42" i="27"/>
  <c r="AC42" i="27"/>
  <c r="AC26" i="27"/>
  <c r="AH49" i="27"/>
  <c r="AH27" i="27"/>
  <c r="AH48" i="27"/>
  <c r="AH28" i="27"/>
  <c r="AH39" i="27"/>
  <c r="AH30" i="27"/>
  <c r="AH38" i="27"/>
  <c r="AH21" i="27"/>
  <c r="AH46" i="27"/>
  <c r="AH36" i="27"/>
  <c r="AH42" i="27"/>
  <c r="AJ22" i="27"/>
  <c r="AH41" i="27"/>
  <c r="AK29" i="27"/>
  <c r="AK48" i="27"/>
  <c r="AI50" i="27"/>
  <c r="AJ50" i="27"/>
  <c r="Z50" i="27"/>
  <c r="Y50" i="27"/>
  <c r="AK80" i="27"/>
  <c r="AK58" i="27"/>
  <c r="AK79" i="27"/>
  <c r="AK59" i="27"/>
  <c r="AK67" i="27"/>
  <c r="AM66" i="27" s="1"/>
  <c r="AK55" i="27"/>
  <c r="AM54" i="27" s="1"/>
  <c r="AK75" i="27"/>
  <c r="AM74" i="27" s="1"/>
  <c r="AK76" i="27"/>
  <c r="AK61" i="27"/>
  <c r="AK52" i="27"/>
  <c r="AM50" i="27" s="1"/>
  <c r="AK62" i="27"/>
  <c r="AK68" i="27"/>
  <c r="AB18" i="27"/>
  <c r="Z70" i="27"/>
  <c r="Y70" i="27"/>
  <c r="AI58" i="27"/>
  <c r="AJ58" i="27"/>
  <c r="AK32" i="27"/>
  <c r="AK21" i="27"/>
  <c r="AK46" i="27"/>
  <c r="AK28" i="27"/>
  <c r="AK39" i="27"/>
  <c r="AK38" i="27"/>
  <c r="AK22" i="27"/>
  <c r="AK36" i="27"/>
  <c r="AK27" i="27"/>
  <c r="AK42" i="27"/>
  <c r="AK26" i="27"/>
  <c r="AK49" i="27"/>
  <c r="AK24" i="27"/>
  <c r="AK34" i="27"/>
  <c r="AK30" i="27"/>
  <c r="AB78" i="27"/>
  <c r="AC78" i="27"/>
  <c r="AH20" i="27"/>
  <c r="AK37" i="27"/>
  <c r="AK71" i="27"/>
  <c r="AL70" i="27" s="1"/>
  <c r="AC50" i="27"/>
  <c r="AB50" i="27"/>
  <c r="Y42" i="27"/>
  <c r="AH44" i="27"/>
  <c r="AK31" i="27"/>
  <c r="AC22" i="27"/>
  <c r="AB22" i="27"/>
  <c r="AH32" i="27"/>
  <c r="AK20" i="27"/>
  <c r="AK78" i="27"/>
  <c r="Z78" i="27"/>
  <c r="AH31" i="27"/>
  <c r="AH19" i="27"/>
  <c r="AK60" i="27"/>
  <c r="F65" i="32"/>
  <c r="J21" i="32"/>
  <c r="F21" i="32"/>
  <c r="J20" i="32"/>
  <c r="F20" i="32"/>
  <c r="J19" i="32"/>
  <c r="F19" i="32"/>
  <c r="J18" i="32"/>
  <c r="F18" i="32"/>
  <c r="J17" i="32"/>
  <c r="F17" i="32"/>
  <c r="J16" i="32"/>
  <c r="F16" i="32"/>
  <c r="J15" i="32"/>
  <c r="F15" i="32"/>
  <c r="J14" i="32"/>
  <c r="F14" i="32"/>
  <c r="J13" i="32"/>
  <c r="F13" i="32"/>
  <c r="J12" i="32"/>
  <c r="F12" i="32"/>
  <c r="J11" i="32"/>
  <c r="F11" i="32"/>
  <c r="J10" i="32"/>
  <c r="F10" i="32"/>
  <c r="J9" i="32"/>
  <c r="F9" i="32"/>
  <c r="J8" i="32"/>
  <c r="F8" i="32"/>
  <c r="J7" i="32"/>
  <c r="F7" i="32"/>
  <c r="J6" i="32"/>
  <c r="F6" i="32"/>
  <c r="J5" i="32"/>
  <c r="F5" i="32"/>
  <c r="J4" i="32"/>
  <c r="F4" i="32"/>
  <c r="J3" i="32"/>
  <c r="F3" i="32"/>
  <c r="J2" i="32"/>
  <c r="F2" i="32"/>
  <c r="J41" i="32"/>
  <c r="F41" i="32"/>
  <c r="J40" i="32"/>
  <c r="F40" i="32"/>
  <c r="J39" i="32"/>
  <c r="F39" i="32"/>
  <c r="J38" i="32"/>
  <c r="F38" i="32"/>
  <c r="J37" i="32"/>
  <c r="F37" i="32"/>
  <c r="J36" i="32"/>
  <c r="F36" i="32"/>
  <c r="J35" i="32"/>
  <c r="F35" i="32"/>
  <c r="J34" i="32"/>
  <c r="F34" i="32"/>
  <c r="J33" i="32"/>
  <c r="F33" i="32"/>
  <c r="J32" i="32"/>
  <c r="F32" i="32"/>
  <c r="J31" i="32"/>
  <c r="F31" i="32"/>
  <c r="J30" i="32"/>
  <c r="F30" i="32"/>
  <c r="J29" i="32"/>
  <c r="F29" i="32"/>
  <c r="J28" i="32"/>
  <c r="F28" i="32"/>
  <c r="J27" i="32"/>
  <c r="F27" i="32"/>
  <c r="J26" i="32"/>
  <c r="F26" i="32"/>
  <c r="J25" i="32"/>
  <c r="F25" i="32"/>
  <c r="J24" i="32"/>
  <c r="F24" i="32"/>
  <c r="J23" i="32"/>
  <c r="F23" i="32"/>
  <c r="J22" i="32"/>
  <c r="F22" i="32"/>
  <c r="J61" i="32"/>
  <c r="F61" i="32"/>
  <c r="J60" i="32"/>
  <c r="F60" i="32"/>
  <c r="J59" i="32"/>
  <c r="F59" i="32"/>
  <c r="J58" i="32"/>
  <c r="F58" i="32"/>
  <c r="J57" i="32"/>
  <c r="F57" i="32"/>
  <c r="J56" i="32"/>
  <c r="F56" i="32"/>
  <c r="J55" i="32"/>
  <c r="F55" i="32"/>
  <c r="J54" i="32"/>
  <c r="F54" i="32"/>
  <c r="J53" i="32"/>
  <c r="F53" i="32"/>
  <c r="J52" i="32"/>
  <c r="F52" i="32"/>
  <c r="J51" i="32"/>
  <c r="F51" i="32"/>
  <c r="J50" i="32"/>
  <c r="F50" i="32"/>
  <c r="J49" i="32"/>
  <c r="F49" i="32"/>
  <c r="J48" i="32"/>
  <c r="F48" i="32"/>
  <c r="J47" i="32"/>
  <c r="F47" i="32"/>
  <c r="J46" i="32"/>
  <c r="F46" i="32"/>
  <c r="J45" i="32"/>
  <c r="F45" i="32"/>
  <c r="J44" i="32"/>
  <c r="F44" i="32"/>
  <c r="J43" i="32"/>
  <c r="F43" i="32"/>
  <c r="J42" i="32"/>
  <c r="F42" i="32"/>
  <c r="J81" i="32"/>
  <c r="F81" i="32"/>
  <c r="J80" i="32"/>
  <c r="F80" i="32"/>
  <c r="J79" i="32"/>
  <c r="F79" i="32"/>
  <c r="J78" i="32"/>
  <c r="F78" i="32"/>
  <c r="J77" i="32"/>
  <c r="F77" i="32"/>
  <c r="J76" i="32"/>
  <c r="F76" i="32"/>
  <c r="J75" i="32"/>
  <c r="F75" i="32"/>
  <c r="J74" i="32"/>
  <c r="F74" i="32"/>
  <c r="J73" i="32"/>
  <c r="F73" i="32"/>
  <c r="J72" i="32"/>
  <c r="F72" i="32"/>
  <c r="J71" i="32"/>
  <c r="F71" i="32"/>
  <c r="J70" i="32"/>
  <c r="F70" i="32"/>
  <c r="J69" i="32"/>
  <c r="F69" i="32"/>
  <c r="J68" i="32"/>
  <c r="F68" i="32"/>
  <c r="J67" i="32"/>
  <c r="F67" i="32"/>
  <c r="J66" i="32"/>
  <c r="F66" i="32"/>
  <c r="J65" i="32"/>
  <c r="J64" i="32"/>
  <c r="F64" i="32"/>
  <c r="J63" i="32"/>
  <c r="F63" i="32"/>
  <c r="J62" i="32"/>
  <c r="F62" i="32"/>
  <c r="Y18" i="21"/>
  <c r="Y18" i="4"/>
  <c r="Y18" i="1"/>
  <c r="X18" i="1"/>
  <c r="AA81" i="1"/>
  <c r="AA80" i="1"/>
  <c r="AA79" i="1"/>
  <c r="AA78" i="1"/>
  <c r="AB78" i="1" s="1"/>
  <c r="AA77" i="1"/>
  <c r="AA76" i="1"/>
  <c r="AA75" i="1"/>
  <c r="AC74" i="1"/>
  <c r="AA74" i="1"/>
  <c r="AB74" i="1" s="1"/>
  <c r="AA73" i="1"/>
  <c r="AA72" i="1"/>
  <c r="AA71" i="1"/>
  <c r="AA70" i="1"/>
  <c r="AC70" i="1" s="1"/>
  <c r="AA69" i="1"/>
  <c r="AA67" i="1"/>
  <c r="AA66" i="1"/>
  <c r="AC66" i="1" s="1"/>
  <c r="AA65" i="1"/>
  <c r="AA64" i="1"/>
  <c r="AA63" i="1"/>
  <c r="AA62" i="1"/>
  <c r="AC62" i="1" s="1"/>
  <c r="AA61" i="1"/>
  <c r="AA60" i="1"/>
  <c r="AA59" i="1"/>
  <c r="AA58" i="1"/>
  <c r="AC58" i="1" s="1"/>
  <c r="AA57" i="1"/>
  <c r="AA56" i="1"/>
  <c r="AA55" i="1"/>
  <c r="AC54" i="1"/>
  <c r="AA54" i="1"/>
  <c r="AB54" i="1" s="1"/>
  <c r="AA53" i="1"/>
  <c r="AA52" i="1"/>
  <c r="AA51" i="1"/>
  <c r="AA50" i="1"/>
  <c r="AB50" i="1" s="1"/>
  <c r="AA49" i="1"/>
  <c r="AA48" i="1"/>
  <c r="AA47" i="1"/>
  <c r="AA46" i="1"/>
  <c r="AC46" i="1" s="1"/>
  <c r="AA45" i="1"/>
  <c r="AA44" i="1"/>
  <c r="AA43" i="1"/>
  <c r="AA42" i="1"/>
  <c r="AB42" i="1" s="1"/>
  <c r="AA41" i="1"/>
  <c r="AA40" i="1"/>
  <c r="AA39" i="1"/>
  <c r="AA38" i="1"/>
  <c r="AB38" i="1" s="1"/>
  <c r="AA37" i="1"/>
  <c r="AA36" i="1"/>
  <c r="AA35" i="1"/>
  <c r="AC34" i="1"/>
  <c r="AA34" i="1"/>
  <c r="AB34" i="1" s="1"/>
  <c r="AA33" i="1"/>
  <c r="AA32" i="1"/>
  <c r="AA31" i="1"/>
  <c r="AA30" i="1"/>
  <c r="AC30" i="1" s="1"/>
  <c r="AA29" i="1"/>
  <c r="AA28" i="1"/>
  <c r="AB26" i="1" s="1"/>
  <c r="AA27" i="1"/>
  <c r="AA26" i="1"/>
  <c r="AC26" i="1" s="1"/>
  <c r="AA25" i="1"/>
  <c r="AA24" i="1"/>
  <c r="AA23" i="1"/>
  <c r="AA22" i="1"/>
  <c r="AC22" i="1" s="1"/>
  <c r="AA21" i="1"/>
  <c r="AA20" i="1"/>
  <c r="AA19" i="1"/>
  <c r="AC18" i="1"/>
  <c r="X78" i="1"/>
  <c r="AK23" i="4"/>
  <c r="AK81" i="4"/>
  <c r="AK80" i="4"/>
  <c r="AK79" i="4"/>
  <c r="AM78" i="4"/>
  <c r="AL78" i="4"/>
  <c r="AK78" i="4"/>
  <c r="AK77" i="4"/>
  <c r="AK76" i="4"/>
  <c r="AK75" i="4"/>
  <c r="AK74" i="4"/>
  <c r="AM74" i="4" s="1"/>
  <c r="AK73" i="4"/>
  <c r="AK72" i="4"/>
  <c r="AK70" i="4"/>
  <c r="AM70" i="4" s="1"/>
  <c r="AK68" i="4"/>
  <c r="AK67" i="4"/>
  <c r="AK66" i="4"/>
  <c r="AM66" i="4" s="1"/>
  <c r="AK65" i="4"/>
  <c r="AK64" i="4"/>
  <c r="AK63" i="4"/>
  <c r="AK62" i="4"/>
  <c r="AM62" i="4" s="1"/>
  <c r="AK60" i="4"/>
  <c r="AK59" i="4"/>
  <c r="AK58" i="4"/>
  <c r="AM58" i="4" s="1"/>
  <c r="AK57" i="4"/>
  <c r="AK56" i="4"/>
  <c r="AK55" i="4"/>
  <c r="AM54" i="4"/>
  <c r="AK54" i="4"/>
  <c r="AL54" i="4" s="1"/>
  <c r="AK52" i="4"/>
  <c r="AK51" i="4"/>
  <c r="AM50" i="4"/>
  <c r="AK49" i="4"/>
  <c r="AK48" i="4"/>
  <c r="AK47" i="4"/>
  <c r="AK46" i="4"/>
  <c r="AM46" i="4" s="1"/>
  <c r="AK45" i="4"/>
  <c r="AK44" i="4"/>
  <c r="AK43" i="4"/>
  <c r="AK42" i="4"/>
  <c r="AM42" i="4" s="1"/>
  <c r="AK41" i="4"/>
  <c r="AK40" i="4"/>
  <c r="AK39" i="4"/>
  <c r="AM38" i="4"/>
  <c r="AL38" i="4"/>
  <c r="AK38" i="4"/>
  <c r="AK37" i="4"/>
  <c r="AK36" i="4"/>
  <c r="AK35" i="4"/>
  <c r="AK34" i="4"/>
  <c r="AL34" i="4" s="1"/>
  <c r="AK33" i="4"/>
  <c r="AK31" i="4"/>
  <c r="AK30" i="4"/>
  <c r="AM30" i="4" s="1"/>
  <c r="AK29" i="4"/>
  <c r="AK28" i="4"/>
  <c r="AK27" i="4"/>
  <c r="AK26" i="4"/>
  <c r="AM26" i="4" s="1"/>
  <c r="AK25" i="4"/>
  <c r="AK24" i="4"/>
  <c r="AK22" i="4"/>
  <c r="AM22" i="4" s="1"/>
  <c r="AK21" i="4"/>
  <c r="AK19" i="4"/>
  <c r="AK18" i="4"/>
  <c r="AM18" i="4" s="1"/>
  <c r="AA81" i="4"/>
  <c r="AA80" i="4"/>
  <c r="AA79" i="4"/>
  <c r="AA78" i="4"/>
  <c r="AC78" i="4" s="1"/>
  <c r="AA77" i="4"/>
  <c r="AA76" i="4"/>
  <c r="AA75" i="4"/>
  <c r="AA74" i="4"/>
  <c r="AC74" i="4" s="1"/>
  <c r="AA73" i="4"/>
  <c r="AA72" i="4"/>
  <c r="AA71" i="4"/>
  <c r="AA70" i="4"/>
  <c r="AC70" i="4" s="1"/>
  <c r="AA69" i="4"/>
  <c r="AA68" i="4"/>
  <c r="AA67" i="4"/>
  <c r="AA66" i="4"/>
  <c r="AC66" i="4" s="1"/>
  <c r="AA65" i="4"/>
  <c r="AA64" i="4"/>
  <c r="AA63" i="4"/>
  <c r="AA62" i="4"/>
  <c r="AB62" i="4" s="1"/>
  <c r="AA61" i="4"/>
  <c r="AA60" i="4"/>
  <c r="AA59" i="4"/>
  <c r="AA58" i="4"/>
  <c r="AC58" i="4" s="1"/>
  <c r="AA57" i="4"/>
  <c r="AA56" i="4"/>
  <c r="AC54" i="4"/>
  <c r="AA54" i="4"/>
  <c r="AB54" i="4" s="1"/>
  <c r="AA53" i="4"/>
  <c r="AA52" i="4"/>
  <c r="AA51" i="4"/>
  <c r="AA50" i="4"/>
  <c r="AC50" i="4" s="1"/>
  <c r="AA49" i="4"/>
  <c r="AA48" i="4"/>
  <c r="AA47" i="4"/>
  <c r="AA46" i="4"/>
  <c r="AC46" i="4" s="1"/>
  <c r="AA45" i="4"/>
  <c r="AA44" i="4"/>
  <c r="AA43" i="4"/>
  <c r="AA42" i="4"/>
  <c r="AC42" i="4" s="1"/>
  <c r="AA41" i="4"/>
  <c r="AA40" i="4"/>
  <c r="AA39" i="4"/>
  <c r="AA38" i="4"/>
  <c r="AB38" i="4" s="1"/>
  <c r="AA37" i="4"/>
  <c r="AA36" i="4"/>
  <c r="AA35" i="4"/>
  <c r="AA34" i="4"/>
  <c r="AC34" i="4" s="1"/>
  <c r="AA33" i="4"/>
  <c r="AA32" i="4"/>
  <c r="AA31" i="4"/>
  <c r="AA30" i="4"/>
  <c r="AC30" i="4" s="1"/>
  <c r="AA29" i="4"/>
  <c r="AA28" i="4"/>
  <c r="AA27" i="4"/>
  <c r="AA26" i="4"/>
  <c r="AC26" i="4" s="1"/>
  <c r="AA25" i="4"/>
  <c r="AA23" i="4"/>
  <c r="AA22" i="4"/>
  <c r="AC22" i="4" s="1"/>
  <c r="AA21" i="4"/>
  <c r="AA20" i="4"/>
  <c r="AA19" i="4"/>
  <c r="AA18" i="4"/>
  <c r="AC18" i="4" s="1"/>
  <c r="AK26" i="21"/>
  <c r="AK81" i="21"/>
  <c r="AK80" i="21"/>
  <c r="AK79" i="21"/>
  <c r="AK78" i="21"/>
  <c r="AM78" i="21" s="1"/>
  <c r="AK77" i="21"/>
  <c r="AK75" i="21"/>
  <c r="AK74" i="21"/>
  <c r="AL74" i="21" s="1"/>
  <c r="AK73" i="21"/>
  <c r="AK72" i="21"/>
  <c r="AK71" i="21"/>
  <c r="AK70" i="21"/>
  <c r="AL70" i="21" s="1"/>
  <c r="AK69" i="21"/>
  <c r="AK68" i="21"/>
  <c r="AK67" i="21"/>
  <c r="AK66" i="21"/>
  <c r="AM66" i="21" s="1"/>
  <c r="AK65" i="21"/>
  <c r="AK64" i="21"/>
  <c r="AK63" i="21"/>
  <c r="AK62" i="21"/>
  <c r="AM62" i="21" s="1"/>
  <c r="AK61" i="21"/>
  <c r="AK60" i="21"/>
  <c r="AK59" i="21"/>
  <c r="AK58" i="21"/>
  <c r="AL58" i="21" s="1"/>
  <c r="AK57" i="21"/>
  <c r="AK56" i="21"/>
  <c r="AK55" i="21"/>
  <c r="AL54" i="21" s="1"/>
  <c r="AM54" i="21"/>
  <c r="AK54" i="21"/>
  <c r="AK53" i="21"/>
  <c r="AK52" i="21"/>
  <c r="AK51" i="21"/>
  <c r="AM50" i="21"/>
  <c r="AK49" i="21"/>
  <c r="AK48" i="21"/>
  <c r="AK47" i="21"/>
  <c r="AK46" i="21"/>
  <c r="AM46" i="21" s="1"/>
  <c r="AK45" i="21"/>
  <c r="AK44" i="21"/>
  <c r="AK43" i="21"/>
  <c r="AK42" i="21"/>
  <c r="AL42" i="21" s="1"/>
  <c r="AK41" i="21"/>
  <c r="AK40" i="21"/>
  <c r="AK39" i="21"/>
  <c r="AK38" i="21"/>
  <c r="AM38" i="21" s="1"/>
  <c r="AK37" i="21"/>
  <c r="AK36" i="21"/>
  <c r="AK35" i="21"/>
  <c r="AK34" i="21"/>
  <c r="AM34" i="21" s="1"/>
  <c r="AK33" i="21"/>
  <c r="AK32" i="21"/>
  <c r="AK31" i="21"/>
  <c r="AK30" i="21"/>
  <c r="AL30" i="21" s="1"/>
  <c r="AK29" i="21"/>
  <c r="AK27" i="21"/>
  <c r="AM26" i="21"/>
  <c r="AK25" i="21"/>
  <c r="AK24" i="21"/>
  <c r="AK23" i="21"/>
  <c r="AK22" i="21"/>
  <c r="AL22" i="21" s="1"/>
  <c r="AK21" i="21"/>
  <c r="AK20" i="21"/>
  <c r="AK19" i="21"/>
  <c r="AM18" i="21"/>
  <c r="AA18" i="21"/>
  <c r="AA81" i="21"/>
  <c r="AA79" i="21"/>
  <c r="AC78" i="21"/>
  <c r="AB78" i="21"/>
  <c r="AA78" i="21"/>
  <c r="AA77" i="21"/>
  <c r="AA76" i="21"/>
  <c r="AA75" i="21"/>
  <c r="AA74" i="21"/>
  <c r="AC74" i="21" s="1"/>
  <c r="AA73" i="21"/>
  <c r="AA71" i="21"/>
  <c r="AA70" i="21"/>
  <c r="AC70" i="21" s="1"/>
  <c r="AA69" i="21"/>
  <c r="AA68" i="21"/>
  <c r="AA67" i="21"/>
  <c r="AA66" i="21"/>
  <c r="AC66" i="21" s="1"/>
  <c r="AA65" i="21"/>
  <c r="AA64" i="21"/>
  <c r="AA63" i="21"/>
  <c r="AA62" i="21"/>
  <c r="AC62" i="21" s="1"/>
  <c r="AA61" i="21"/>
  <c r="AA60" i="21"/>
  <c r="AA59" i="21"/>
  <c r="AA58" i="21"/>
  <c r="AC58" i="21" s="1"/>
  <c r="AA57" i="21"/>
  <c r="AA56" i="21"/>
  <c r="AA55" i="21"/>
  <c r="AB54" i="21" s="1"/>
  <c r="AC54" i="21"/>
  <c r="AA54" i="21"/>
  <c r="AA53" i="21"/>
  <c r="AA52" i="21"/>
  <c r="AA51" i="21"/>
  <c r="AC50" i="21" s="1"/>
  <c r="AA50" i="21"/>
  <c r="AA48" i="21"/>
  <c r="AA47" i="21"/>
  <c r="AA46" i="21"/>
  <c r="AC46" i="21" s="1"/>
  <c r="AA45" i="21"/>
  <c r="AA43" i="21"/>
  <c r="AA42" i="21"/>
  <c r="AC42" i="21" s="1"/>
  <c r="AA41" i="21"/>
  <c r="AA40" i="21"/>
  <c r="AA39" i="21"/>
  <c r="AC38" i="21"/>
  <c r="AB38" i="21"/>
  <c r="AA38" i="21"/>
  <c r="AA37" i="21"/>
  <c r="AA36" i="21"/>
  <c r="AA35" i="21"/>
  <c r="AA34" i="21"/>
  <c r="AC34" i="21" s="1"/>
  <c r="AA33" i="21"/>
  <c r="AA32" i="21"/>
  <c r="AA31" i="21"/>
  <c r="AA30" i="21"/>
  <c r="AC30" i="21" s="1"/>
  <c r="AA29" i="21"/>
  <c r="AA28" i="21"/>
  <c r="AA27" i="21"/>
  <c r="AA26" i="21"/>
  <c r="AC26" i="21" s="1"/>
  <c r="AA25" i="21"/>
  <c r="AA24" i="21"/>
  <c r="AA23" i="21"/>
  <c r="AA22" i="21"/>
  <c r="AC22" i="21" s="1"/>
  <c r="AA21" i="21"/>
  <c r="AA20" i="21"/>
  <c r="AA19" i="21"/>
  <c r="AB18" i="21"/>
  <c r="AE2" i="21"/>
  <c r="AE3" i="21"/>
  <c r="AF2" i="21" s="1"/>
  <c r="AE4" i="21"/>
  <c r="AE5" i="21"/>
  <c r="AE6" i="21"/>
  <c r="AE7" i="21"/>
  <c r="AF6" i="21" s="1"/>
  <c r="AE8" i="21"/>
  <c r="AE9" i="21"/>
  <c r="AE10" i="21"/>
  <c r="AE11" i="21"/>
  <c r="AF10" i="21" s="1"/>
  <c r="AE12" i="21"/>
  <c r="AE13" i="21"/>
  <c r="AE14" i="21"/>
  <c r="AE15" i="21"/>
  <c r="AF14" i="21" s="1"/>
  <c r="AE16" i="21"/>
  <c r="AE17" i="21"/>
  <c r="AE18" i="21"/>
  <c r="AE19" i="21"/>
  <c r="AF18" i="21" s="1"/>
  <c r="AE20" i="21"/>
  <c r="AE21" i="21"/>
  <c r="AE22" i="21"/>
  <c r="AG22" i="21" s="1"/>
  <c r="AE23" i="21"/>
  <c r="AF22" i="21" s="1"/>
  <c r="AE24" i="21"/>
  <c r="AE25" i="21"/>
  <c r="AE26" i="21"/>
  <c r="AE27" i="21"/>
  <c r="AF26" i="21" s="1"/>
  <c r="AE28" i="21"/>
  <c r="AE29" i="21"/>
  <c r="AE31" i="21"/>
  <c r="AF30" i="21" s="1"/>
  <c r="AE32" i="21"/>
  <c r="AE33" i="21"/>
  <c r="AE34" i="21"/>
  <c r="AE35" i="21"/>
  <c r="AE36" i="21"/>
  <c r="AF34" i="21" s="1"/>
  <c r="AE37" i="21"/>
  <c r="AE38" i="21"/>
  <c r="AE39" i="21"/>
  <c r="AF38" i="21" s="1"/>
  <c r="AE40" i="21"/>
  <c r="AE41" i="21"/>
  <c r="AE42" i="21"/>
  <c r="AE43" i="21"/>
  <c r="AF42" i="21" s="1"/>
  <c r="AE44" i="21"/>
  <c r="AE45" i="21"/>
  <c r="AE46" i="21"/>
  <c r="AE47" i="21"/>
  <c r="AF46" i="21" s="1"/>
  <c r="AE48" i="21"/>
  <c r="AE49" i="21"/>
  <c r="AE50" i="21"/>
  <c r="AE51" i="21"/>
  <c r="AE52" i="21"/>
  <c r="AF50" i="21" s="1"/>
  <c r="AE53" i="21"/>
  <c r="AE54" i="21"/>
  <c r="AE55" i="21"/>
  <c r="AF54" i="21" s="1"/>
  <c r="AE56" i="21"/>
  <c r="AE57" i="21"/>
  <c r="AE58" i="21"/>
  <c r="AE59" i="21"/>
  <c r="AE60" i="21"/>
  <c r="AE61" i="21"/>
  <c r="AE62" i="21"/>
  <c r="AE63" i="21"/>
  <c r="AF62" i="21" s="1"/>
  <c r="AE64" i="21"/>
  <c r="AE65" i="21"/>
  <c r="AE66" i="21"/>
  <c r="AE67" i="21"/>
  <c r="AE68" i="21"/>
  <c r="AF66" i="21" s="1"/>
  <c r="AE69" i="21"/>
  <c r="AE70" i="21"/>
  <c r="AE71" i="21"/>
  <c r="AF70" i="21" s="1"/>
  <c r="AE72" i="21"/>
  <c r="AE73" i="21"/>
  <c r="AE74" i="21"/>
  <c r="AE75" i="21"/>
  <c r="AF74" i="21" s="1"/>
  <c r="AE76" i="21"/>
  <c r="AE77" i="21"/>
  <c r="AE78" i="21"/>
  <c r="AE79" i="21"/>
  <c r="AF78" i="21" s="1"/>
  <c r="AE80" i="21"/>
  <c r="AE81" i="21"/>
  <c r="AA18" i="25"/>
  <c r="AM30" i="25"/>
  <c r="AM78" i="25"/>
  <c r="AL78" i="25"/>
  <c r="AM74" i="25"/>
  <c r="AL74" i="25"/>
  <c r="AM70" i="25"/>
  <c r="AL70" i="25"/>
  <c r="AM66" i="25"/>
  <c r="AL66" i="25"/>
  <c r="AM62" i="25"/>
  <c r="AL62" i="25"/>
  <c r="AM58" i="25"/>
  <c r="AL58" i="25"/>
  <c r="AM54" i="25"/>
  <c r="AL54" i="25"/>
  <c r="AM50" i="25"/>
  <c r="AL50" i="25"/>
  <c r="AM46" i="25"/>
  <c r="AL46" i="25"/>
  <c r="AM42" i="25"/>
  <c r="AL42" i="25"/>
  <c r="AM38" i="25"/>
  <c r="AL38" i="25"/>
  <c r="AM34" i="25"/>
  <c r="AL34" i="25"/>
  <c r="AL30" i="25"/>
  <c r="AM26" i="25"/>
  <c r="AL26" i="25"/>
  <c r="AM22" i="25"/>
  <c r="AL22" i="25"/>
  <c r="AM18" i="25"/>
  <c r="AL18" i="25"/>
  <c r="AK61" i="25"/>
  <c r="AK81" i="25"/>
  <c r="AK80" i="25"/>
  <c r="AK79" i="25"/>
  <c r="AK78" i="25"/>
  <c r="AK77" i="25"/>
  <c r="AK76" i="25"/>
  <c r="AK75" i="25"/>
  <c r="AK74" i="25"/>
  <c r="AK73" i="25"/>
  <c r="AK72" i="25"/>
  <c r="AK71" i="25"/>
  <c r="AK70" i="25"/>
  <c r="AK69" i="25"/>
  <c r="AK68" i="25"/>
  <c r="AK67" i="25"/>
  <c r="AK66" i="25"/>
  <c r="AK65" i="25"/>
  <c r="AK64" i="25"/>
  <c r="AK63" i="25"/>
  <c r="AK62" i="25"/>
  <c r="AK60" i="25"/>
  <c r="AK59" i="25"/>
  <c r="AK58" i="25"/>
  <c r="AK57" i="25"/>
  <c r="AK56" i="25"/>
  <c r="AK55" i="25"/>
  <c r="AK54" i="25"/>
  <c r="AK53" i="25"/>
  <c r="AK52" i="25"/>
  <c r="AK51" i="25"/>
  <c r="AK50" i="25"/>
  <c r="AK19" i="25"/>
  <c r="AK20" i="25"/>
  <c r="AK21" i="25"/>
  <c r="AK22" i="25"/>
  <c r="AK23" i="25"/>
  <c r="AK24" i="25"/>
  <c r="AK25" i="25"/>
  <c r="AK26" i="25"/>
  <c r="AK27" i="25"/>
  <c r="AK28" i="25"/>
  <c r="AK29" i="25"/>
  <c r="AK30" i="25"/>
  <c r="AK31" i="25"/>
  <c r="AK32" i="25"/>
  <c r="AK33" i="25"/>
  <c r="AK34" i="25"/>
  <c r="AK35" i="25"/>
  <c r="AK36" i="25"/>
  <c r="AK37" i="25"/>
  <c r="AK38" i="25"/>
  <c r="AK39" i="25"/>
  <c r="AK40" i="25"/>
  <c r="AK41" i="25"/>
  <c r="AK42" i="25"/>
  <c r="AK43" i="25"/>
  <c r="AK44" i="25"/>
  <c r="AK45" i="25"/>
  <c r="AK46" i="25"/>
  <c r="AK47" i="25"/>
  <c r="AK48" i="25"/>
  <c r="AK49" i="25"/>
  <c r="AK18" i="25"/>
  <c r="AA49" i="25"/>
  <c r="AA48" i="25"/>
  <c r="AA47" i="25"/>
  <c r="AA46" i="25"/>
  <c r="AA45" i="25"/>
  <c r="AA44" i="25"/>
  <c r="AA43" i="25"/>
  <c r="AA42" i="25"/>
  <c r="AA41" i="25"/>
  <c r="AA40" i="25"/>
  <c r="AA39" i="25"/>
  <c r="AA38" i="25"/>
  <c r="AA37" i="25"/>
  <c r="AA36" i="25"/>
  <c r="AA35" i="25"/>
  <c r="AA34" i="25"/>
  <c r="AA33" i="25"/>
  <c r="AA32" i="25"/>
  <c r="AA31" i="25"/>
  <c r="AA30" i="25"/>
  <c r="AC30" i="25" s="1"/>
  <c r="AA29" i="25"/>
  <c r="AA28" i="25"/>
  <c r="AA27" i="25"/>
  <c r="AA26" i="25"/>
  <c r="AA25" i="25"/>
  <c r="AA24" i="25"/>
  <c r="AA23" i="25"/>
  <c r="AA22" i="25"/>
  <c r="AB22" i="25" s="1"/>
  <c r="AA21" i="25"/>
  <c r="AA20" i="25"/>
  <c r="AA19" i="25"/>
  <c r="AB18" i="25" s="1"/>
  <c r="AC22" i="25"/>
  <c r="AC26" i="25"/>
  <c r="AC18" i="25"/>
  <c r="AC78" i="25"/>
  <c r="AB78" i="25"/>
  <c r="AC74" i="25"/>
  <c r="AB74" i="25"/>
  <c r="AC70" i="25"/>
  <c r="AB70" i="25"/>
  <c r="AC66" i="25"/>
  <c r="AB66" i="25"/>
  <c r="AC62" i="25"/>
  <c r="AB62" i="25"/>
  <c r="AC58" i="25"/>
  <c r="AB58" i="25"/>
  <c r="AC54" i="25"/>
  <c r="AB54" i="25"/>
  <c r="AC50" i="25"/>
  <c r="AB50" i="25"/>
  <c r="AC46" i="25"/>
  <c r="AB46" i="25"/>
  <c r="AC42" i="25"/>
  <c r="AB42" i="25"/>
  <c r="AC38" i="25"/>
  <c r="AB38" i="25"/>
  <c r="AC34" i="25"/>
  <c r="AB34" i="25"/>
  <c r="AA56" i="25"/>
  <c r="AA81" i="25"/>
  <c r="AA80" i="25"/>
  <c r="AA79" i="25"/>
  <c r="AA78" i="25"/>
  <c r="AA77" i="25"/>
  <c r="AA76" i="25"/>
  <c r="AA75" i="25"/>
  <c r="AA74" i="25"/>
  <c r="AA73" i="25"/>
  <c r="AA72" i="25"/>
  <c r="AA71" i="25"/>
  <c r="AA70" i="25"/>
  <c r="AA69" i="25"/>
  <c r="AA68" i="25"/>
  <c r="AA67" i="25"/>
  <c r="AA66" i="25"/>
  <c r="AA65" i="25"/>
  <c r="AA64" i="25"/>
  <c r="AA63" i="25"/>
  <c r="AA62" i="25"/>
  <c r="AA61" i="25"/>
  <c r="AA60" i="25"/>
  <c r="AA59" i="25"/>
  <c r="AA58" i="25"/>
  <c r="AA57" i="25"/>
  <c r="AA55" i="25"/>
  <c r="AA54" i="25"/>
  <c r="AA53" i="25"/>
  <c r="AA52" i="25"/>
  <c r="AA51" i="25"/>
  <c r="AA50" i="25"/>
  <c r="X22" i="25"/>
  <c r="E24" i="28"/>
  <c r="I21" i="28"/>
  <c r="E21" i="28"/>
  <c r="I20" i="28"/>
  <c r="E20" i="28"/>
  <c r="I19" i="28"/>
  <c r="E19" i="28"/>
  <c r="I18" i="28"/>
  <c r="E18" i="28"/>
  <c r="I17" i="28"/>
  <c r="E17" i="28"/>
  <c r="I16" i="28"/>
  <c r="E16" i="28"/>
  <c r="I15" i="28"/>
  <c r="E15" i="28"/>
  <c r="I14" i="28"/>
  <c r="E14" i="28"/>
  <c r="I13" i="28"/>
  <c r="E13" i="28"/>
  <c r="I12" i="28"/>
  <c r="E12" i="28"/>
  <c r="I11" i="28"/>
  <c r="E11" i="28"/>
  <c r="I10" i="28"/>
  <c r="E10" i="28"/>
  <c r="I9" i="28"/>
  <c r="E9" i="28"/>
  <c r="I8" i="28"/>
  <c r="E8" i="28"/>
  <c r="I7" i="28"/>
  <c r="E7" i="28"/>
  <c r="I6" i="28"/>
  <c r="E6" i="28"/>
  <c r="I5" i="28"/>
  <c r="E5" i="28"/>
  <c r="I4" i="28"/>
  <c r="E4" i="28"/>
  <c r="I3" i="28"/>
  <c r="E3" i="28"/>
  <c r="I2" i="28"/>
  <c r="E2" i="28"/>
  <c r="AE81" i="25"/>
  <c r="AE80" i="25"/>
  <c r="AE79" i="25"/>
  <c r="AE78" i="25"/>
  <c r="AE77" i="25"/>
  <c r="AE76" i="25"/>
  <c r="AE75" i="25"/>
  <c r="AE74" i="25"/>
  <c r="AE73" i="25"/>
  <c r="AE72" i="25"/>
  <c r="AE71" i="25"/>
  <c r="AE70" i="25"/>
  <c r="AE69" i="25"/>
  <c r="AE68" i="25"/>
  <c r="AE67" i="25"/>
  <c r="AE66" i="25"/>
  <c r="AE65" i="25"/>
  <c r="AE64" i="25"/>
  <c r="AE63" i="25"/>
  <c r="AE62" i="25"/>
  <c r="AE61" i="25"/>
  <c r="AE60" i="25"/>
  <c r="AE59" i="25"/>
  <c r="AE58" i="25"/>
  <c r="AE57" i="25"/>
  <c r="AE56" i="25"/>
  <c r="AE55" i="25"/>
  <c r="AE54" i="25"/>
  <c r="AE53" i="25"/>
  <c r="AE52" i="25"/>
  <c r="AE51" i="25"/>
  <c r="AE50" i="25"/>
  <c r="AG50" i="25" s="1"/>
  <c r="AE49" i="25"/>
  <c r="AE48" i="25"/>
  <c r="AE47" i="25"/>
  <c r="AE46" i="25"/>
  <c r="AE45" i="25"/>
  <c r="AE44" i="25"/>
  <c r="AE43" i="25"/>
  <c r="AE42" i="25"/>
  <c r="AG42" i="25" s="1"/>
  <c r="AE41" i="25"/>
  <c r="AE40" i="25"/>
  <c r="AE39" i="25"/>
  <c r="AE38" i="25"/>
  <c r="AE37" i="25"/>
  <c r="AE36" i="25"/>
  <c r="AE35" i="25"/>
  <c r="AE34" i="25"/>
  <c r="AE33" i="25"/>
  <c r="AE32" i="25"/>
  <c r="AE31" i="25"/>
  <c r="AE30" i="25"/>
  <c r="AE29" i="25"/>
  <c r="AE28" i="25"/>
  <c r="AE27" i="25"/>
  <c r="AE26" i="25"/>
  <c r="AE25" i="25"/>
  <c r="AE24" i="25"/>
  <c r="AE23" i="25"/>
  <c r="AE22" i="25"/>
  <c r="AE21" i="25"/>
  <c r="AE20" i="25"/>
  <c r="AE19" i="25"/>
  <c r="AE18" i="25"/>
  <c r="AE17" i="25"/>
  <c r="AE16" i="25"/>
  <c r="AE15" i="25"/>
  <c r="AE14" i="25"/>
  <c r="AE13" i="25"/>
  <c r="AE12" i="25"/>
  <c r="AE11" i="25"/>
  <c r="AE10" i="25"/>
  <c r="AE9" i="25"/>
  <c r="AE8" i="25"/>
  <c r="AE7" i="25"/>
  <c r="AE6" i="25"/>
  <c r="AE5" i="25"/>
  <c r="AE4" i="25"/>
  <c r="AE3" i="25"/>
  <c r="AE2" i="25"/>
  <c r="AG2" i="25" s="1"/>
  <c r="AG2" i="21"/>
  <c r="AE3" i="1"/>
  <c r="AE81" i="1"/>
  <c r="AE80" i="1"/>
  <c r="AE79" i="1"/>
  <c r="AE78" i="1"/>
  <c r="AE77" i="1"/>
  <c r="AE76" i="1"/>
  <c r="AE75" i="1"/>
  <c r="AE74" i="1"/>
  <c r="AE73" i="1"/>
  <c r="AE72" i="1"/>
  <c r="AE71" i="1"/>
  <c r="AE70" i="1"/>
  <c r="AF70" i="1" s="1"/>
  <c r="AE69" i="1"/>
  <c r="AE68" i="1"/>
  <c r="AE67" i="1"/>
  <c r="AE66" i="1"/>
  <c r="AG66" i="1" s="1"/>
  <c r="AE65" i="1"/>
  <c r="AE64" i="1"/>
  <c r="AE63" i="1"/>
  <c r="AE62" i="1"/>
  <c r="AE61" i="1"/>
  <c r="AE60" i="1"/>
  <c r="AE59" i="1"/>
  <c r="AE58" i="1"/>
  <c r="AE57" i="1"/>
  <c r="AE56" i="1"/>
  <c r="AE55" i="1"/>
  <c r="AE54" i="1"/>
  <c r="AE53" i="1"/>
  <c r="AE52" i="1"/>
  <c r="AE51" i="1"/>
  <c r="AE50" i="1"/>
  <c r="AG50" i="1" s="1"/>
  <c r="AE49" i="1"/>
  <c r="AE48" i="1"/>
  <c r="AE47" i="1"/>
  <c r="AE46" i="1"/>
  <c r="AG46" i="1" s="1"/>
  <c r="AE45" i="1"/>
  <c r="AE44" i="1"/>
  <c r="AE43" i="1"/>
  <c r="AE42" i="1"/>
  <c r="AE41" i="1"/>
  <c r="AE40" i="1"/>
  <c r="AE39" i="1"/>
  <c r="AE38" i="1"/>
  <c r="AE37" i="1"/>
  <c r="AE36" i="1"/>
  <c r="AE35" i="1"/>
  <c r="AE34" i="1"/>
  <c r="AE33" i="1"/>
  <c r="AE32" i="1"/>
  <c r="AE31" i="1"/>
  <c r="AE30" i="1"/>
  <c r="AF30" i="1" s="1"/>
  <c r="AE29" i="1"/>
  <c r="AE28" i="1"/>
  <c r="AE27" i="1"/>
  <c r="AE26" i="1"/>
  <c r="AG26" i="1" s="1"/>
  <c r="AE25" i="1"/>
  <c r="AE24" i="1"/>
  <c r="AE23" i="1"/>
  <c r="AE22" i="1"/>
  <c r="AE21" i="1"/>
  <c r="AE19" i="1"/>
  <c r="AE18" i="1"/>
  <c r="AE17" i="1"/>
  <c r="AE16" i="1"/>
  <c r="AE15" i="1"/>
  <c r="AE14" i="1"/>
  <c r="AE12" i="1"/>
  <c r="AE11" i="1"/>
  <c r="AE10" i="1"/>
  <c r="AF10" i="1" s="1"/>
  <c r="AE9" i="1"/>
  <c r="AE8" i="1"/>
  <c r="AE7" i="1"/>
  <c r="AE6" i="1"/>
  <c r="AE5" i="1"/>
  <c r="AE4" i="1"/>
  <c r="AE2" i="1"/>
  <c r="AE80" i="4"/>
  <c r="AG78" i="4" s="1"/>
  <c r="AE3" i="4"/>
  <c r="AE4" i="4"/>
  <c r="AE5" i="4"/>
  <c r="AE6" i="4"/>
  <c r="AE7" i="4"/>
  <c r="AE8" i="4"/>
  <c r="AE9" i="4"/>
  <c r="AE10" i="4"/>
  <c r="AE11" i="4"/>
  <c r="AE12" i="4"/>
  <c r="AE13" i="4"/>
  <c r="AE14" i="4"/>
  <c r="AE15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E30" i="4"/>
  <c r="AE31" i="4"/>
  <c r="AE32" i="4"/>
  <c r="AE33" i="4"/>
  <c r="AE34" i="4"/>
  <c r="AE35" i="4"/>
  <c r="AE36" i="4"/>
  <c r="AE37" i="4"/>
  <c r="AE38" i="4"/>
  <c r="AG38" i="4" s="1"/>
  <c r="AE39" i="4"/>
  <c r="AE40" i="4"/>
  <c r="AE41" i="4"/>
  <c r="AE42" i="4"/>
  <c r="AE43" i="4"/>
  <c r="AE44" i="4"/>
  <c r="AE45" i="4"/>
  <c r="AE46" i="4"/>
  <c r="AE47" i="4"/>
  <c r="AE48" i="4"/>
  <c r="AE49" i="4"/>
  <c r="AE50" i="4"/>
  <c r="AE51" i="4"/>
  <c r="AE52" i="4"/>
  <c r="AE53" i="4"/>
  <c r="AE54" i="4"/>
  <c r="AE55" i="4"/>
  <c r="AE56" i="4"/>
  <c r="AE57" i="4"/>
  <c r="AE58" i="4"/>
  <c r="AG58" i="4" s="1"/>
  <c r="AE59" i="4"/>
  <c r="AE60" i="4"/>
  <c r="AE61" i="4"/>
  <c r="AE62" i="4"/>
  <c r="AE63" i="4"/>
  <c r="AE64" i="4"/>
  <c r="AE65" i="4"/>
  <c r="AE66" i="4"/>
  <c r="AE67" i="4"/>
  <c r="AE68" i="4"/>
  <c r="AE69" i="4"/>
  <c r="AE70" i="4"/>
  <c r="AE71" i="4"/>
  <c r="AE72" i="4"/>
  <c r="AE73" i="4"/>
  <c r="AE74" i="4"/>
  <c r="AE75" i="4"/>
  <c r="AE76" i="4"/>
  <c r="AE77" i="4"/>
  <c r="AE78" i="4"/>
  <c r="AE79" i="4"/>
  <c r="AE81" i="4"/>
  <c r="AE2" i="4"/>
  <c r="V18" i="25"/>
  <c r="W78" i="25"/>
  <c r="V78" i="25"/>
  <c r="U78" i="25"/>
  <c r="T78" i="25"/>
  <c r="S78" i="25"/>
  <c r="R78" i="25"/>
  <c r="Q78" i="25"/>
  <c r="P78" i="25"/>
  <c r="W74" i="25"/>
  <c r="V74" i="25"/>
  <c r="U74" i="25"/>
  <c r="T74" i="25"/>
  <c r="S74" i="25"/>
  <c r="R74" i="25"/>
  <c r="Q74" i="25"/>
  <c r="P74" i="25"/>
  <c r="W70" i="25"/>
  <c r="V70" i="25"/>
  <c r="U70" i="25"/>
  <c r="T70" i="25"/>
  <c r="S70" i="25"/>
  <c r="R70" i="25"/>
  <c r="Q70" i="25"/>
  <c r="P70" i="25"/>
  <c r="W66" i="25"/>
  <c r="V66" i="25"/>
  <c r="U66" i="25"/>
  <c r="T66" i="25"/>
  <c r="S66" i="25"/>
  <c r="R66" i="25"/>
  <c r="Q66" i="25"/>
  <c r="P66" i="25"/>
  <c r="W62" i="25"/>
  <c r="V62" i="25"/>
  <c r="U62" i="25"/>
  <c r="T62" i="25"/>
  <c r="S62" i="25"/>
  <c r="R62" i="25"/>
  <c r="Q62" i="25"/>
  <c r="P62" i="25"/>
  <c r="W58" i="25"/>
  <c r="V58" i="25"/>
  <c r="U58" i="25"/>
  <c r="T58" i="25"/>
  <c r="S58" i="25"/>
  <c r="R58" i="25"/>
  <c r="Q58" i="25"/>
  <c r="P58" i="25"/>
  <c r="W54" i="25"/>
  <c r="V54" i="25"/>
  <c r="U54" i="25"/>
  <c r="T54" i="25"/>
  <c r="S54" i="25"/>
  <c r="R54" i="25"/>
  <c r="Q54" i="25"/>
  <c r="P54" i="25"/>
  <c r="W50" i="25"/>
  <c r="V50" i="25"/>
  <c r="U50" i="25"/>
  <c r="T50" i="25"/>
  <c r="S50" i="25"/>
  <c r="R50" i="25"/>
  <c r="Q50" i="25"/>
  <c r="P50" i="25"/>
  <c r="W46" i="25"/>
  <c r="V46" i="25"/>
  <c r="U46" i="25"/>
  <c r="T46" i="25"/>
  <c r="S46" i="25"/>
  <c r="R46" i="25"/>
  <c r="Q46" i="25"/>
  <c r="P46" i="25"/>
  <c r="X45" i="25"/>
  <c r="X43" i="25"/>
  <c r="W42" i="25"/>
  <c r="V42" i="25"/>
  <c r="U42" i="25"/>
  <c r="T42" i="25"/>
  <c r="S42" i="25"/>
  <c r="R42" i="25"/>
  <c r="Q42" i="25"/>
  <c r="P42" i="25"/>
  <c r="W38" i="25"/>
  <c r="V38" i="25"/>
  <c r="U38" i="25"/>
  <c r="T38" i="25"/>
  <c r="S38" i="25"/>
  <c r="R38" i="25"/>
  <c r="Q38" i="25"/>
  <c r="P38" i="25"/>
  <c r="W34" i="25"/>
  <c r="V34" i="25"/>
  <c r="U34" i="25"/>
  <c r="T34" i="25"/>
  <c r="S34" i="25"/>
  <c r="R34" i="25"/>
  <c r="Q34" i="25"/>
  <c r="P34" i="25"/>
  <c r="W30" i="25"/>
  <c r="V30" i="25"/>
  <c r="U30" i="25"/>
  <c r="T30" i="25"/>
  <c r="S30" i="25"/>
  <c r="R30" i="25"/>
  <c r="Q30" i="25"/>
  <c r="P30" i="25"/>
  <c r="W26" i="25"/>
  <c r="V26" i="25"/>
  <c r="U26" i="25"/>
  <c r="T26" i="25"/>
  <c r="S26" i="25"/>
  <c r="R26" i="25"/>
  <c r="Q26" i="25"/>
  <c r="P26" i="25"/>
  <c r="W22" i="25"/>
  <c r="V22" i="25"/>
  <c r="U22" i="25"/>
  <c r="T22" i="25"/>
  <c r="S22" i="25"/>
  <c r="R22" i="25"/>
  <c r="Q22" i="25"/>
  <c r="P22" i="25"/>
  <c r="W18" i="25"/>
  <c r="U18" i="25"/>
  <c r="T18" i="25"/>
  <c r="S18" i="25"/>
  <c r="R18" i="25"/>
  <c r="Q18" i="25"/>
  <c r="P18" i="25"/>
  <c r="W14" i="25"/>
  <c r="V14" i="25"/>
  <c r="U14" i="25"/>
  <c r="T14" i="25"/>
  <c r="S14" i="25"/>
  <c r="X81" i="25" s="1"/>
  <c r="R14" i="25"/>
  <c r="Q14" i="25"/>
  <c r="P14" i="25"/>
  <c r="W10" i="25"/>
  <c r="V10" i="25"/>
  <c r="U10" i="25"/>
  <c r="T10" i="25"/>
  <c r="S10" i="25"/>
  <c r="R10" i="25"/>
  <c r="Q10" i="25"/>
  <c r="P10" i="25"/>
  <c r="W6" i="25"/>
  <c r="V6" i="25"/>
  <c r="U6" i="25"/>
  <c r="T6" i="25"/>
  <c r="S6" i="25"/>
  <c r="X41" i="25" s="1"/>
  <c r="R6" i="25"/>
  <c r="Q6" i="25"/>
  <c r="P6" i="25"/>
  <c r="W2" i="25"/>
  <c r="V2" i="25"/>
  <c r="U2" i="25"/>
  <c r="T2" i="25"/>
  <c r="S2" i="25"/>
  <c r="R2" i="25"/>
  <c r="Q2" i="25"/>
  <c r="P2" i="25"/>
  <c r="W2" i="21"/>
  <c r="W78" i="21"/>
  <c r="V78" i="21"/>
  <c r="U78" i="21"/>
  <c r="T78" i="21"/>
  <c r="S78" i="21"/>
  <c r="R78" i="21"/>
  <c r="Q78" i="21"/>
  <c r="P78" i="21"/>
  <c r="W74" i="21"/>
  <c r="V74" i="21"/>
  <c r="U74" i="21"/>
  <c r="T74" i="21"/>
  <c r="S74" i="21"/>
  <c r="R74" i="21"/>
  <c r="Q74" i="21"/>
  <c r="P74" i="21"/>
  <c r="W70" i="21"/>
  <c r="V70" i="21"/>
  <c r="U70" i="21"/>
  <c r="T70" i="21"/>
  <c r="S70" i="21"/>
  <c r="R70" i="21"/>
  <c r="Q70" i="21"/>
  <c r="P70" i="21"/>
  <c r="W66" i="21"/>
  <c r="V66" i="21"/>
  <c r="U66" i="21"/>
  <c r="T66" i="21"/>
  <c r="S66" i="21"/>
  <c r="R66" i="21"/>
  <c r="Q66" i="21"/>
  <c r="P66" i="21"/>
  <c r="W62" i="21"/>
  <c r="V62" i="21"/>
  <c r="U62" i="21"/>
  <c r="T62" i="21"/>
  <c r="S62" i="21"/>
  <c r="R62" i="21"/>
  <c r="Q62" i="21"/>
  <c r="P62" i="21"/>
  <c r="W58" i="21"/>
  <c r="V58" i="21"/>
  <c r="U58" i="21"/>
  <c r="T58" i="21"/>
  <c r="S58" i="21"/>
  <c r="R58" i="21"/>
  <c r="Q58" i="21"/>
  <c r="P58" i="21"/>
  <c r="W54" i="21"/>
  <c r="V54" i="21"/>
  <c r="U54" i="21"/>
  <c r="T54" i="21"/>
  <c r="S54" i="21"/>
  <c r="R54" i="21"/>
  <c r="Q54" i="21"/>
  <c r="P54" i="21"/>
  <c r="W50" i="21"/>
  <c r="V50" i="21"/>
  <c r="U50" i="21"/>
  <c r="T50" i="21"/>
  <c r="S50" i="21"/>
  <c r="R50" i="21"/>
  <c r="Q50" i="21"/>
  <c r="P50" i="21"/>
  <c r="W46" i="21"/>
  <c r="V46" i="21"/>
  <c r="U46" i="21"/>
  <c r="T46" i="21"/>
  <c r="S46" i="21"/>
  <c r="R46" i="21"/>
  <c r="Q46" i="21"/>
  <c r="P46" i="21"/>
  <c r="W42" i="21"/>
  <c r="V42" i="21"/>
  <c r="U42" i="21"/>
  <c r="T42" i="21"/>
  <c r="S42" i="21"/>
  <c r="R42" i="21"/>
  <c r="Q42" i="21"/>
  <c r="P42" i="21"/>
  <c r="W38" i="21"/>
  <c r="V38" i="21"/>
  <c r="U38" i="21"/>
  <c r="T38" i="21"/>
  <c r="S38" i="21"/>
  <c r="R38" i="21"/>
  <c r="Q38" i="21"/>
  <c r="P38" i="21"/>
  <c r="W34" i="21"/>
  <c r="V34" i="21"/>
  <c r="U34" i="21"/>
  <c r="T34" i="21"/>
  <c r="S34" i="21"/>
  <c r="R34" i="21"/>
  <c r="Q34" i="21"/>
  <c r="P34" i="21"/>
  <c r="W30" i="21"/>
  <c r="V30" i="21"/>
  <c r="U30" i="21"/>
  <c r="T30" i="21"/>
  <c r="S30" i="21"/>
  <c r="R30" i="21"/>
  <c r="Q30" i="21"/>
  <c r="P30" i="21"/>
  <c r="W26" i="21"/>
  <c r="V26" i="21"/>
  <c r="U26" i="21"/>
  <c r="T26" i="21"/>
  <c r="S26" i="21"/>
  <c r="R26" i="21"/>
  <c r="Q26" i="21"/>
  <c r="P26" i="21"/>
  <c r="W22" i="21"/>
  <c r="V22" i="21"/>
  <c r="U22" i="21"/>
  <c r="T22" i="21"/>
  <c r="S22" i="21"/>
  <c r="R22" i="21"/>
  <c r="Q22" i="21"/>
  <c r="P22" i="21"/>
  <c r="W18" i="21"/>
  <c r="V18" i="21"/>
  <c r="U18" i="21"/>
  <c r="T18" i="21"/>
  <c r="S18" i="21"/>
  <c r="R18" i="21"/>
  <c r="Q18" i="21"/>
  <c r="P18" i="21"/>
  <c r="W14" i="21"/>
  <c r="V14" i="21"/>
  <c r="U14" i="21"/>
  <c r="T14" i="21"/>
  <c r="S14" i="21"/>
  <c r="X81" i="21" s="1"/>
  <c r="R14" i="21"/>
  <c r="Q14" i="21"/>
  <c r="P14" i="21"/>
  <c r="W10" i="21"/>
  <c r="V10" i="21"/>
  <c r="U10" i="21"/>
  <c r="T10" i="21"/>
  <c r="S10" i="21"/>
  <c r="R10" i="21"/>
  <c r="Q10" i="21"/>
  <c r="P10" i="21"/>
  <c r="W6" i="21"/>
  <c r="V6" i="21"/>
  <c r="U6" i="21"/>
  <c r="T6" i="21"/>
  <c r="S6" i="21"/>
  <c r="X41" i="21" s="1"/>
  <c r="R6" i="21"/>
  <c r="Q6" i="21"/>
  <c r="P6" i="21"/>
  <c r="V2" i="21"/>
  <c r="U2" i="21"/>
  <c r="T2" i="21"/>
  <c r="S2" i="21"/>
  <c r="R2" i="21"/>
  <c r="Q2" i="21"/>
  <c r="P2" i="21"/>
  <c r="P2" i="4"/>
  <c r="X81" i="4"/>
  <c r="W78" i="4"/>
  <c r="V78" i="4"/>
  <c r="U78" i="4"/>
  <c r="T78" i="4"/>
  <c r="S78" i="4"/>
  <c r="R78" i="4"/>
  <c r="Q78" i="4"/>
  <c r="P78" i="4"/>
  <c r="W74" i="4"/>
  <c r="V74" i="4"/>
  <c r="U74" i="4"/>
  <c r="T74" i="4"/>
  <c r="S74" i="4"/>
  <c r="R74" i="4"/>
  <c r="Q74" i="4"/>
  <c r="P74" i="4"/>
  <c r="X72" i="4"/>
  <c r="X70" i="4"/>
  <c r="W70" i="4"/>
  <c r="V70" i="4"/>
  <c r="U70" i="4"/>
  <c r="T70" i="4"/>
  <c r="S70" i="4"/>
  <c r="R70" i="4"/>
  <c r="Q70" i="4"/>
  <c r="P70" i="4"/>
  <c r="W66" i="4"/>
  <c r="V66" i="4"/>
  <c r="U66" i="4"/>
  <c r="T66" i="4"/>
  <c r="S66" i="4"/>
  <c r="R66" i="4"/>
  <c r="Q66" i="4"/>
  <c r="P66" i="4"/>
  <c r="X64" i="4"/>
  <c r="X63" i="4"/>
  <c r="W62" i="4"/>
  <c r="V62" i="4"/>
  <c r="U62" i="4"/>
  <c r="T62" i="4"/>
  <c r="S62" i="4"/>
  <c r="R62" i="4"/>
  <c r="Q62" i="4"/>
  <c r="P62" i="4"/>
  <c r="W58" i="4"/>
  <c r="V58" i="4"/>
  <c r="U58" i="4"/>
  <c r="T58" i="4"/>
  <c r="S58" i="4"/>
  <c r="R58" i="4"/>
  <c r="Q58" i="4"/>
  <c r="P58" i="4"/>
  <c r="W54" i="4"/>
  <c r="V54" i="4"/>
  <c r="U54" i="4"/>
  <c r="T54" i="4"/>
  <c r="S54" i="4"/>
  <c r="R54" i="4"/>
  <c r="Q54" i="4"/>
  <c r="P54" i="4"/>
  <c r="W50" i="4"/>
  <c r="V50" i="4"/>
  <c r="U50" i="4"/>
  <c r="T50" i="4"/>
  <c r="S50" i="4"/>
  <c r="R50" i="4"/>
  <c r="Q50" i="4"/>
  <c r="P50" i="4"/>
  <c r="X47" i="4"/>
  <c r="X46" i="4"/>
  <c r="W46" i="4"/>
  <c r="V46" i="4"/>
  <c r="U46" i="4"/>
  <c r="T46" i="4"/>
  <c r="S46" i="4"/>
  <c r="R46" i="4"/>
  <c r="Q46" i="4"/>
  <c r="P46" i="4"/>
  <c r="W42" i="4"/>
  <c r="V42" i="4"/>
  <c r="U42" i="4"/>
  <c r="T42" i="4"/>
  <c r="S42" i="4"/>
  <c r="R42" i="4"/>
  <c r="Q42" i="4"/>
  <c r="P42" i="4"/>
  <c r="X41" i="4"/>
  <c r="W38" i="4"/>
  <c r="V38" i="4"/>
  <c r="U38" i="4"/>
  <c r="T38" i="4"/>
  <c r="S38" i="4"/>
  <c r="R38" i="4"/>
  <c r="Q38" i="4"/>
  <c r="P38" i="4"/>
  <c r="W34" i="4"/>
  <c r="V34" i="4"/>
  <c r="U34" i="4"/>
  <c r="T34" i="4"/>
  <c r="S34" i="4"/>
  <c r="R34" i="4"/>
  <c r="Q34" i="4"/>
  <c r="P34" i="4"/>
  <c r="W30" i="4"/>
  <c r="V30" i="4"/>
  <c r="U30" i="4"/>
  <c r="T30" i="4"/>
  <c r="S30" i="4"/>
  <c r="R30" i="4"/>
  <c r="Q30" i="4"/>
  <c r="P30" i="4"/>
  <c r="W26" i="4"/>
  <c r="V26" i="4"/>
  <c r="U26" i="4"/>
  <c r="T26" i="4"/>
  <c r="S26" i="4"/>
  <c r="R26" i="4"/>
  <c r="Q26" i="4"/>
  <c r="P26" i="4"/>
  <c r="W22" i="4"/>
  <c r="V22" i="4"/>
  <c r="U22" i="4"/>
  <c r="T22" i="4"/>
  <c r="S22" i="4"/>
  <c r="R22" i="4"/>
  <c r="Q22" i="4"/>
  <c r="P22" i="4"/>
  <c r="W18" i="4"/>
  <c r="V18" i="4"/>
  <c r="U18" i="4"/>
  <c r="T18" i="4"/>
  <c r="S18" i="4"/>
  <c r="R18" i="4"/>
  <c r="Q18" i="4"/>
  <c r="P18" i="4"/>
  <c r="W14" i="4"/>
  <c r="V14" i="4"/>
  <c r="U14" i="4"/>
  <c r="T14" i="4"/>
  <c r="S14" i="4"/>
  <c r="X80" i="4" s="1"/>
  <c r="R14" i="4"/>
  <c r="Q14" i="4"/>
  <c r="P14" i="4"/>
  <c r="W10" i="4"/>
  <c r="V10" i="4"/>
  <c r="U10" i="4"/>
  <c r="T10" i="4"/>
  <c r="S10" i="4"/>
  <c r="R10" i="4"/>
  <c r="Q10" i="4"/>
  <c r="P10" i="4"/>
  <c r="W6" i="4"/>
  <c r="V6" i="4"/>
  <c r="U6" i="4"/>
  <c r="T6" i="4"/>
  <c r="S6" i="4"/>
  <c r="X40" i="4" s="1"/>
  <c r="R6" i="4"/>
  <c r="Q6" i="4"/>
  <c r="P6" i="4"/>
  <c r="W2" i="4"/>
  <c r="V2" i="4"/>
  <c r="U2" i="4"/>
  <c r="T2" i="4"/>
  <c r="S2" i="4"/>
  <c r="R2" i="4"/>
  <c r="Q2" i="4"/>
  <c r="X56" i="1"/>
  <c r="X57" i="1"/>
  <c r="X58" i="1"/>
  <c r="X69" i="1"/>
  <c r="X72" i="1"/>
  <c r="X73" i="1"/>
  <c r="X74" i="1"/>
  <c r="X75" i="1"/>
  <c r="X77" i="1"/>
  <c r="X79" i="1"/>
  <c r="W78" i="1"/>
  <c r="V78" i="1"/>
  <c r="U78" i="1"/>
  <c r="T78" i="1"/>
  <c r="W74" i="1"/>
  <c r="V74" i="1"/>
  <c r="U74" i="1"/>
  <c r="T74" i="1"/>
  <c r="W70" i="1"/>
  <c r="V70" i="1"/>
  <c r="U70" i="1"/>
  <c r="T70" i="1"/>
  <c r="W66" i="1"/>
  <c r="V66" i="1"/>
  <c r="U66" i="1"/>
  <c r="T66" i="1"/>
  <c r="W62" i="1"/>
  <c r="V62" i="1"/>
  <c r="U62" i="1"/>
  <c r="T62" i="1"/>
  <c r="W58" i="1"/>
  <c r="V58" i="1"/>
  <c r="U58" i="1"/>
  <c r="T58" i="1"/>
  <c r="W54" i="1"/>
  <c r="V54" i="1"/>
  <c r="U54" i="1"/>
  <c r="T54" i="1"/>
  <c r="W50" i="1"/>
  <c r="V50" i="1"/>
  <c r="U50" i="1"/>
  <c r="T50" i="1"/>
  <c r="W46" i="1"/>
  <c r="V46" i="1"/>
  <c r="U46" i="1"/>
  <c r="T46" i="1"/>
  <c r="W42" i="1"/>
  <c r="V42" i="1"/>
  <c r="U42" i="1"/>
  <c r="T42" i="1"/>
  <c r="W38" i="1"/>
  <c r="V38" i="1"/>
  <c r="U38" i="1"/>
  <c r="T38" i="1"/>
  <c r="W34" i="1"/>
  <c r="V34" i="1"/>
  <c r="U34" i="1"/>
  <c r="T34" i="1"/>
  <c r="W30" i="1"/>
  <c r="V30" i="1"/>
  <c r="U30" i="1"/>
  <c r="T30" i="1"/>
  <c r="W26" i="1"/>
  <c r="V26" i="1"/>
  <c r="U26" i="1"/>
  <c r="T26" i="1"/>
  <c r="W22" i="1"/>
  <c r="V22" i="1"/>
  <c r="U22" i="1"/>
  <c r="T22" i="1"/>
  <c r="W18" i="1"/>
  <c r="V18" i="1"/>
  <c r="U18" i="1"/>
  <c r="T18" i="1"/>
  <c r="W14" i="1"/>
  <c r="V14" i="1"/>
  <c r="U14" i="1"/>
  <c r="T14" i="1"/>
  <c r="W10" i="1"/>
  <c r="V10" i="1"/>
  <c r="U10" i="1"/>
  <c r="T10" i="1"/>
  <c r="W6" i="1"/>
  <c r="V6" i="1"/>
  <c r="U6" i="1"/>
  <c r="T6" i="1"/>
  <c r="U2" i="1"/>
  <c r="V2" i="1"/>
  <c r="W2" i="1"/>
  <c r="T2" i="1"/>
  <c r="S78" i="1"/>
  <c r="R78" i="1"/>
  <c r="Q78" i="1"/>
  <c r="P78" i="1"/>
  <c r="S74" i="1"/>
  <c r="R74" i="1"/>
  <c r="Q74" i="1"/>
  <c r="P74" i="1"/>
  <c r="S70" i="1"/>
  <c r="R70" i="1"/>
  <c r="Q70" i="1"/>
  <c r="P70" i="1"/>
  <c r="S66" i="1"/>
  <c r="R66" i="1"/>
  <c r="Q66" i="1"/>
  <c r="P66" i="1"/>
  <c r="S62" i="1"/>
  <c r="R62" i="1"/>
  <c r="Q62" i="1"/>
  <c r="P62" i="1"/>
  <c r="S58" i="1"/>
  <c r="R58" i="1"/>
  <c r="Q58" i="1"/>
  <c r="P58" i="1"/>
  <c r="S54" i="1"/>
  <c r="R54" i="1"/>
  <c r="Q54" i="1"/>
  <c r="P54" i="1"/>
  <c r="S50" i="1"/>
  <c r="R50" i="1"/>
  <c r="Q50" i="1"/>
  <c r="P50" i="1"/>
  <c r="S46" i="1"/>
  <c r="R46" i="1"/>
  <c r="Q46" i="1"/>
  <c r="P46" i="1"/>
  <c r="S42" i="1"/>
  <c r="R42" i="1"/>
  <c r="Q42" i="1"/>
  <c r="P42" i="1"/>
  <c r="S38" i="1"/>
  <c r="R38" i="1"/>
  <c r="Q38" i="1"/>
  <c r="P38" i="1"/>
  <c r="S34" i="1"/>
  <c r="R34" i="1"/>
  <c r="Q34" i="1"/>
  <c r="P34" i="1"/>
  <c r="P30" i="1"/>
  <c r="S30" i="1"/>
  <c r="R30" i="1"/>
  <c r="Q30" i="1"/>
  <c r="S26" i="1"/>
  <c r="R26" i="1"/>
  <c r="Q26" i="1"/>
  <c r="P26" i="1"/>
  <c r="S22" i="1"/>
  <c r="R22" i="1"/>
  <c r="Q22" i="1"/>
  <c r="P22" i="1"/>
  <c r="S18" i="1"/>
  <c r="R18" i="1"/>
  <c r="Q18" i="1"/>
  <c r="P18" i="1"/>
  <c r="S14" i="1"/>
  <c r="X61" i="1" s="1"/>
  <c r="R14" i="1"/>
  <c r="Q14" i="1"/>
  <c r="S10" i="1"/>
  <c r="R10" i="1"/>
  <c r="Q10" i="1"/>
  <c r="P10" i="1"/>
  <c r="S6" i="1"/>
  <c r="X27" i="1" s="1"/>
  <c r="R6" i="1"/>
  <c r="Q6" i="1"/>
  <c r="P6" i="1"/>
  <c r="Q2" i="1"/>
  <c r="R2" i="1"/>
  <c r="S2" i="1"/>
  <c r="P2" i="1"/>
  <c r="AI62" i="23" l="1"/>
  <c r="AL74" i="23"/>
  <c r="AJ70" i="23"/>
  <c r="AJ78" i="23"/>
  <c r="AL50" i="23"/>
  <c r="AI54" i="23"/>
  <c r="AI66" i="23"/>
  <c r="AL54" i="23"/>
  <c r="AL66" i="27"/>
  <c r="AJ62" i="27"/>
  <c r="AM70" i="27"/>
  <c r="AI34" i="27"/>
  <c r="AJ26" i="27"/>
  <c r="AL46" i="27"/>
  <c r="AM46" i="27"/>
  <c r="AM62" i="27"/>
  <c r="AL62" i="27"/>
  <c r="AJ34" i="27"/>
  <c r="AL26" i="27"/>
  <c r="AM26" i="27"/>
  <c r="AJ18" i="27"/>
  <c r="AI18" i="27"/>
  <c r="AI22" i="27"/>
  <c r="AM58" i="27"/>
  <c r="AL58" i="27"/>
  <c r="AM78" i="27"/>
  <c r="AL78" i="27"/>
  <c r="AM42" i="27"/>
  <c r="AL42" i="27"/>
  <c r="AJ42" i="27"/>
  <c r="AI42" i="27"/>
  <c r="AL54" i="27"/>
  <c r="AM38" i="27"/>
  <c r="AL38" i="27"/>
  <c r="AM22" i="27"/>
  <c r="AL22" i="27"/>
  <c r="AJ46" i="27"/>
  <c r="AI46" i="27"/>
  <c r="AJ38" i="27"/>
  <c r="AI38" i="27"/>
  <c r="AJ30" i="27"/>
  <c r="AI30" i="27"/>
  <c r="AL74" i="27"/>
  <c r="AM18" i="27"/>
  <c r="AL18" i="27"/>
  <c r="AI26" i="27"/>
  <c r="AL30" i="27"/>
  <c r="AM30" i="27"/>
  <c r="AM34" i="27"/>
  <c r="AL34" i="27"/>
  <c r="AC42" i="1"/>
  <c r="AB30" i="1"/>
  <c r="AB70" i="1"/>
  <c r="AB18" i="1"/>
  <c r="AB58" i="1"/>
  <c r="AB46" i="1"/>
  <c r="AC50" i="1"/>
  <c r="AC38" i="1"/>
  <c r="AC78" i="1"/>
  <c r="AB62" i="1"/>
  <c r="AB66" i="1"/>
  <c r="AB22" i="1"/>
  <c r="X55" i="1"/>
  <c r="Y54" i="1" s="1"/>
  <c r="X54" i="1"/>
  <c r="X53" i="1"/>
  <c r="X51" i="1"/>
  <c r="X52" i="1"/>
  <c r="X80" i="1"/>
  <c r="Y74" i="1"/>
  <c r="AG18" i="1"/>
  <c r="AG38" i="1"/>
  <c r="AF58" i="1"/>
  <c r="AG78" i="1"/>
  <c r="X71" i="1"/>
  <c r="X70" i="1"/>
  <c r="Z70" i="1" s="1"/>
  <c r="X67" i="1"/>
  <c r="Z74" i="1"/>
  <c r="Y70" i="1"/>
  <c r="X68" i="1"/>
  <c r="X65" i="1"/>
  <c r="X64" i="1"/>
  <c r="X36" i="1"/>
  <c r="Y34" i="1" s="1"/>
  <c r="X63" i="1"/>
  <c r="X35" i="1"/>
  <c r="X60" i="1"/>
  <c r="AG22" i="1"/>
  <c r="AG42" i="1"/>
  <c r="X66" i="1"/>
  <c r="X34" i="1"/>
  <c r="X59" i="1"/>
  <c r="Y58" i="1" s="1"/>
  <c r="AG2" i="1"/>
  <c r="X42" i="1"/>
  <c r="X20" i="1"/>
  <c r="AG62" i="1"/>
  <c r="X38" i="1"/>
  <c r="AG10" i="1"/>
  <c r="X46" i="1"/>
  <c r="X26" i="1"/>
  <c r="X45" i="1"/>
  <c r="X44" i="1"/>
  <c r="X24" i="1"/>
  <c r="X43" i="1"/>
  <c r="X23" i="1"/>
  <c r="X22" i="1"/>
  <c r="X41" i="1"/>
  <c r="X21" i="1"/>
  <c r="X40" i="1"/>
  <c r="X39" i="1"/>
  <c r="X19" i="1"/>
  <c r="X50" i="1"/>
  <c r="X62" i="1"/>
  <c r="X37" i="1"/>
  <c r="X81" i="1"/>
  <c r="Z78" i="1" s="1"/>
  <c r="AG6" i="1"/>
  <c r="X33" i="1"/>
  <c r="X32" i="1"/>
  <c r="X31" i="1"/>
  <c r="X30" i="1"/>
  <c r="X49" i="1"/>
  <c r="X29" i="1"/>
  <c r="AF14" i="1"/>
  <c r="X48" i="1"/>
  <c r="X28" i="1"/>
  <c r="AG14" i="1"/>
  <c r="AF34" i="1"/>
  <c r="AF54" i="1"/>
  <c r="X47" i="1"/>
  <c r="AG54" i="1"/>
  <c r="AF74" i="1"/>
  <c r="AL74" i="4"/>
  <c r="AL62" i="4"/>
  <c r="AL50" i="4"/>
  <c r="AL70" i="4"/>
  <c r="AL18" i="4"/>
  <c r="AM34" i="4"/>
  <c r="AL22" i="4"/>
  <c r="AL30" i="4"/>
  <c r="AL26" i="4"/>
  <c r="AL66" i="4"/>
  <c r="AL42" i="4"/>
  <c r="AL46" i="4"/>
  <c r="AL58" i="4"/>
  <c r="AB58" i="4"/>
  <c r="AB74" i="4"/>
  <c r="AB42" i="4"/>
  <c r="AB30" i="4"/>
  <c r="AB18" i="4"/>
  <c r="AB46" i="4"/>
  <c r="AC62" i="4"/>
  <c r="AB26" i="4"/>
  <c r="AB66" i="4"/>
  <c r="AB34" i="4"/>
  <c r="AB50" i="4"/>
  <c r="AC38" i="4"/>
  <c r="AB70" i="4"/>
  <c r="AB22" i="4"/>
  <c r="AB78" i="4"/>
  <c r="AG34" i="4"/>
  <c r="X35" i="4"/>
  <c r="X42" i="4"/>
  <c r="X36" i="4"/>
  <c r="X43" i="4"/>
  <c r="AF46" i="4"/>
  <c r="X26" i="4"/>
  <c r="X37" i="4"/>
  <c r="X45" i="4"/>
  <c r="AG74" i="4"/>
  <c r="AF54" i="4"/>
  <c r="X34" i="4"/>
  <c r="X19" i="4"/>
  <c r="X21" i="4"/>
  <c r="X44" i="4"/>
  <c r="AF42" i="4"/>
  <c r="AJ78" i="4" s="1"/>
  <c r="AF78" i="4"/>
  <c r="AF38" i="4"/>
  <c r="AG42" i="4"/>
  <c r="AF58" i="4"/>
  <c r="AG46" i="4"/>
  <c r="AF14" i="4"/>
  <c r="X20" i="4"/>
  <c r="AF62" i="4"/>
  <c r="AF74" i="4"/>
  <c r="AJ50" i="4"/>
  <c r="AF10" i="4"/>
  <c r="AG54" i="4"/>
  <c r="AF26" i="4"/>
  <c r="AG62" i="4"/>
  <c r="AG26" i="4"/>
  <c r="AG6" i="4"/>
  <c r="AG14" i="4"/>
  <c r="AG30" i="4"/>
  <c r="AG2" i="4"/>
  <c r="X65" i="4"/>
  <c r="AF2" i="4"/>
  <c r="X54" i="4"/>
  <c r="X48" i="4"/>
  <c r="Z46" i="4" s="1"/>
  <c r="AG18" i="4"/>
  <c r="X49" i="4"/>
  <c r="AG22" i="4"/>
  <c r="AH39" i="4"/>
  <c r="AH37" i="4"/>
  <c r="AG50" i="4"/>
  <c r="AF50" i="4"/>
  <c r="AG66" i="4"/>
  <c r="Z34" i="4"/>
  <c r="X58" i="4"/>
  <c r="AF66" i="4"/>
  <c r="AG70" i="4"/>
  <c r="AF70" i="4"/>
  <c r="Z42" i="4"/>
  <c r="X78" i="4"/>
  <c r="X51" i="4"/>
  <c r="X59" i="4"/>
  <c r="X74" i="4"/>
  <c r="AF6" i="4"/>
  <c r="AH32" i="4" s="1"/>
  <c r="AG10" i="4"/>
  <c r="X23" i="4"/>
  <c r="X31" i="4"/>
  <c r="AF18" i="4"/>
  <c r="X32" i="4"/>
  <c r="AF22" i="4"/>
  <c r="X33" i="4"/>
  <c r="AF30" i="4"/>
  <c r="X52" i="4"/>
  <c r="X53" i="4"/>
  <c r="X60" i="4"/>
  <c r="X75" i="4"/>
  <c r="Z74" i="4" s="1"/>
  <c r="X30" i="4"/>
  <c r="X61" i="4"/>
  <c r="X76" i="4"/>
  <c r="X24" i="4"/>
  <c r="X77" i="4"/>
  <c r="X25" i="4"/>
  <c r="X38" i="4"/>
  <c r="AF34" i="4"/>
  <c r="AM70" i="21"/>
  <c r="AM42" i="21"/>
  <c r="AM30" i="21"/>
  <c r="AL18" i="21"/>
  <c r="AL34" i="21"/>
  <c r="AM58" i="21"/>
  <c r="AL46" i="21"/>
  <c r="AM74" i="21"/>
  <c r="AL62" i="21"/>
  <c r="AM22" i="21"/>
  <c r="AL38" i="21"/>
  <c r="AL78" i="21"/>
  <c r="AL26" i="21"/>
  <c r="AL66" i="21"/>
  <c r="AL50" i="21"/>
  <c r="AB70" i="21"/>
  <c r="AB34" i="21"/>
  <c r="AB74" i="21"/>
  <c r="AB22" i="21"/>
  <c r="AB62" i="21"/>
  <c r="AB42" i="21"/>
  <c r="AB58" i="21"/>
  <c r="AB50" i="21"/>
  <c r="AB46" i="21"/>
  <c r="AB30" i="21"/>
  <c r="AC18" i="21"/>
  <c r="AB26" i="21"/>
  <c r="AB66" i="21"/>
  <c r="AF58" i="21"/>
  <c r="AG58" i="21"/>
  <c r="AG62" i="21"/>
  <c r="AG70" i="21"/>
  <c r="AG30" i="21"/>
  <c r="AG34" i="21"/>
  <c r="AG42" i="21"/>
  <c r="X54" i="21"/>
  <c r="AG6" i="21"/>
  <c r="X47" i="21"/>
  <c r="X32" i="21"/>
  <c r="X23" i="21"/>
  <c r="X24" i="21"/>
  <c r="X48" i="21"/>
  <c r="X30" i="21"/>
  <c r="X52" i="21"/>
  <c r="AG74" i="21"/>
  <c r="X74" i="21"/>
  <c r="X43" i="21"/>
  <c r="X34" i="21"/>
  <c r="X45" i="21"/>
  <c r="X26" i="21"/>
  <c r="Z18" i="21"/>
  <c r="X37" i="21"/>
  <c r="X35" i="21"/>
  <c r="AG38" i="21"/>
  <c r="AG78" i="21"/>
  <c r="AH40" i="21"/>
  <c r="AH29" i="21"/>
  <c r="AH48" i="21"/>
  <c r="AH49" i="21"/>
  <c r="AH20" i="21"/>
  <c r="AG46" i="21"/>
  <c r="X36" i="21"/>
  <c r="X44" i="21"/>
  <c r="AG10" i="21"/>
  <c r="AG66" i="21"/>
  <c r="X53" i="21"/>
  <c r="AG14" i="21"/>
  <c r="AH26" i="21"/>
  <c r="X63" i="21"/>
  <c r="AG54" i="21"/>
  <c r="X72" i="21"/>
  <c r="X33" i="21"/>
  <c r="X64" i="21"/>
  <c r="AG18" i="21"/>
  <c r="X38" i="21"/>
  <c r="X46" i="21"/>
  <c r="Z46" i="21" s="1"/>
  <c r="AB26" i="25"/>
  <c r="AB30" i="25"/>
  <c r="AG14" i="25"/>
  <c r="AG34" i="25"/>
  <c r="AG54" i="25"/>
  <c r="AG74" i="25"/>
  <c r="X23" i="25"/>
  <c r="X44" i="25"/>
  <c r="AG18" i="25"/>
  <c r="AG38" i="25"/>
  <c r="AG58" i="25"/>
  <c r="AG6" i="25"/>
  <c r="AG26" i="25"/>
  <c r="X58" i="25"/>
  <c r="AF54" i="25"/>
  <c r="X30" i="25"/>
  <c r="X53" i="25"/>
  <c r="X31" i="25"/>
  <c r="X47" i="25"/>
  <c r="X63" i="25"/>
  <c r="X72" i="25"/>
  <c r="AG46" i="25"/>
  <c r="X19" i="25"/>
  <c r="X48" i="25"/>
  <c r="X54" i="25"/>
  <c r="X64" i="25"/>
  <c r="AF10" i="25"/>
  <c r="AG66" i="25"/>
  <c r="X75" i="25"/>
  <c r="AF74" i="25"/>
  <c r="X61" i="25"/>
  <c r="X77" i="25"/>
  <c r="X38" i="25"/>
  <c r="AF62" i="25"/>
  <c r="X20" i="25"/>
  <c r="X49" i="25"/>
  <c r="X65" i="25"/>
  <c r="AG30" i="25"/>
  <c r="X21" i="25"/>
  <c r="X26" i="25"/>
  <c r="X74" i="25"/>
  <c r="X34" i="25"/>
  <c r="X52" i="25"/>
  <c r="X76" i="25"/>
  <c r="X24" i="25"/>
  <c r="X35" i="25"/>
  <c r="X42" i="25"/>
  <c r="AG70" i="25"/>
  <c r="X36" i="25"/>
  <c r="X37" i="25"/>
  <c r="AF14" i="25"/>
  <c r="AH77" i="25" s="1"/>
  <c r="AF34" i="25"/>
  <c r="X25" i="25"/>
  <c r="X32" i="25"/>
  <c r="AG22" i="25"/>
  <c r="X33" i="25"/>
  <c r="AG78" i="25"/>
  <c r="X46" i="25"/>
  <c r="X71" i="25"/>
  <c r="AI62" i="4"/>
  <c r="AF2" i="25"/>
  <c r="AF42" i="25"/>
  <c r="AF30" i="25"/>
  <c r="AF70" i="25"/>
  <c r="AF18" i="25"/>
  <c r="AF58" i="25"/>
  <c r="AF6" i="25"/>
  <c r="AH35" i="25" s="1"/>
  <c r="AF46" i="25"/>
  <c r="AF22" i="25"/>
  <c r="AH58" i="25" s="1"/>
  <c r="AF50" i="25"/>
  <c r="AF38" i="25"/>
  <c r="AF78" i="25"/>
  <c r="AF26" i="25"/>
  <c r="AF66" i="25"/>
  <c r="AG62" i="25"/>
  <c r="AG10" i="25"/>
  <c r="AJ66" i="21"/>
  <c r="AH24" i="21"/>
  <c r="AG26" i="21"/>
  <c r="AG30" i="1"/>
  <c r="AG70" i="1"/>
  <c r="AF18" i="1"/>
  <c r="AG58" i="1"/>
  <c r="AF6" i="1"/>
  <c r="AH32" i="1" s="1"/>
  <c r="AF46" i="1"/>
  <c r="AG34" i="1"/>
  <c r="AG74" i="1"/>
  <c r="AF62" i="1"/>
  <c r="AF50" i="1"/>
  <c r="AF38" i="1"/>
  <c r="AF78" i="1"/>
  <c r="AF26" i="1"/>
  <c r="AF66" i="1"/>
  <c r="AF2" i="1"/>
  <c r="AF42" i="1"/>
  <c r="AF22" i="1"/>
  <c r="X70" i="25"/>
  <c r="X59" i="25"/>
  <c r="X60" i="25"/>
  <c r="X73" i="25"/>
  <c r="X62" i="25"/>
  <c r="X80" i="25"/>
  <c r="X66" i="25"/>
  <c r="X55" i="25"/>
  <c r="X56" i="25"/>
  <c r="X78" i="25"/>
  <c r="X27" i="25"/>
  <c r="X57" i="25"/>
  <c r="X67" i="25"/>
  <c r="X28" i="25"/>
  <c r="X50" i="25"/>
  <c r="X68" i="25"/>
  <c r="X29" i="25"/>
  <c r="X39" i="25"/>
  <c r="X69" i="25"/>
  <c r="X79" i="25"/>
  <c r="X40" i="25"/>
  <c r="X51" i="25"/>
  <c r="X65" i="21"/>
  <c r="X75" i="21"/>
  <c r="X58" i="21"/>
  <c r="X76" i="21"/>
  <c r="X77" i="21"/>
  <c r="X70" i="21"/>
  <c r="X19" i="21"/>
  <c r="X49" i="21"/>
  <c r="X59" i="21"/>
  <c r="X20" i="21"/>
  <c r="X42" i="21"/>
  <c r="X60" i="21"/>
  <c r="X21" i="21"/>
  <c r="X31" i="21"/>
  <c r="X61" i="21"/>
  <c r="X71" i="21"/>
  <c r="X73" i="21"/>
  <c r="X66" i="21"/>
  <c r="X56" i="21"/>
  <c r="X78" i="21"/>
  <c r="X27" i="21"/>
  <c r="X57" i="21"/>
  <c r="X67" i="21"/>
  <c r="X28" i="21"/>
  <c r="X50" i="21"/>
  <c r="X68" i="21"/>
  <c r="X29" i="21"/>
  <c r="X39" i="21"/>
  <c r="X69" i="21"/>
  <c r="X79" i="21"/>
  <c r="X22" i="21"/>
  <c r="X40" i="21"/>
  <c r="X62" i="21"/>
  <c r="X80" i="21"/>
  <c r="X71" i="4"/>
  <c r="Y34" i="4"/>
  <c r="Y42" i="4"/>
  <c r="X73" i="4"/>
  <c r="X66" i="4"/>
  <c r="X55" i="4"/>
  <c r="X56" i="4"/>
  <c r="X27" i="4"/>
  <c r="X57" i="4"/>
  <c r="X67" i="4"/>
  <c r="X28" i="4"/>
  <c r="X50" i="4"/>
  <c r="X68" i="4"/>
  <c r="X29" i="4"/>
  <c r="X39" i="4"/>
  <c r="Z38" i="4" s="1"/>
  <c r="X69" i="4"/>
  <c r="X79" i="4"/>
  <c r="X22" i="4"/>
  <c r="AH33" i="1" l="1"/>
  <c r="AH31" i="1"/>
  <c r="AH49" i="1"/>
  <c r="AH46" i="1"/>
  <c r="Z54" i="1"/>
  <c r="Z66" i="1"/>
  <c r="Z34" i="1"/>
  <c r="Z58" i="1"/>
  <c r="AH34" i="1"/>
  <c r="Y66" i="1"/>
  <c r="AH47" i="1"/>
  <c r="Y62" i="1"/>
  <c r="Z62" i="1"/>
  <c r="Y26" i="1"/>
  <c r="Z26" i="1"/>
  <c r="Y50" i="1"/>
  <c r="Z50" i="1"/>
  <c r="Y46" i="1"/>
  <c r="Z46" i="1"/>
  <c r="Y38" i="1"/>
  <c r="Z38" i="1"/>
  <c r="AI54" i="1"/>
  <c r="Z42" i="1"/>
  <c r="Y78" i="1"/>
  <c r="AH44" i="1"/>
  <c r="AH25" i="1"/>
  <c r="AH42" i="1"/>
  <c r="AH24" i="1"/>
  <c r="AH41" i="1"/>
  <c r="AH23" i="1"/>
  <c r="AH40" i="1"/>
  <c r="AH22" i="1"/>
  <c r="AH39" i="1"/>
  <c r="AH21" i="1"/>
  <c r="AH20" i="1"/>
  <c r="AH37" i="1"/>
  <c r="AH45" i="1"/>
  <c r="AH19" i="1"/>
  <c r="AH38" i="1"/>
  <c r="Y30" i="1"/>
  <c r="Z30" i="1"/>
  <c r="AH29" i="1"/>
  <c r="Z18" i="1"/>
  <c r="Z22" i="1"/>
  <c r="AH36" i="1"/>
  <c r="AH48" i="1"/>
  <c r="AH30" i="1"/>
  <c r="Y22" i="1"/>
  <c r="AH35" i="1"/>
  <c r="AH27" i="1"/>
  <c r="Y42" i="1"/>
  <c r="Y46" i="4"/>
  <c r="Y58" i="4"/>
  <c r="AI50" i="4"/>
  <c r="Z18" i="4"/>
  <c r="AJ62" i="4"/>
  <c r="AI74" i="4"/>
  <c r="AJ66" i="4"/>
  <c r="AI66" i="4"/>
  <c r="Y26" i="4"/>
  <c r="AJ74" i="4"/>
  <c r="Z30" i="4"/>
  <c r="Y74" i="4"/>
  <c r="AI78" i="4"/>
  <c r="Z70" i="4"/>
  <c r="AJ58" i="4"/>
  <c r="AI58" i="4"/>
  <c r="AJ70" i="4"/>
  <c r="AI70" i="4"/>
  <c r="AI54" i="4"/>
  <c r="AJ54" i="4"/>
  <c r="AH36" i="4"/>
  <c r="AH34" i="4"/>
  <c r="AH25" i="4"/>
  <c r="AH43" i="4"/>
  <c r="AH42" i="4"/>
  <c r="AH41" i="4"/>
  <c r="AH35" i="4"/>
  <c r="AH46" i="4"/>
  <c r="AH45" i="4"/>
  <c r="AH26" i="4"/>
  <c r="AH44" i="4"/>
  <c r="AH24" i="4"/>
  <c r="AH23" i="4"/>
  <c r="AH22" i="4"/>
  <c r="AH40" i="4"/>
  <c r="AH21" i="4"/>
  <c r="Z26" i="4"/>
  <c r="AH47" i="4"/>
  <c r="AH48" i="4"/>
  <c r="AH30" i="4"/>
  <c r="AH29" i="4"/>
  <c r="Y30" i="4"/>
  <c r="AH38" i="4"/>
  <c r="Z54" i="4"/>
  <c r="AH19" i="4"/>
  <c r="AH20" i="4"/>
  <c r="AH49" i="4"/>
  <c r="Y70" i="4"/>
  <c r="Z58" i="4"/>
  <c r="AH27" i="4"/>
  <c r="AH33" i="4"/>
  <c r="AJ78" i="21"/>
  <c r="AI50" i="21"/>
  <c r="AJ58" i="21"/>
  <c r="AJ70" i="21"/>
  <c r="AJ50" i="21"/>
  <c r="AG50" i="21"/>
  <c r="Z54" i="21"/>
  <c r="AI70" i="21"/>
  <c r="Y30" i="21"/>
  <c r="Z74" i="21"/>
  <c r="Y74" i="21"/>
  <c r="AJ62" i="21"/>
  <c r="AH27" i="21"/>
  <c r="AJ26" i="21" s="1"/>
  <c r="Y34" i="21"/>
  <c r="AI74" i="21"/>
  <c r="Z26" i="21"/>
  <c r="AH42" i="21"/>
  <c r="AH25" i="21"/>
  <c r="Y54" i="21"/>
  <c r="AH22" i="21"/>
  <c r="AJ74" i="21"/>
  <c r="AH30" i="21"/>
  <c r="AH46" i="21"/>
  <c r="AH19" i="21"/>
  <c r="AH37" i="21"/>
  <c r="AH36" i="21"/>
  <c r="AH35" i="21"/>
  <c r="AH32" i="21"/>
  <c r="AH34" i="21"/>
  <c r="AH33" i="21"/>
  <c r="AH31" i="21"/>
  <c r="AH45" i="21"/>
  <c r="Y26" i="21"/>
  <c r="AI54" i="21"/>
  <c r="AJ54" i="21"/>
  <c r="AH21" i="21"/>
  <c r="AH39" i="21"/>
  <c r="AH47" i="21"/>
  <c r="AH28" i="21"/>
  <c r="Z38" i="21"/>
  <c r="AI66" i="21"/>
  <c r="Y46" i="21"/>
  <c r="AI78" i="21"/>
  <c r="Z34" i="21"/>
  <c r="AH44" i="21"/>
  <c r="AH38" i="21"/>
  <c r="AH23" i="21"/>
  <c r="AI62" i="21"/>
  <c r="AH41" i="21"/>
  <c r="Y30" i="25"/>
  <c r="AH55" i="25"/>
  <c r="AH62" i="25"/>
  <c r="AH70" i="25"/>
  <c r="AH40" i="25"/>
  <c r="AH74" i="25"/>
  <c r="AH19" i="25"/>
  <c r="AH63" i="25"/>
  <c r="AH79" i="25"/>
  <c r="AH20" i="25"/>
  <c r="Z46" i="25"/>
  <c r="AH21" i="25"/>
  <c r="AH54" i="25"/>
  <c r="AH59" i="25"/>
  <c r="AH39" i="25"/>
  <c r="Z54" i="25"/>
  <c r="AH18" i="25"/>
  <c r="AI18" i="25" s="1"/>
  <c r="Z34" i="25"/>
  <c r="AH26" i="25"/>
  <c r="Z74" i="25"/>
  <c r="AH46" i="25"/>
  <c r="Y18" i="25"/>
  <c r="AH38" i="25"/>
  <c r="AH64" i="25"/>
  <c r="AH68" i="25"/>
  <c r="AH69" i="25"/>
  <c r="AH51" i="25"/>
  <c r="AH53" i="25"/>
  <c r="AH60" i="25"/>
  <c r="AH72" i="25"/>
  <c r="AH71" i="25"/>
  <c r="AH52" i="25"/>
  <c r="AH57" i="25"/>
  <c r="Y26" i="25"/>
  <c r="AH37" i="25"/>
  <c r="Z18" i="25"/>
  <c r="Y74" i="25"/>
  <c r="Z30" i="25"/>
  <c r="AH43" i="25"/>
  <c r="AH81" i="25"/>
  <c r="Z38" i="25"/>
  <c r="AH23" i="25"/>
  <c r="AH27" i="25"/>
  <c r="AH47" i="25"/>
  <c r="AH45" i="25"/>
  <c r="AH28" i="25"/>
  <c r="AH33" i="25"/>
  <c r="AH25" i="25"/>
  <c r="AH30" i="25"/>
  <c r="AH31" i="25"/>
  <c r="AH44" i="25"/>
  <c r="AH48" i="25"/>
  <c r="AH29" i="25"/>
  <c r="AH49" i="25"/>
  <c r="AH32" i="25"/>
  <c r="AH50" i="25"/>
  <c r="AH65" i="25"/>
  <c r="AH73" i="25"/>
  <c r="Z58" i="25"/>
  <c r="Z26" i="25"/>
  <c r="AH76" i="25"/>
  <c r="AH56" i="25"/>
  <c r="AJ54" i="25" s="1"/>
  <c r="Y54" i="25"/>
  <c r="AH66" i="25"/>
  <c r="Z42" i="25"/>
  <c r="Y42" i="25"/>
  <c r="AH36" i="25"/>
  <c r="AH78" i="25"/>
  <c r="AH24" i="25"/>
  <c r="AH75" i="25"/>
  <c r="Y34" i="25"/>
  <c r="AH22" i="25"/>
  <c r="AH42" i="25"/>
  <c r="AH61" i="25"/>
  <c r="AH41" i="25"/>
  <c r="AH34" i="25"/>
  <c r="Y46" i="25"/>
  <c r="AH80" i="25"/>
  <c r="AH67" i="25"/>
  <c r="Y22" i="25"/>
  <c r="Z22" i="25"/>
  <c r="Z66" i="25"/>
  <c r="Y66" i="25"/>
  <c r="Y62" i="25"/>
  <c r="Z62" i="25"/>
  <c r="Z70" i="25"/>
  <c r="Y70" i="25"/>
  <c r="Y50" i="25"/>
  <c r="Z50" i="25"/>
  <c r="Y58" i="25"/>
  <c r="Y38" i="25"/>
  <c r="Z78" i="25"/>
  <c r="Y78" i="25"/>
  <c r="Y62" i="21"/>
  <c r="Z62" i="21"/>
  <c r="Z42" i="21"/>
  <c r="Y42" i="21"/>
  <c r="Y38" i="21"/>
  <c r="Z30" i="21"/>
  <c r="Z50" i="21"/>
  <c r="Y50" i="21"/>
  <c r="Z70" i="21"/>
  <c r="Y70" i="21"/>
  <c r="Z78" i="21"/>
  <c r="Y78" i="21"/>
  <c r="Z58" i="21"/>
  <c r="Y58" i="21"/>
  <c r="Z66" i="21"/>
  <c r="Y66" i="21"/>
  <c r="Y22" i="21"/>
  <c r="Z22" i="21"/>
  <c r="Z78" i="4"/>
  <c r="Y78" i="4"/>
  <c r="Z66" i="4"/>
  <c r="Y66" i="4"/>
  <c r="Y54" i="4"/>
  <c r="Z50" i="4"/>
  <c r="Y50" i="4"/>
  <c r="Y62" i="4"/>
  <c r="Z62" i="4"/>
  <c r="Y38" i="4"/>
  <c r="Y22" i="4"/>
  <c r="Z22" i="4"/>
  <c r="AJ46" i="1" l="1"/>
  <c r="AJ70" i="1"/>
  <c r="AJ26" i="1"/>
  <c r="AI58" i="1"/>
  <c r="AJ78" i="1"/>
  <c r="AI34" i="1"/>
  <c r="AJ30" i="1"/>
  <c r="AI30" i="1"/>
  <c r="AJ22" i="1"/>
  <c r="AI22" i="1"/>
  <c r="AJ62" i="1"/>
  <c r="AI62" i="1"/>
  <c r="AJ66" i="1"/>
  <c r="AI66" i="1"/>
  <c r="AJ74" i="1"/>
  <c r="AI74" i="1"/>
  <c r="AI26" i="1"/>
  <c r="AI78" i="1"/>
  <c r="AJ18" i="1"/>
  <c r="AI18" i="1"/>
  <c r="AJ42" i="1"/>
  <c r="AI42" i="1"/>
  <c r="AI46" i="1"/>
  <c r="AJ58" i="1"/>
  <c r="AJ34" i="1"/>
  <c r="AI70" i="1"/>
  <c r="AJ54" i="1"/>
  <c r="AJ38" i="1"/>
  <c r="AI38" i="1"/>
  <c r="AJ50" i="1"/>
  <c r="AI50" i="1"/>
  <c r="AJ18" i="4"/>
  <c r="AJ26" i="4"/>
  <c r="AI26" i="4"/>
  <c r="AJ38" i="4"/>
  <c r="AI38" i="4"/>
  <c r="AJ42" i="4"/>
  <c r="AI42" i="4"/>
  <c r="AJ30" i="4"/>
  <c r="AI30" i="4"/>
  <c r="AI34" i="4"/>
  <c r="AJ34" i="4"/>
  <c r="AJ22" i="4"/>
  <c r="AI22" i="4"/>
  <c r="AJ46" i="4"/>
  <c r="AI46" i="4"/>
  <c r="AI18" i="4"/>
  <c r="AI58" i="21"/>
  <c r="AJ22" i="21"/>
  <c r="AI26" i="21"/>
  <c r="AJ18" i="21"/>
  <c r="AI22" i="21"/>
  <c r="AJ42" i="21"/>
  <c r="AJ34" i="21"/>
  <c r="AI34" i="21"/>
  <c r="AJ46" i="21"/>
  <c r="AI46" i="21"/>
  <c r="AJ38" i="21"/>
  <c r="AI38" i="21"/>
  <c r="AI42" i="21"/>
  <c r="AJ30" i="21"/>
  <c r="AI30" i="21"/>
  <c r="AI18" i="21"/>
  <c r="AJ18" i="25"/>
  <c r="AI26" i="25"/>
  <c r="AJ74" i="25"/>
  <c r="AI62" i="25"/>
  <c r="AJ62" i="25"/>
  <c r="AJ38" i="25"/>
  <c r="AI70" i="25"/>
  <c r="AJ58" i="25"/>
  <c r="AJ46" i="25"/>
  <c r="AJ34" i="25"/>
  <c r="AI34" i="25"/>
  <c r="AJ70" i="25"/>
  <c r="AI74" i="25"/>
  <c r="AI50" i="25"/>
  <c r="AJ50" i="25"/>
  <c r="AI66" i="25"/>
  <c r="AJ66" i="25"/>
  <c r="AI38" i="25"/>
  <c r="AI42" i="25"/>
  <c r="AJ42" i="25"/>
  <c r="AJ26" i="25"/>
  <c r="AI46" i="25"/>
  <c r="AJ22" i="25"/>
  <c r="AI22" i="25"/>
  <c r="AI58" i="25"/>
  <c r="AI54" i="25"/>
  <c r="AJ78" i="25"/>
  <c r="AI78" i="25"/>
  <c r="AJ30" i="25"/>
  <c r="AI30" i="25"/>
  <c r="D81" i="25"/>
  <c r="D80" i="25"/>
  <c r="D79" i="25"/>
  <c r="D78" i="25"/>
  <c r="D77" i="25"/>
  <c r="D76" i="25"/>
  <c r="D75" i="25"/>
  <c r="D74" i="25"/>
  <c r="D73" i="25"/>
  <c r="D72" i="25"/>
  <c r="D71" i="25"/>
  <c r="D70" i="25"/>
  <c r="D69" i="25"/>
  <c r="D68" i="25"/>
  <c r="D67" i="25"/>
  <c r="D66" i="25"/>
  <c r="D65" i="25"/>
  <c r="D64" i="25"/>
  <c r="D63" i="25"/>
  <c r="D62" i="25"/>
  <c r="D61" i="25"/>
  <c r="D60" i="25"/>
  <c r="D59" i="25"/>
  <c r="D58" i="25"/>
  <c r="D57" i="25"/>
  <c r="D56" i="25"/>
  <c r="D55" i="25"/>
  <c r="D54" i="25"/>
  <c r="D53" i="25"/>
  <c r="D52" i="25"/>
  <c r="D51" i="25"/>
  <c r="D50" i="25"/>
  <c r="D49" i="25"/>
  <c r="D48" i="25"/>
  <c r="D47" i="25"/>
  <c r="D46" i="25"/>
  <c r="D45" i="25"/>
  <c r="D44" i="25"/>
  <c r="D43" i="25"/>
  <c r="D42" i="25"/>
  <c r="D41" i="25"/>
  <c r="D40" i="25"/>
  <c r="D39" i="25"/>
  <c r="D38" i="25"/>
  <c r="D37" i="25"/>
  <c r="D36" i="25"/>
  <c r="D35" i="25"/>
  <c r="D34" i="25"/>
  <c r="D33" i="25"/>
  <c r="D32" i="25"/>
  <c r="D31" i="25"/>
  <c r="D30" i="25"/>
  <c r="D29" i="25"/>
  <c r="D28" i="25"/>
  <c r="D27" i="25"/>
  <c r="D26" i="25"/>
  <c r="D25" i="25"/>
  <c r="D24" i="25"/>
  <c r="D23" i="25"/>
  <c r="D22" i="25"/>
  <c r="D21" i="25"/>
  <c r="D20" i="25"/>
  <c r="D19" i="25"/>
  <c r="D18" i="25"/>
  <c r="D81" i="21"/>
  <c r="D80" i="21"/>
  <c r="D79" i="21"/>
  <c r="D78" i="21"/>
  <c r="D77" i="21"/>
  <c r="D76" i="21"/>
  <c r="D75" i="21"/>
  <c r="D74" i="21"/>
  <c r="D73" i="21"/>
  <c r="D72" i="21"/>
  <c r="D71" i="21"/>
  <c r="D70" i="21"/>
  <c r="D69" i="21"/>
  <c r="D68" i="21"/>
  <c r="D67" i="21"/>
  <c r="D66" i="21"/>
  <c r="D65" i="21"/>
  <c r="D64" i="21"/>
  <c r="D63" i="21"/>
  <c r="D62" i="21"/>
  <c r="D61" i="21"/>
  <c r="D60" i="21"/>
  <c r="D59" i="21"/>
  <c r="D58" i="21"/>
  <c r="D57" i="21"/>
  <c r="D56" i="21"/>
  <c r="D55" i="21"/>
  <c r="D54" i="21"/>
  <c r="D53" i="21"/>
  <c r="D52" i="21"/>
  <c r="D51" i="21"/>
  <c r="D50" i="21"/>
  <c r="D49" i="21"/>
  <c r="D48" i="21"/>
  <c r="D47" i="21"/>
  <c r="D46" i="21"/>
  <c r="D45" i="21"/>
  <c r="D44" i="21"/>
  <c r="D43" i="21"/>
  <c r="D42" i="21"/>
  <c r="D41" i="21"/>
  <c r="D40" i="21"/>
  <c r="D39" i="21"/>
  <c r="D38" i="21"/>
  <c r="D37" i="21"/>
  <c r="D36" i="21"/>
  <c r="D35" i="21"/>
  <c r="D34" i="21"/>
  <c r="D33" i="21"/>
  <c r="D32" i="21"/>
  <c r="D31" i="21"/>
  <c r="D30" i="21"/>
  <c r="D29" i="21"/>
  <c r="D28" i="21"/>
  <c r="D27" i="21"/>
  <c r="D26" i="21"/>
  <c r="D25" i="21"/>
  <c r="D24" i="21"/>
  <c r="D23" i="21"/>
  <c r="D22" i="21"/>
  <c r="D21" i="21"/>
  <c r="D20" i="21"/>
  <c r="D19" i="21"/>
  <c r="D18" i="21"/>
  <c r="I17" i="24"/>
  <c r="E24" i="24"/>
  <c r="I21" i="24"/>
  <c r="E21" i="24"/>
  <c r="I20" i="24"/>
  <c r="E20" i="24"/>
  <c r="I19" i="24"/>
  <c r="E19" i="24"/>
  <c r="I18" i="24"/>
  <c r="E18" i="24"/>
  <c r="E17" i="24"/>
  <c r="I16" i="24"/>
  <c r="E16" i="24"/>
  <c r="I15" i="24"/>
  <c r="E15" i="24"/>
  <c r="I14" i="24"/>
  <c r="E14" i="24"/>
  <c r="I13" i="24"/>
  <c r="E13" i="24"/>
  <c r="I12" i="24"/>
  <c r="E12" i="24"/>
  <c r="I11" i="24"/>
  <c r="E11" i="24"/>
  <c r="I10" i="24"/>
  <c r="E10" i="24"/>
  <c r="I9" i="24"/>
  <c r="E9" i="24"/>
  <c r="I8" i="24"/>
  <c r="E8" i="24"/>
  <c r="I7" i="24"/>
  <c r="E7" i="24"/>
  <c r="I6" i="24"/>
  <c r="E6" i="24"/>
  <c r="I5" i="24"/>
  <c r="E5" i="24"/>
  <c r="I4" i="24"/>
  <c r="E4" i="24"/>
  <c r="I3" i="24"/>
  <c r="E3" i="24"/>
  <c r="I2" i="24"/>
  <c r="E2" i="24"/>
  <c r="D49" i="1" l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18" i="1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E21" i="6"/>
  <c r="E20" i="6"/>
  <c r="E19" i="6"/>
  <c r="E18" i="6"/>
  <c r="E17" i="6"/>
  <c r="E16" i="6"/>
  <c r="E15" i="6"/>
  <c r="E14" i="6"/>
  <c r="E24" i="6"/>
  <c r="E13" i="6"/>
  <c r="E12" i="6"/>
  <c r="E11" i="6"/>
  <c r="E10" i="6"/>
  <c r="E9" i="6"/>
  <c r="E8" i="6"/>
  <c r="E7" i="6"/>
  <c r="E6" i="6"/>
  <c r="E5" i="6"/>
  <c r="E4" i="6"/>
  <c r="E3" i="6"/>
  <c r="E2" i="6"/>
  <c r="H9" i="7"/>
  <c r="G9" i="7"/>
  <c r="H8" i="7"/>
  <c r="G8" i="7"/>
  <c r="H7" i="7"/>
  <c r="G7" i="7"/>
  <c r="H6" i="7"/>
  <c r="G6" i="7"/>
  <c r="H5" i="7"/>
  <c r="G5" i="7"/>
  <c r="H4" i="7"/>
  <c r="G4" i="7"/>
  <c r="H3" i="7"/>
  <c r="G3" i="7"/>
  <c r="H2" i="7"/>
  <c r="G2" i="7"/>
  <c r="I21" i="3" l="1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3" i="6"/>
  <c r="I2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Catherine Schlenker</author>
  </authors>
  <commentList>
    <comment ref="J1" authorId="0" shapeId="0" xr:uid="{455C48BB-3ABA-4F82-AA2F-8A29ECDA23DA}">
      <text>
        <r>
          <rPr>
            <b/>
            <sz val="9"/>
            <color indexed="81"/>
            <rFont val="Tahoma"/>
            <family val="2"/>
          </rPr>
          <t>Catherine Schlenker:</t>
        </r>
        <r>
          <rPr>
            <sz val="9"/>
            <color indexed="81"/>
            <rFont val="Tahoma"/>
            <family val="2"/>
          </rPr>
          <t xml:space="preserve">
Platt et al 1980</t>
        </r>
      </text>
    </comment>
    <comment ref="M1" authorId="0" shapeId="0" xr:uid="{2BE77FA7-C337-4BD7-AF37-ED91AF7D8524}">
      <text>
        <r>
          <rPr>
            <b/>
            <sz val="9"/>
            <color indexed="81"/>
            <rFont val="Tahoma"/>
            <family val="2"/>
          </rPr>
          <t>Catherine Schlenker:</t>
        </r>
        <r>
          <rPr>
            <sz val="9"/>
            <color indexed="81"/>
            <rFont val="Tahoma"/>
            <family val="2"/>
          </rPr>
          <t xml:space="preserve">
Jassby and Platt 1976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Catherine Schlenker</author>
  </authors>
  <commentList>
    <comment ref="J1" authorId="0" shapeId="0" xr:uid="{C353225D-6447-42DB-AFA9-8A9D13FEB3E5}">
      <text>
        <r>
          <rPr>
            <b/>
            <sz val="9"/>
            <color indexed="81"/>
            <rFont val="Tahoma"/>
            <family val="2"/>
          </rPr>
          <t>Catherine Schlenker:</t>
        </r>
        <r>
          <rPr>
            <sz val="9"/>
            <color indexed="81"/>
            <rFont val="Tahoma"/>
            <family val="2"/>
          </rPr>
          <t xml:space="preserve">
Platt et al 1980</t>
        </r>
      </text>
    </comment>
    <comment ref="O1" authorId="0" shapeId="0" xr:uid="{3F9DB794-7006-4467-B061-0460BCAABA7A}">
      <text>
        <r>
          <rPr>
            <b/>
            <sz val="9"/>
            <color indexed="81"/>
            <rFont val="Tahoma"/>
            <family val="2"/>
          </rPr>
          <t>Catherine Schlenker:</t>
        </r>
        <r>
          <rPr>
            <sz val="9"/>
            <color indexed="81"/>
            <rFont val="Tahoma"/>
            <family val="2"/>
          </rPr>
          <t xml:space="preserve">
Jassby and Platt 1976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Catherine Schlenker</author>
  </authors>
  <commentList>
    <comment ref="J1" authorId="0" shapeId="0" xr:uid="{99E54EC9-4200-4FBB-8ECB-4A3B0F2D449A}">
      <text>
        <r>
          <rPr>
            <b/>
            <sz val="9"/>
            <color indexed="81"/>
            <rFont val="Tahoma"/>
            <family val="2"/>
          </rPr>
          <t>Catherine Schlenker:</t>
        </r>
        <r>
          <rPr>
            <sz val="9"/>
            <color indexed="81"/>
            <rFont val="Tahoma"/>
            <family val="2"/>
          </rPr>
          <t xml:space="preserve">
Platt et al 1980</t>
        </r>
      </text>
    </comment>
    <comment ref="O1" authorId="0" shapeId="0" xr:uid="{215AFCFE-9865-4BD8-A406-03E9BB43723E}">
      <text>
        <r>
          <rPr>
            <b/>
            <sz val="9"/>
            <color indexed="81"/>
            <rFont val="Tahoma"/>
            <family val="2"/>
          </rPr>
          <t>Catherine Schlenker:</t>
        </r>
        <r>
          <rPr>
            <sz val="9"/>
            <color indexed="81"/>
            <rFont val="Tahoma"/>
            <family val="2"/>
          </rPr>
          <t xml:space="preserve">
Jassby and Platt 1976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Catherine Schlenker</author>
  </authors>
  <commentList>
    <comment ref="J1" authorId="0" shapeId="0" xr:uid="{C8B44C1F-2308-4BEB-996E-A1B45B3168D4}">
      <text>
        <r>
          <rPr>
            <b/>
            <sz val="9"/>
            <color indexed="81"/>
            <rFont val="Tahoma"/>
            <family val="2"/>
          </rPr>
          <t>Catherine Schlenker:</t>
        </r>
        <r>
          <rPr>
            <sz val="9"/>
            <color indexed="81"/>
            <rFont val="Tahoma"/>
            <family val="2"/>
          </rPr>
          <t xml:space="preserve">
Platt et al 1980</t>
        </r>
      </text>
    </comment>
    <comment ref="O1" authorId="0" shapeId="0" xr:uid="{7BBD8B72-C2BE-4644-9CA2-677FEACB1611}">
      <text>
        <r>
          <rPr>
            <b/>
            <sz val="9"/>
            <color indexed="81"/>
            <rFont val="Tahoma"/>
            <family val="2"/>
          </rPr>
          <t>Catherine Schlenker:</t>
        </r>
        <r>
          <rPr>
            <sz val="9"/>
            <color indexed="81"/>
            <rFont val="Tahoma"/>
            <family val="2"/>
          </rPr>
          <t xml:space="preserve">
Jassby and Platt 1976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Catherine Schlenker</author>
  </authors>
  <commentList>
    <comment ref="K1" authorId="0" shapeId="0" xr:uid="{5F49B64B-7F71-43D9-A47A-FAAE57817CE9}">
      <text>
        <r>
          <rPr>
            <b/>
            <sz val="9"/>
            <color indexed="81"/>
            <rFont val="Tahoma"/>
            <family val="2"/>
          </rPr>
          <t>Catherine Schlenker:</t>
        </r>
        <r>
          <rPr>
            <sz val="9"/>
            <color indexed="81"/>
            <rFont val="Tahoma"/>
            <family val="2"/>
          </rPr>
          <t xml:space="preserve">
Platt et al 1980</t>
        </r>
      </text>
    </comment>
    <comment ref="P1" authorId="0" shapeId="0" xr:uid="{263A9525-16CB-4253-BE0D-187B91DE7E54}">
      <text>
        <r>
          <rPr>
            <b/>
            <sz val="9"/>
            <color indexed="81"/>
            <rFont val="Tahoma"/>
            <family val="2"/>
          </rPr>
          <t>Catherine Schlenker:</t>
        </r>
        <r>
          <rPr>
            <sz val="9"/>
            <color indexed="81"/>
            <rFont val="Tahoma"/>
            <family val="2"/>
          </rPr>
          <t xml:space="preserve">
Jassby and Platt 1976
</t>
        </r>
      </text>
    </comment>
  </commentList>
</comments>
</file>

<file path=xl/sharedStrings.xml><?xml version="1.0" encoding="utf-8"?>
<sst xmlns="http://schemas.openxmlformats.org/spreadsheetml/2006/main" count="3802" uniqueCount="182">
  <si>
    <t>Date</t>
  </si>
  <si>
    <t>Treatment</t>
  </si>
  <si>
    <t>High/Low</t>
  </si>
  <si>
    <t>Nutrients/No</t>
  </si>
  <si>
    <t>Fv/Fm_1</t>
  </si>
  <si>
    <t>Fv/Fm_2</t>
  </si>
  <si>
    <t>Fv/Fm_3</t>
  </si>
  <si>
    <t>Fv/Fm_avg</t>
  </si>
  <si>
    <t>Alpha</t>
  </si>
  <si>
    <t>ETRmax</t>
  </si>
  <si>
    <t>Ik</t>
  </si>
  <si>
    <t>beta</t>
  </si>
  <si>
    <t>ETRmPot</t>
  </si>
  <si>
    <t>ETRMax</t>
  </si>
  <si>
    <t>control</t>
  </si>
  <si>
    <t>-</t>
  </si>
  <si>
    <t>solvent control</t>
  </si>
  <si>
    <t>nutrient control</t>
  </si>
  <si>
    <t>nutrient control (with solvent)</t>
  </si>
  <si>
    <t>nutrients</t>
  </si>
  <si>
    <t>Dic</t>
  </si>
  <si>
    <t>low</t>
  </si>
  <si>
    <t>high</t>
  </si>
  <si>
    <t>Dic+Carb</t>
  </si>
  <si>
    <t>Dic+PFOS</t>
  </si>
  <si>
    <t>Dic+6ppdq</t>
  </si>
  <si>
    <t>Treament</t>
  </si>
  <si>
    <t>Replicate</t>
  </si>
  <si>
    <t>T0</t>
  </si>
  <si>
    <t xml:space="preserve">24h </t>
  </si>
  <si>
    <t>48h</t>
  </si>
  <si>
    <t>72h</t>
  </si>
  <si>
    <t>A</t>
  </si>
  <si>
    <t>B</t>
  </si>
  <si>
    <t>C</t>
  </si>
  <si>
    <t>D</t>
  </si>
  <si>
    <t>nutrients only</t>
  </si>
  <si>
    <t>nutrients + solvent</t>
  </si>
  <si>
    <t>order</t>
  </si>
  <si>
    <t>pm gain</t>
  </si>
  <si>
    <t>times</t>
  </si>
  <si>
    <t>Carb</t>
  </si>
  <si>
    <t>Carb+Dic</t>
  </si>
  <si>
    <t>15 for light curve then went up to 17</t>
  </si>
  <si>
    <t>Carb+PFOS</t>
  </si>
  <si>
    <t>forgot to DI rinse before, only got sample rinse</t>
  </si>
  <si>
    <t>Carb+6ppdq</t>
  </si>
  <si>
    <t>#1634 = accidentally hit start light curve wihout putting in new sample</t>
  </si>
  <si>
    <t>16 for light curve then went down to 15 for fv/fm</t>
  </si>
  <si>
    <t>24h (closer to 27)</t>
  </si>
  <si>
    <t>Group</t>
  </si>
  <si>
    <t>RFU</t>
  </si>
  <si>
    <t>Total Chl a</t>
  </si>
  <si>
    <t>control 25</t>
  </si>
  <si>
    <t>control 50</t>
  </si>
  <si>
    <t>control 75</t>
  </si>
  <si>
    <t>nut 25</t>
  </si>
  <si>
    <t>nut 50</t>
  </si>
  <si>
    <t>nut 75</t>
  </si>
  <si>
    <t>nut</t>
  </si>
  <si>
    <t>nut 100</t>
  </si>
  <si>
    <t>Carblow</t>
  </si>
  <si>
    <t>Carbhigh</t>
  </si>
  <si>
    <t>Carb+Diclow</t>
  </si>
  <si>
    <t>Carb+Dichigh</t>
  </si>
  <si>
    <t>Carb+PFOSlow</t>
  </si>
  <si>
    <t>Carb+PFOShigh</t>
  </si>
  <si>
    <t>Carb+6ppdqlow</t>
  </si>
  <si>
    <t>Carb+6ppdqhigh</t>
  </si>
  <si>
    <t>Carblownutrients</t>
  </si>
  <si>
    <t>Carbhighnutrients</t>
  </si>
  <si>
    <t>Carb+Diclownutrients</t>
  </si>
  <si>
    <t>Carb+Dichighnutrients</t>
  </si>
  <si>
    <t>Carb+PFOSlownutrients</t>
  </si>
  <si>
    <t>Carb+PFOShighnutrients</t>
  </si>
  <si>
    <t>Carb+6ppdqlownutrients</t>
  </si>
  <si>
    <t>Carb+6ppdqhighnutrients</t>
  </si>
  <si>
    <t>Carbamazepine</t>
  </si>
  <si>
    <t>Diclofenac</t>
  </si>
  <si>
    <t>Diclow</t>
  </si>
  <si>
    <t>Dichigh</t>
  </si>
  <si>
    <t>Dic+Carblow</t>
  </si>
  <si>
    <t>Dic+Carbhigh</t>
  </si>
  <si>
    <t>Dic+PFOSlow</t>
  </si>
  <si>
    <t>Dic+PFOShigh</t>
  </si>
  <si>
    <t>Dic+6ppdqhigh</t>
  </si>
  <si>
    <t>Dic+6ppdqlow</t>
  </si>
  <si>
    <t>Diclownutrients</t>
  </si>
  <si>
    <t>Dichighnutrients</t>
  </si>
  <si>
    <t>Dic+Carblownutrients</t>
  </si>
  <si>
    <t>Dic+Carbhighnutrients</t>
  </si>
  <si>
    <t>Dic+PFOSlownutrients</t>
  </si>
  <si>
    <t>Dic+PFOShighnutrients</t>
  </si>
  <si>
    <t>Dic+6ppdqlownutrients</t>
  </si>
  <si>
    <t>Dic+6ppdqhighnutrients</t>
  </si>
  <si>
    <t>FvFm_C</t>
  </si>
  <si>
    <t>FvFm_D</t>
  </si>
  <si>
    <t>PFOS+Carb</t>
  </si>
  <si>
    <t>PFOS</t>
  </si>
  <si>
    <t>PFOS+Dic</t>
  </si>
  <si>
    <t>PFOS+6ppdq</t>
  </si>
  <si>
    <t>24h</t>
  </si>
  <si>
    <t>12:25-13:00</t>
  </si>
  <si>
    <t>PFOS low A - spilled ~1.5-2 ml of sample</t>
  </si>
  <si>
    <t>PFOSlow</t>
  </si>
  <si>
    <t>PFOShigh</t>
  </si>
  <si>
    <t>PFOS+Carblow</t>
  </si>
  <si>
    <t>PFOS+Carbhigh</t>
  </si>
  <si>
    <t>PFOS+Diclow</t>
  </si>
  <si>
    <t>PFOS+Dichigh</t>
  </si>
  <si>
    <t>PFOS+6ppdqlow</t>
  </si>
  <si>
    <t>PFOS+6ppdqhigh</t>
  </si>
  <si>
    <t>PFOSlownutrients</t>
  </si>
  <si>
    <t>PFOShighnutrients</t>
  </si>
  <si>
    <t>PFOS+Carblownutrients</t>
  </si>
  <si>
    <t>PFOS+Carbhighnutrients</t>
  </si>
  <si>
    <t>PFOS+Diclownutrients</t>
  </si>
  <si>
    <t>PFOS+Dichighnutrients</t>
  </si>
  <si>
    <t>PFOS+6ppdqlownutrients</t>
  </si>
  <si>
    <t>PFOS+6ppdqhighnutrients</t>
  </si>
  <si>
    <t>FvFm_P</t>
  </si>
  <si>
    <t>point</t>
  </si>
  <si>
    <t>timeofday</t>
  </si>
  <si>
    <t>6ppdq</t>
  </si>
  <si>
    <t>6ppdq+Carb</t>
  </si>
  <si>
    <t>6ppdq+Dic</t>
  </si>
  <si>
    <t>6ppdq+PFOS</t>
  </si>
  <si>
    <t>avg_T0</t>
  </si>
  <si>
    <t>avg_24h</t>
  </si>
  <si>
    <t>avg_48h</t>
  </si>
  <si>
    <t>avg_72h</t>
  </si>
  <si>
    <t>sd_T0</t>
  </si>
  <si>
    <t>sd_24h</t>
  </si>
  <si>
    <t>sd_48h</t>
  </si>
  <si>
    <t>sd_72h</t>
  </si>
  <si>
    <t>pd</t>
  </si>
  <si>
    <t>avg_pd</t>
  </si>
  <si>
    <t>sd_pd</t>
  </si>
  <si>
    <t>avg_pd_C</t>
  </si>
  <si>
    <t>sd_pd_C</t>
  </si>
  <si>
    <t>avg_pd_D</t>
  </si>
  <si>
    <t>sd_pd_D</t>
  </si>
  <si>
    <t>avg_pd_P</t>
  </si>
  <si>
    <t>sd_pd_P</t>
  </si>
  <si>
    <t>sd_pd_Q</t>
  </si>
  <si>
    <t>Quinone</t>
  </si>
  <si>
    <t>6ppdqlow</t>
  </si>
  <si>
    <t>6ppdqhigh</t>
  </si>
  <si>
    <t>6ppdq+Carblow</t>
  </si>
  <si>
    <t>6ppdq+Carbhigh</t>
  </si>
  <si>
    <t>6ppdq+Diclow</t>
  </si>
  <si>
    <t>6ppdq+Dichigh</t>
  </si>
  <si>
    <t>6ppdq+PFOSlow</t>
  </si>
  <si>
    <t>6ppdq+PFOShigh</t>
  </si>
  <si>
    <t>6ppdqlownutrients</t>
  </si>
  <si>
    <t>6ppdqhighnutrients</t>
  </si>
  <si>
    <t>6ppdq+Carblownutrients</t>
  </si>
  <si>
    <t>6ppdq+Carbhighnutrients</t>
  </si>
  <si>
    <t>6ppdq+Diclownutrients</t>
  </si>
  <si>
    <t>6ppdq+Dichighnutrients</t>
  </si>
  <si>
    <t>6ppdq+PFOSlownutrients</t>
  </si>
  <si>
    <t>6ppdq+PFOShighnutrients</t>
  </si>
  <si>
    <t>avg_pd_Q</t>
  </si>
  <si>
    <t>delta_RFU</t>
  </si>
  <si>
    <t>avg_delta</t>
  </si>
  <si>
    <t>sd_delta</t>
  </si>
  <si>
    <t>avg_delta_C</t>
  </si>
  <si>
    <t>sd_delta_C</t>
  </si>
  <si>
    <t>avg_delta_D</t>
  </si>
  <si>
    <t>sd_delta_D</t>
  </si>
  <si>
    <t>avg_delta_P</t>
  </si>
  <si>
    <t>sd_delta_P</t>
  </si>
  <si>
    <t>avg_delta_Q</t>
  </si>
  <si>
    <t>Control</t>
  </si>
  <si>
    <t>Solvent</t>
  </si>
  <si>
    <t>sd_delta_Q</t>
  </si>
  <si>
    <t>FvFm_Q</t>
  </si>
  <si>
    <t>pd_delta_RFU</t>
  </si>
  <si>
    <t>avg_pd_delta_RFU</t>
  </si>
  <si>
    <t>sd_pd_delta_RFU</t>
  </si>
  <si>
    <t>Bioassay</t>
  </si>
  <si>
    <t>Quin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</si>
</sst>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0000000"/>
  </numFmts>
  <fonts count="3" x14ac:knownFonts="1">
    <font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2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0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14" fontId="0" fillId="0" borderId="1" xfId="0" applyNumberFormat="1" applyBorder="1"/>
    <xf numFmtId="14" fontId="0" fillId="0" borderId="5" xfId="0" applyNumberFormat="1" applyBorder="1"/>
    <xf numFmtId="0" fontId="0" fillId="0" borderId="6" xfId="0" applyBorder="1"/>
    <xf numFmtId="14" fontId="0" fillId="0" borderId="7" xfId="0" applyNumberFormat="1" applyBorder="1"/>
    <xf numFmtId="0" fontId="0" fillId="0" borderId="8" xfId="0" applyBorder="1"/>
    <xf numFmtId="0" fontId="0" fillId="0" borderId="9" xfId="0" applyBorder="1"/>
    <xf numFmtId="14" fontId="0" fillId="2" borderId="1" xfId="0" applyNumberFormat="1" applyFill="1" applyBorder="1"/>
    <xf numFmtId="0" fontId="0" fillId="2" borderId="2" xfId="0" applyFill="1" applyBorder="1"/>
    <xf numFmtId="0" fontId="0" fillId="2" borderId="4" xfId="0" applyFill="1" applyBorder="1"/>
    <xf numFmtId="14" fontId="0" fillId="3" borderId="5" xfId="0" applyNumberFormat="1" applyFill="1" applyBorder="1"/>
    <xf numFmtId="0" fontId="0" fillId="3" borderId="0" xfId="0" applyFill="1"/>
    <xf numFmtId="0" fontId="0" fillId="3" borderId="6" xfId="0" applyFill="1" applyBorder="1"/>
    <xf numFmtId="14" fontId="0" fillId="4" borderId="5" xfId="0" applyNumberFormat="1" applyFill="1" applyBorder="1"/>
    <xf numFmtId="0" fontId="0" fillId="4" borderId="0" xfId="0" applyFill="1"/>
    <xf numFmtId="0" fontId="0" fillId="4" borderId="6" xfId="0" applyFill="1" applyBorder="1"/>
    <xf numFmtId="14" fontId="0" fillId="5" borderId="5" xfId="0" applyNumberFormat="1" applyFill="1" applyBorder="1"/>
    <xf numFmtId="0" fontId="0" fillId="5" borderId="0" xfId="0" applyFill="1"/>
    <xf numFmtId="0" fontId="0" fillId="5" borderId="6" xfId="0" applyFill="1" applyBorder="1"/>
    <xf numFmtId="14" fontId="0" fillId="6" borderId="5" xfId="0" applyNumberFormat="1" applyFill="1" applyBorder="1"/>
    <xf numFmtId="0" fontId="0" fillId="6" borderId="0" xfId="0" applyFill="1"/>
    <xf numFmtId="0" fontId="0" fillId="6" borderId="6" xfId="0" applyFill="1" applyBorder="1"/>
    <xf numFmtId="14" fontId="0" fillId="7" borderId="5" xfId="0" applyNumberFormat="1" applyFill="1" applyBorder="1"/>
    <xf numFmtId="0" fontId="0" fillId="7" borderId="0" xfId="0" applyFill="1"/>
    <xf numFmtId="0" fontId="0" fillId="7" borderId="6" xfId="0" applyFill="1" applyBorder="1"/>
    <xf numFmtId="14" fontId="0" fillId="8" borderId="5" xfId="0" applyNumberFormat="1" applyFill="1" applyBorder="1"/>
    <xf numFmtId="0" fontId="0" fillId="8" borderId="0" xfId="0" applyFill="1"/>
    <xf numFmtId="0" fontId="0" fillId="8" borderId="6" xfId="0" applyFill="1" applyBorder="1"/>
    <xf numFmtId="14" fontId="0" fillId="9" borderId="7" xfId="0" applyNumberFormat="1" applyFill="1" applyBorder="1"/>
    <xf numFmtId="0" fontId="0" fillId="9" borderId="8" xfId="0" applyFill="1" applyBorder="1"/>
    <xf numFmtId="0" fontId="0" fillId="9" borderId="9" xfId="0" applyFill="1" applyBorder="1"/>
    <xf numFmtId="14" fontId="0" fillId="10" borderId="1" xfId="0" applyNumberFormat="1" applyFill="1" applyBorder="1"/>
    <xf numFmtId="0" fontId="0" fillId="10" borderId="2" xfId="0" applyFill="1" applyBorder="1"/>
    <xf numFmtId="0" fontId="0" fillId="10" borderId="4" xfId="0" applyFill="1" applyBorder="1"/>
    <xf numFmtId="14" fontId="0" fillId="11" borderId="5" xfId="0" applyNumberFormat="1" applyFill="1" applyBorder="1"/>
    <xf numFmtId="0" fontId="0" fillId="11" borderId="0" xfId="0" applyFill="1"/>
    <xf numFmtId="0" fontId="0" fillId="11" borderId="6" xfId="0" applyFill="1" applyBorder="1"/>
    <xf numFmtId="14" fontId="0" fillId="12" borderId="5" xfId="0" applyNumberFormat="1" applyFill="1" applyBorder="1"/>
    <xf numFmtId="0" fontId="0" fillId="12" borderId="0" xfId="0" applyFill="1"/>
    <xf numFmtId="0" fontId="0" fillId="12" borderId="6" xfId="0" applyFill="1" applyBorder="1"/>
    <xf numFmtId="14" fontId="0" fillId="13" borderId="5" xfId="0" applyNumberFormat="1" applyFill="1" applyBorder="1"/>
    <xf numFmtId="0" fontId="0" fillId="13" borderId="0" xfId="0" applyFill="1"/>
    <xf numFmtId="0" fontId="0" fillId="13" borderId="6" xfId="0" applyFill="1" applyBorder="1"/>
    <xf numFmtId="14" fontId="0" fillId="14" borderId="5" xfId="0" applyNumberFormat="1" applyFill="1" applyBorder="1"/>
    <xf numFmtId="0" fontId="0" fillId="14" borderId="0" xfId="0" applyFill="1"/>
    <xf numFmtId="0" fontId="0" fillId="14" borderId="6" xfId="0" applyFill="1" applyBorder="1"/>
    <xf numFmtId="14" fontId="0" fillId="15" borderId="5" xfId="0" applyNumberFormat="1" applyFill="1" applyBorder="1"/>
    <xf numFmtId="0" fontId="0" fillId="15" borderId="0" xfId="0" applyFill="1"/>
    <xf numFmtId="0" fontId="0" fillId="15" borderId="6" xfId="0" applyFill="1" applyBorder="1"/>
    <xf numFmtId="14" fontId="0" fillId="16" borderId="5" xfId="0" applyNumberFormat="1" applyFill="1" applyBorder="1"/>
    <xf numFmtId="0" fontId="0" fillId="16" borderId="0" xfId="0" applyFill="1"/>
    <xf numFmtId="0" fontId="0" fillId="16" borderId="6" xfId="0" applyFill="1" applyBorder="1"/>
    <xf numFmtId="14" fontId="0" fillId="17" borderId="7" xfId="0" applyNumberFormat="1" applyFill="1" applyBorder="1"/>
    <xf numFmtId="0" fontId="0" fillId="17" borderId="8" xfId="0" applyFill="1" applyBorder="1"/>
    <xf numFmtId="0" fontId="0" fillId="17" borderId="9" xfId="0" applyFill="1" applyBorder="1"/>
    <xf numFmtId="0" fontId="0" fillId="0" borderId="10" xfId="0" applyBorder="1"/>
    <xf numFmtId="0" fontId="0" fillId="0" borderId="11" xfId="0" applyBorder="1"/>
    <xf numFmtId="0" fontId="0" fillId="0" borderId="5" xfId="0" applyBorder="1"/>
    <xf numFmtId="0" fontId="0" fillId="0" borderId="7" xfId="0" applyBorder="1"/>
    <xf numFmtId="0" fontId="0" fillId="2" borderId="5" xfId="0" applyFill="1" applyBorder="1"/>
    <xf numFmtId="0" fontId="0" fillId="2" borderId="0" xfId="0" applyFill="1"/>
    <xf numFmtId="0" fontId="0" fillId="2" borderId="6" xfId="0" applyFill="1" applyBorder="1"/>
    <xf numFmtId="0" fontId="0" fillId="2" borderId="12" xfId="0" applyFill="1" applyBorder="1"/>
    <xf numFmtId="0" fontId="0" fillId="2" borderId="8" xfId="0" applyFill="1" applyBorder="1"/>
    <xf numFmtId="0" fontId="0" fillId="2" borderId="9" xfId="0" applyFill="1" applyBorder="1"/>
    <xf numFmtId="0" fontId="0" fillId="3" borderId="5" xfId="0" applyFill="1" applyBorder="1"/>
    <xf numFmtId="0" fontId="0" fillId="3" borderId="12" xfId="0" applyFill="1" applyBorder="1"/>
    <xf numFmtId="0" fontId="0" fillId="3" borderId="8" xfId="0" applyFill="1" applyBorder="1"/>
    <xf numFmtId="0" fontId="0" fillId="3" borderId="9" xfId="0" applyFill="1" applyBorder="1"/>
    <xf numFmtId="0" fontId="0" fillId="4" borderId="5" xfId="0" applyFill="1" applyBorder="1"/>
    <xf numFmtId="0" fontId="0" fillId="4" borderId="12" xfId="0" applyFill="1" applyBorder="1"/>
    <xf numFmtId="0" fontId="0" fillId="4" borderId="8" xfId="0" applyFill="1" applyBorder="1"/>
    <xf numFmtId="0" fontId="0" fillId="4" borderId="9" xfId="0" applyFill="1" applyBorder="1"/>
    <xf numFmtId="0" fontId="0" fillId="5" borderId="5" xfId="0" applyFill="1" applyBorder="1"/>
    <xf numFmtId="0" fontId="0" fillId="5" borderId="12" xfId="0" applyFill="1" applyBorder="1"/>
    <xf numFmtId="0" fontId="0" fillId="5" borderId="8" xfId="0" applyFill="1" applyBorder="1"/>
    <xf numFmtId="0" fontId="0" fillId="5" borderId="9" xfId="0" applyFill="1" applyBorder="1"/>
    <xf numFmtId="0" fontId="0" fillId="6" borderId="5" xfId="0" applyFill="1" applyBorder="1"/>
    <xf numFmtId="0" fontId="0" fillId="6" borderId="12" xfId="0" applyFill="1" applyBorder="1"/>
    <xf numFmtId="0" fontId="0" fillId="6" borderId="8" xfId="0" applyFill="1" applyBorder="1"/>
    <xf numFmtId="0" fontId="0" fillId="6" borderId="9" xfId="0" applyFill="1" applyBorder="1"/>
    <xf numFmtId="0" fontId="0" fillId="7" borderId="5" xfId="0" applyFill="1" applyBorder="1"/>
    <xf numFmtId="0" fontId="0" fillId="7" borderId="12" xfId="0" applyFill="1" applyBorder="1"/>
    <xf numFmtId="0" fontId="0" fillId="7" borderId="8" xfId="0" applyFill="1" applyBorder="1"/>
    <xf numFmtId="0" fontId="0" fillId="7" borderId="9" xfId="0" applyFill="1" applyBorder="1"/>
    <xf numFmtId="0" fontId="0" fillId="8" borderId="5" xfId="0" applyFill="1" applyBorder="1"/>
    <xf numFmtId="0" fontId="0" fillId="8" borderId="12" xfId="0" applyFill="1" applyBorder="1"/>
    <xf numFmtId="0" fontId="0" fillId="8" borderId="8" xfId="0" applyFill="1" applyBorder="1"/>
    <xf numFmtId="0" fontId="0" fillId="8" borderId="9" xfId="0" applyFill="1" applyBorder="1"/>
    <xf numFmtId="0" fontId="0" fillId="9" borderId="5" xfId="0" applyFill="1" applyBorder="1"/>
    <xf numFmtId="0" fontId="0" fillId="9" borderId="0" xfId="0" applyFill="1"/>
    <xf numFmtId="0" fontId="0" fillId="9" borderId="6" xfId="0" applyFill="1" applyBorder="1"/>
    <xf numFmtId="0" fontId="0" fillId="9" borderId="12" xfId="0" applyFill="1" applyBorder="1"/>
    <xf numFmtId="0" fontId="0" fillId="10" borderId="5" xfId="0" applyFill="1" applyBorder="1"/>
    <xf numFmtId="0" fontId="0" fillId="10" borderId="0" xfId="0" applyFill="1"/>
    <xf numFmtId="0" fontId="0" fillId="10" borderId="6" xfId="0" applyFill="1" applyBorder="1"/>
    <xf numFmtId="0" fontId="0" fillId="10" borderId="12" xfId="0" applyFill="1" applyBorder="1"/>
    <xf numFmtId="0" fontId="0" fillId="10" borderId="8" xfId="0" applyFill="1" applyBorder="1"/>
    <xf numFmtId="0" fontId="0" fillId="10" borderId="9" xfId="0" applyFill="1" applyBorder="1"/>
    <xf numFmtId="0" fontId="0" fillId="11" borderId="5" xfId="0" applyFill="1" applyBorder="1"/>
    <xf numFmtId="0" fontId="0" fillId="11" borderId="12" xfId="0" applyFill="1" applyBorder="1"/>
    <xf numFmtId="0" fontId="0" fillId="11" borderId="8" xfId="0" applyFill="1" applyBorder="1"/>
    <xf numFmtId="0" fontId="0" fillId="11" borderId="9" xfId="0" applyFill="1" applyBorder="1"/>
    <xf numFmtId="0" fontId="0" fillId="12" borderId="5" xfId="0" applyFill="1" applyBorder="1"/>
    <xf numFmtId="0" fontId="0" fillId="12" borderId="12" xfId="0" applyFill="1" applyBorder="1"/>
    <xf numFmtId="0" fontId="0" fillId="12" borderId="8" xfId="0" applyFill="1" applyBorder="1"/>
    <xf numFmtId="0" fontId="0" fillId="12" borderId="9" xfId="0" applyFill="1" applyBorder="1"/>
    <xf numFmtId="0" fontId="0" fillId="18" borderId="5" xfId="0" applyFill="1" applyBorder="1"/>
    <xf numFmtId="0" fontId="0" fillId="18" borderId="0" xfId="0" applyFill="1"/>
    <xf numFmtId="0" fontId="0" fillId="18" borderId="6" xfId="0" applyFill="1" applyBorder="1"/>
    <xf numFmtId="0" fontId="0" fillId="18" borderId="12" xfId="0" applyFill="1" applyBorder="1"/>
    <xf numFmtId="0" fontId="0" fillId="18" borderId="8" xfId="0" applyFill="1" applyBorder="1"/>
    <xf numFmtId="0" fontId="0" fillId="18" borderId="9" xfId="0" applyFill="1" applyBorder="1"/>
    <xf numFmtId="0" fontId="0" fillId="14" borderId="5" xfId="0" applyFill="1" applyBorder="1"/>
    <xf numFmtId="0" fontId="0" fillId="14" borderId="12" xfId="0" applyFill="1" applyBorder="1"/>
    <xf numFmtId="0" fontId="0" fillId="14" borderId="8" xfId="0" applyFill="1" applyBorder="1"/>
    <xf numFmtId="0" fontId="0" fillId="14" borderId="9" xfId="0" applyFill="1" applyBorder="1"/>
    <xf numFmtId="0" fontId="0" fillId="15" borderId="5" xfId="0" applyFill="1" applyBorder="1"/>
    <xf numFmtId="0" fontId="0" fillId="15" borderId="12" xfId="0" applyFill="1" applyBorder="1"/>
    <xf numFmtId="0" fontId="0" fillId="15" borderId="8" xfId="0" applyFill="1" applyBorder="1"/>
    <xf numFmtId="0" fontId="0" fillId="15" borderId="9" xfId="0" applyFill="1" applyBorder="1"/>
    <xf numFmtId="0" fontId="0" fillId="16" borderId="5" xfId="0" applyFill="1" applyBorder="1"/>
    <xf numFmtId="0" fontId="0" fillId="16" borderId="12" xfId="0" applyFill="1" applyBorder="1"/>
    <xf numFmtId="0" fontId="0" fillId="16" borderId="8" xfId="0" applyFill="1" applyBorder="1"/>
    <xf numFmtId="0" fontId="0" fillId="16" borderId="9" xfId="0" applyFill="1" applyBorder="1"/>
    <xf numFmtId="0" fontId="0" fillId="19" borderId="5" xfId="0" applyFill="1" applyBorder="1"/>
    <xf numFmtId="0" fontId="0" fillId="19" borderId="0" xfId="0" applyFill="1"/>
    <xf numFmtId="0" fontId="0" fillId="19" borderId="6" xfId="0" applyFill="1" applyBorder="1"/>
    <xf numFmtId="0" fontId="0" fillId="19" borderId="12" xfId="0" applyFill="1" applyBorder="1"/>
    <xf numFmtId="0" fontId="0" fillId="19" borderId="8" xfId="0" applyFill="1" applyBorder="1"/>
    <xf numFmtId="0" fontId="0" fillId="19" borderId="9" xfId="0" applyFill="1" applyBorder="1"/>
    <xf numFmtId="20" fontId="0" fillId="0" borderId="0" xfId="0" applyNumberFormat="1"/>
    <xf numFmtId="0" fontId="0" fillId="2" borderId="7" xfId="0" applyFill="1" applyBorder="1"/>
    <xf numFmtId="0" fontId="0" fillId="3" borderId="7" xfId="0" applyFill="1" applyBorder="1"/>
    <xf numFmtId="0" fontId="0" fillId="4" borderId="7" xfId="0" applyFill="1" applyBorder="1"/>
    <xf numFmtId="0" fontId="0" fillId="5" borderId="7" xfId="0" applyFill="1" applyBorder="1"/>
    <xf numFmtId="0" fontId="0" fillId="6" borderId="7" xfId="0" applyFill="1" applyBorder="1"/>
    <xf numFmtId="0" fontId="0" fillId="7" borderId="7" xfId="0" applyFill="1" applyBorder="1"/>
    <xf numFmtId="0" fontId="0" fillId="8" borderId="7" xfId="0" applyFill="1" applyBorder="1"/>
    <xf numFmtId="0" fontId="0" fillId="9" borderId="7" xfId="0" applyFill="1" applyBorder="1"/>
    <xf numFmtId="0" fontId="0" fillId="10" borderId="7" xfId="0" applyFill="1" applyBorder="1"/>
    <xf numFmtId="0" fontId="0" fillId="11" borderId="7" xfId="0" applyFill="1" applyBorder="1"/>
    <xf numFmtId="0" fontId="0" fillId="12" borderId="7" xfId="0" applyFill="1" applyBorder="1"/>
    <xf numFmtId="0" fontId="0" fillId="18" borderId="7" xfId="0" applyFill="1" applyBorder="1"/>
    <xf numFmtId="0" fontId="0" fillId="14" borderId="7" xfId="0" applyFill="1" applyBorder="1"/>
    <xf numFmtId="0" fontId="0" fillId="15" borderId="7" xfId="0" applyFill="1" applyBorder="1"/>
    <xf numFmtId="0" fontId="0" fillId="16" borderId="7" xfId="0" applyFill="1" applyBorder="1"/>
    <xf numFmtId="0" fontId="0" fillId="19" borderId="7" xfId="0" applyFill="1" applyBorder="1"/>
    <xf numFmtId="164" fontId="0" fillId="0" borderId="0" xfId="0" applyNumberFormat="1"/>
    <xf numFmtId="14" fontId="0" fillId="0" borderId="2" xfId="0" applyNumberFormat="1" applyBorder="1"/>
    <xf numFmtId="14" fontId="0" fillId="0" borderId="0" xfId="0" applyNumberFormat="1"/>
    <xf numFmtId="14" fontId="0" fillId="0" borderId="8" xfId="0" applyNumberFormat="1" applyBorder="1"/>
    <xf numFmtId="14" fontId="0" fillId="2" borderId="2" xfId="0" applyNumberFormat="1" applyFill="1" applyBorder="1"/>
    <xf numFmtId="14" fontId="0" fillId="3" borderId="0" xfId="0" applyNumberFormat="1" applyFill="1"/>
    <xf numFmtId="14" fontId="0" fillId="4" borderId="0" xfId="0" applyNumberFormat="1" applyFill="1"/>
    <xf numFmtId="14" fontId="0" fillId="5" borderId="0" xfId="0" applyNumberFormat="1" applyFill="1"/>
    <xf numFmtId="14" fontId="0" fillId="6" borderId="0" xfId="0" applyNumberFormat="1" applyFill="1"/>
    <xf numFmtId="14" fontId="0" fillId="7" borderId="0" xfId="0" applyNumberFormat="1" applyFill="1"/>
    <xf numFmtId="14" fontId="0" fillId="8" borderId="0" xfId="0" applyNumberFormat="1" applyFill="1"/>
    <xf numFmtId="14" fontId="0" fillId="9" borderId="8" xfId="0" applyNumberFormat="1" applyFill="1" applyBorder="1"/>
    <xf numFmtId="14" fontId="0" fillId="10" borderId="2" xfId="0" applyNumberFormat="1" applyFill="1" applyBorder="1"/>
    <xf numFmtId="14" fontId="0" fillId="11" borderId="0" xfId="0" applyNumberFormat="1" applyFill="1"/>
    <xf numFmtId="14" fontId="0" fillId="12" borderId="0" xfId="0" applyNumberFormat="1" applyFill="1"/>
    <xf numFmtId="14" fontId="0" fillId="13" borderId="0" xfId="0" applyNumberFormat="1" applyFill="1"/>
    <xf numFmtId="14" fontId="0" fillId="14" borderId="0" xfId="0" applyNumberFormat="1" applyFill="1"/>
    <xf numFmtId="14" fontId="0" fillId="15" borderId="0" xfId="0" applyNumberFormat="1" applyFill="1"/>
    <xf numFmtId="14" fontId="0" fillId="16" borderId="0" xfId="0" applyNumberFormat="1" applyFill="1"/>
    <xf numFmtId="14" fontId="0" fillId="17" borderId="8" xfId="0" applyNumberFormat="1" applyFill="1" applyBorder="1"/>
    <xf numFmtId="0" fontId="0" fillId="0" borderId="0" xfId="0" applyBorder="1"/>
    <xf numFmtId="0" fontId="0" fillId="2" borderId="1" xfId="0" applyFill="1" applyBorder="1"/>
    <xf numFmtId="0" fontId="0" fillId="2" borderId="0" xfId="0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4" xfId="0" applyFill="1" applyBorder="1"/>
    <xf numFmtId="0" fontId="0" fillId="3" borderId="0" xfId="0" applyFill="1" applyBorder="1"/>
    <xf numFmtId="0" fontId="0" fillId="20" borderId="1" xfId="0" applyFill="1" applyBorder="1"/>
    <xf numFmtId="0" fontId="0" fillId="20" borderId="2" xfId="0" applyFill="1" applyBorder="1"/>
    <xf numFmtId="0" fontId="0" fillId="20" borderId="4" xfId="0" applyFill="1" applyBorder="1"/>
    <xf numFmtId="0" fontId="0" fillId="20" borderId="5" xfId="0" applyFill="1" applyBorder="1"/>
    <xf numFmtId="0" fontId="0" fillId="20" borderId="0" xfId="0" applyFill="1" applyBorder="1"/>
    <xf numFmtId="0" fontId="0" fillId="20" borderId="6" xfId="0" applyFill="1" applyBorder="1"/>
    <xf numFmtId="0" fontId="0" fillId="20" borderId="7" xfId="0" applyFill="1" applyBorder="1"/>
    <xf numFmtId="0" fontId="0" fillId="20" borderId="8" xfId="0" applyFill="1" applyBorder="1"/>
    <xf numFmtId="0" fontId="0" fillId="20" borderId="9" xfId="0" applyFill="1" applyBorder="1"/>
    <xf numFmtId="0" fontId="0" fillId="5" borderId="1" xfId="0" applyFill="1" applyBorder="1"/>
    <xf numFmtId="0" fontId="0" fillId="5" borderId="2" xfId="0" applyFill="1" applyBorder="1"/>
    <xf numFmtId="0" fontId="0" fillId="5" borderId="4" xfId="0" applyFill="1" applyBorder="1"/>
    <xf numFmtId="0" fontId="0" fillId="5" borderId="0" xfId="0" applyFill="1" applyBorder="1"/>
    <xf numFmtId="0" fontId="0" fillId="6" borderId="1" xfId="0" applyFill="1" applyBorder="1"/>
    <xf numFmtId="0" fontId="0" fillId="6" borderId="2" xfId="0" applyFill="1" applyBorder="1"/>
    <xf numFmtId="0" fontId="0" fillId="6" borderId="4" xfId="0" applyFill="1" applyBorder="1"/>
    <xf numFmtId="0" fontId="0" fillId="6" borderId="0" xfId="0" applyFill="1" applyBorder="1"/>
    <xf numFmtId="0" fontId="0" fillId="21" borderId="1" xfId="0" applyFill="1" applyBorder="1"/>
    <xf numFmtId="0" fontId="0" fillId="21" borderId="2" xfId="0" applyFill="1" applyBorder="1"/>
    <xf numFmtId="0" fontId="0" fillId="21" borderId="4" xfId="0" applyFill="1" applyBorder="1"/>
    <xf numFmtId="0" fontId="0" fillId="21" borderId="5" xfId="0" applyFill="1" applyBorder="1"/>
    <xf numFmtId="0" fontId="0" fillId="21" borderId="0" xfId="0" applyFill="1" applyBorder="1"/>
    <xf numFmtId="0" fontId="0" fillId="21" borderId="6" xfId="0" applyFill="1" applyBorder="1"/>
    <xf numFmtId="0" fontId="0" fillId="21" borderId="7" xfId="0" applyFill="1" applyBorder="1"/>
    <xf numFmtId="0" fontId="0" fillId="21" borderId="8" xfId="0" applyFill="1" applyBorder="1"/>
    <xf numFmtId="0" fontId="0" fillId="21" borderId="9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'[1]Standard Curve'!$G$2:$G$9</c:f>
              <c:numCache>
                <c:formatCode>General</c:formatCode>
                <c:ptCount val="8"/>
                <c:pt idx="0">
                  <c:v>1.6274999999999999</c:v>
                </c:pt>
                <c:pt idx="1">
                  <c:v>2.9950000000000001</c:v>
                </c:pt>
                <c:pt idx="2">
                  <c:v>4.88</c:v>
                </c:pt>
                <c:pt idx="3">
                  <c:v>6.9649999999999999</c:v>
                </c:pt>
                <c:pt idx="4">
                  <c:v>4.3775000000000004</c:v>
                </c:pt>
                <c:pt idx="5">
                  <c:v>9.1625000000000014</c:v>
                </c:pt>
                <c:pt idx="6">
                  <c:v>13.2125</c:v>
                </c:pt>
                <c:pt idx="7">
                  <c:v>17.5275</c:v>
                </c:pt>
              </c:numCache>
            </c:numRef>
          </c:xVal>
          <c:yVal>
            <c:numRef>
              <c:f>'[1]Standard Curve'!$H$2:$H$9</c:f>
              <c:numCache>
                <c:formatCode>General</c:formatCode>
                <c:ptCount val="8"/>
                <c:pt idx="0">
                  <c:v>1.8424602674721711</c:v>
                </c:pt>
                <c:pt idx="1">
                  <c:v>2.6559723679803797</c:v>
                </c:pt>
                <c:pt idx="2">
                  <c:v>3.7577615886813449</c:v>
                </c:pt>
                <c:pt idx="3">
                  <c:v>6.1636234627571884</c:v>
                </c:pt>
                <c:pt idx="4">
                  <c:v>5.9847484911151678</c:v>
                </c:pt>
                <c:pt idx="5">
                  <c:v>8.8302314272957556</c:v>
                </c:pt>
                <c:pt idx="6">
                  <c:v>13.506091754237465</c:v>
                </c:pt>
                <c:pt idx="7">
                  <c:v>17.229549821070641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2B3-4F17-ACB3-C106D5F314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1648079"/>
        <c:axId val="1291649519"/>
      </c:scatterChart>
      <c:valAx>
        <c:axId val="1291648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RFU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1649519"/>
        <c:crosses val="autoZero"/>
        <c:crossBetween val="midCat"/>
      </c:valAx>
      <c:valAx>
        <c:axId val="1291649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Chl a (ug/L)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16480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PFOS_standardcurve!$H$1</c:f>
              <c:strCache>
                <c:ptCount val="1"/>
                <c:pt idx="0">
                  <c:v>Total Chl a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7.6277340332458449E-2"/>
                  <c:y val="-4.172461752433936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PFOS_standardcurve!$G$2:$G$9</c:f>
              <c:numCache>
                <c:formatCode>General</c:formatCode>
                <c:ptCount val="8"/>
                <c:pt idx="0">
                  <c:v>1.1274999999999999</c:v>
                </c:pt>
                <c:pt idx="1">
                  <c:v>2.14</c:v>
                </c:pt>
                <c:pt idx="2">
                  <c:v>3.1</c:v>
                </c:pt>
                <c:pt idx="3">
                  <c:v>4.42</c:v>
                </c:pt>
                <c:pt idx="4">
                  <c:v>2.6349999999999998</c:v>
                </c:pt>
                <c:pt idx="5">
                  <c:v>5.0175000000000001</c:v>
                </c:pt>
                <c:pt idx="6">
                  <c:v>7.5374999999999996</c:v>
                </c:pt>
                <c:pt idx="7">
                  <c:v>10.275</c:v>
                </c:pt>
              </c:numCache>
            </c:numRef>
          </c:xVal>
          <c:yVal>
            <c:numRef>
              <c:f>PFOS_standardcurve!$H$2:$H$9</c:f>
              <c:numCache>
                <c:formatCode>General</c:formatCode>
                <c:ptCount val="8"/>
                <c:pt idx="0">
                  <c:v>1.5577003798153513</c:v>
                </c:pt>
                <c:pt idx="1">
                  <c:v>2.5149561900873221</c:v>
                </c:pt>
                <c:pt idx="2">
                  <c:v>3.6497745891302911</c:v>
                </c:pt>
                <c:pt idx="3">
                  <c:v>5.1528668195582679</c:v>
                </c:pt>
                <c:pt idx="4">
                  <c:v>3.8377067110886793</c:v>
                </c:pt>
                <c:pt idx="5">
                  <c:v>7.0124514196951404</c:v>
                </c:pt>
                <c:pt idx="6">
                  <c:v>8.9970664011156618</c:v>
                </c:pt>
                <c:pt idx="7">
                  <c:v>13.015130140421327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26-4BB7-92A8-3BE85A4AE2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0917695"/>
        <c:axId val="1180918175"/>
      </c:scatterChart>
      <c:valAx>
        <c:axId val="1180917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RFU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0918175"/>
        <c:crosses val="autoZero"/>
        <c:crossBetween val="midCat"/>
      </c:valAx>
      <c:valAx>
        <c:axId val="118091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ug Chl a/L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09176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Q_standardcurve!$H$1</c:f>
              <c:strCache>
                <c:ptCount val="1"/>
                <c:pt idx="0">
                  <c:v>Total Chl a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Q_standardcurve!$G$2:$G$9</c:f>
              <c:numCache>
                <c:formatCode>General</c:formatCode>
                <c:ptCount val="8"/>
                <c:pt idx="0">
                  <c:v>1.07</c:v>
                </c:pt>
                <c:pt idx="1">
                  <c:v>2.1275000000000004</c:v>
                </c:pt>
                <c:pt idx="2">
                  <c:v>2.7250000000000001</c:v>
                </c:pt>
                <c:pt idx="3">
                  <c:v>3.7674999999999996</c:v>
                </c:pt>
                <c:pt idx="4">
                  <c:v>2.3075000000000001</c:v>
                </c:pt>
                <c:pt idx="5">
                  <c:v>4.4050000000000002</c:v>
                </c:pt>
                <c:pt idx="6">
                  <c:v>6.8224999999999998</c:v>
                </c:pt>
                <c:pt idx="7">
                  <c:v>8.7700000000000014</c:v>
                </c:pt>
              </c:numCache>
            </c:numRef>
          </c:xVal>
          <c:yVal>
            <c:numRef>
              <c:f>Q_standardcurve!$H$2:$H$9</c:f>
              <c:numCache>
                <c:formatCode>General</c:formatCode>
                <c:ptCount val="8"/>
                <c:pt idx="0">
                  <c:v>2.2924248253991815</c:v>
                </c:pt>
                <c:pt idx="1">
                  <c:v>2.7428894496210052</c:v>
                </c:pt>
                <c:pt idx="2">
                  <c:v>3.907461056103771</c:v>
                </c:pt>
                <c:pt idx="3">
                  <c:v>5.801185394540914</c:v>
                </c:pt>
                <c:pt idx="4">
                  <c:v>3.4996014830530449</c:v>
                </c:pt>
                <c:pt idx="5">
                  <c:v>7.1677379403096904</c:v>
                </c:pt>
                <c:pt idx="6">
                  <c:v>10.476097522489507</c:v>
                </c:pt>
                <c:pt idx="7">
                  <c:v>14.710892168863893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C5-4C83-99F6-E53508EADE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3354431"/>
        <c:axId val="1713354911"/>
      </c:scatterChart>
      <c:valAx>
        <c:axId val="1713354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RFU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3354911"/>
        <c:crosses val="autoZero"/>
        <c:crossBetween val="midCat"/>
      </c:valAx>
      <c:valAx>
        <c:axId val="1713354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ug Chl a/L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33544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259080</xdr:colOff>
      <xdr:row>11</xdr:row>
      <xdr:rowOff>64770</xdr:rowOff>
    </xdr:from>
    <xdr:to>
      <xdr:col>12</xdr:col>
      <xdr:colOff>563880</xdr:colOff>
      <xdr:row>26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C4F820-55ED-4D31-8704-1EC66DE942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476250</xdr:colOff>
      <xdr:row>12</xdr:row>
      <xdr:rowOff>130492</xdr:rowOff>
    </xdr:from>
    <xdr:to>
      <xdr:col>12</xdr:col>
      <xdr:colOff>171450</xdr:colOff>
      <xdr:row>27</xdr:row>
      <xdr:rowOff>155257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25A2D7-6A4A-CCDE-1ADF-2C9442DF46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370522</xdr:colOff>
      <xdr:row>9</xdr:row>
      <xdr:rowOff>168592</xdr:rowOff>
    </xdr:from>
    <xdr:to>
      <xdr:col>16</xdr:col>
      <xdr:colOff>65722</xdr:colOff>
      <xdr:row>25</xdr:row>
      <xdr:rowOff>12382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EE23A8-D999-B728-CA1D-74C1291EC4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Carbamazapine_bioassays_fluorescence.xlsx" TargetMode="External"/><Relationship Id="rId2" Type="http://schemas.openxmlformats.org/officeDocument/2006/relationships/externalLinkPath" Target="https://d.docs.live.net/4795f5e3347afba5/Desktop/Dissertation/Carbamazapine_bioassays_fluorescence.xlsx" TargetMode="External"/><Relationship Id="rId1" Type="http://schemas.openxmlformats.org/officeDocument/2006/relationships/externalLinkPath" Target="/4795f5e3347afba5/Desktop/Dissertation/Carbamazapine_bioassays_fluorescen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FU"/>
      <sheetName val="Standard Curve"/>
      <sheetName val="Biomass"/>
    </sheetNames>
    <sheetDataSet>
      <sheetData sheetId="0" refreshError="1"/>
      <sheetData sheetId="1">
        <row r="2">
          <cell r="G2">
            <v>1.6274999999999999</v>
          </cell>
          <cell r="H2">
            <v>1.8424602674721711</v>
          </cell>
        </row>
        <row r="3">
          <cell r="G3">
            <v>2.9950000000000001</v>
          </cell>
          <cell r="H3">
            <v>2.6559723679803797</v>
          </cell>
        </row>
        <row r="4">
          <cell r="G4">
            <v>4.88</v>
          </cell>
          <cell r="H4">
            <v>3.7577615886813449</v>
          </cell>
        </row>
        <row r="5">
          <cell r="G5">
            <v>6.9649999999999999</v>
          </cell>
          <cell r="H5">
            <v>6.1636234627571884</v>
          </cell>
        </row>
        <row r="6">
          <cell r="G6">
            <v>4.3775000000000004</v>
          </cell>
          <cell r="H6">
            <v>5.9847484911151678</v>
          </cell>
        </row>
        <row r="7">
          <cell r="G7">
            <v>9.1625000000000014</v>
          </cell>
          <cell r="H7">
            <v>8.8302314272957556</v>
          </cell>
        </row>
        <row r="8">
          <cell r="G8">
            <v>13.2125</v>
          </cell>
          <cell r="H8">
            <v>13.506091754237465</v>
          </cell>
        </row>
        <row r="9">
          <cell r="G9">
            <v>17.5275</v>
          </cell>
          <cell r="H9">
            <v>17.229549821070641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94794-BE33-4C49-9300-72ACD29D4C03}">
  <dimension ref="A1:AM81"/>
  <sheetViews>
    <sheetView topLeftCell="Z48" zoomScaleNormal="100" workbookViewId="0">
      <selection activeCell="AL26" sqref="AL26"/>
    </sheetView>
  </sheetViews>
  <sheetFormatPr defaultRowHeight="14.4" x14ac:dyDescent="0.3"/>
  <sheetData>
    <row r="1" spans="1:36" ht="15" thickBot="1" x14ac:dyDescent="0.35">
      <c r="A1" s="59" t="s">
        <v>26</v>
      </c>
      <c r="B1" s="3" t="s">
        <v>2</v>
      </c>
      <c r="C1" s="3" t="s">
        <v>3</v>
      </c>
      <c r="D1" s="3" t="s">
        <v>50</v>
      </c>
      <c r="E1" s="3" t="s">
        <v>27</v>
      </c>
      <c r="F1" s="3" t="s">
        <v>28</v>
      </c>
      <c r="G1" s="3" t="s">
        <v>49</v>
      </c>
      <c r="H1" s="3" t="s">
        <v>30</v>
      </c>
      <c r="I1" s="60" t="s">
        <v>31</v>
      </c>
      <c r="P1" t="s">
        <v>127</v>
      </c>
      <c r="Q1" t="s">
        <v>128</v>
      </c>
      <c r="R1" t="s">
        <v>129</v>
      </c>
      <c r="S1" t="s">
        <v>130</v>
      </c>
      <c r="T1" t="s">
        <v>131</v>
      </c>
      <c r="U1" t="s">
        <v>132</v>
      </c>
      <c r="V1" t="s">
        <v>133</v>
      </c>
      <c r="W1" t="s">
        <v>134</v>
      </c>
      <c r="X1" t="s">
        <v>135</v>
      </c>
      <c r="Y1" t="s">
        <v>136</v>
      </c>
      <c r="Z1" t="s">
        <v>137</v>
      </c>
      <c r="AE1" t="s">
        <v>163</v>
      </c>
      <c r="AF1" t="s">
        <v>164</v>
      </c>
      <c r="AG1" t="s">
        <v>165</v>
      </c>
      <c r="AH1" t="s">
        <v>177</v>
      </c>
      <c r="AI1" t="s">
        <v>178</v>
      </c>
      <c r="AJ1" t="s">
        <v>179</v>
      </c>
    </row>
    <row r="2" spans="1:36" x14ac:dyDescent="0.3">
      <c r="A2" s="61" t="s">
        <v>14</v>
      </c>
      <c r="B2" t="s">
        <v>15</v>
      </c>
      <c r="C2" t="s">
        <v>15</v>
      </c>
      <c r="D2" t="s">
        <v>14</v>
      </c>
      <c r="E2" t="s">
        <v>32</v>
      </c>
      <c r="F2">
        <v>4.01</v>
      </c>
      <c r="G2">
        <v>2.04</v>
      </c>
      <c r="H2">
        <v>3.12</v>
      </c>
      <c r="I2" s="7">
        <v>3.17</v>
      </c>
      <c r="J2" s="135"/>
      <c r="P2">
        <f>AVERAGE(F2:F5)</f>
        <v>4.05</v>
      </c>
      <c r="Q2">
        <f t="shared" ref="Q2:S2" si="0">AVERAGE(G2:G5)</f>
        <v>2.3849999999999998</v>
      </c>
      <c r="R2">
        <f t="shared" si="0"/>
        <v>3.3899999999999997</v>
      </c>
      <c r="S2">
        <f t="shared" si="0"/>
        <v>3.2549999999999999</v>
      </c>
      <c r="T2">
        <f>_xlfn.STDEV.S(F2:F5)</f>
        <v>0.20083160441856085</v>
      </c>
      <c r="U2">
        <f t="shared" ref="U2:W2" si="1">_xlfn.STDEV.S(G2:G5)</f>
        <v>0.23895606290697038</v>
      </c>
      <c r="V2">
        <f t="shared" si="1"/>
        <v>0.26012817353502221</v>
      </c>
      <c r="W2">
        <f t="shared" si="1"/>
        <v>0.26337552404630676</v>
      </c>
      <c r="AE2">
        <f>I2-F2</f>
        <v>-0.83999999999999986</v>
      </c>
      <c r="AF2">
        <f>AVERAGE(AE2:AE5)</f>
        <v>-0.79499999999999993</v>
      </c>
      <c r="AG2">
        <f>_xlfn.STDEV.S(AE2:AE5)</f>
        <v>0.45420259796703055</v>
      </c>
    </row>
    <row r="3" spans="1:36" x14ac:dyDescent="0.3">
      <c r="A3" s="61" t="s">
        <v>14</v>
      </c>
      <c r="B3" t="s">
        <v>15</v>
      </c>
      <c r="C3" t="s">
        <v>15</v>
      </c>
      <c r="D3" t="s">
        <v>14</v>
      </c>
      <c r="E3" t="s">
        <v>33</v>
      </c>
      <c r="F3">
        <v>3.88</v>
      </c>
      <c r="G3">
        <v>2.56</v>
      </c>
      <c r="H3">
        <v>3.48</v>
      </c>
      <c r="I3" s="7">
        <v>3.45</v>
      </c>
      <c r="AE3">
        <f>I3-F3</f>
        <v>-0.42999999999999972</v>
      </c>
    </row>
    <row r="4" spans="1:36" x14ac:dyDescent="0.3">
      <c r="A4" s="61" t="s">
        <v>14</v>
      </c>
      <c r="B4" t="s">
        <v>15</v>
      </c>
      <c r="C4" t="s">
        <v>15</v>
      </c>
      <c r="D4" t="s">
        <v>14</v>
      </c>
      <c r="E4" t="s">
        <v>34</v>
      </c>
      <c r="F4">
        <v>4.34</v>
      </c>
      <c r="G4">
        <v>2.41</v>
      </c>
      <c r="H4">
        <v>3.25</v>
      </c>
      <c r="I4" s="7">
        <v>2.92</v>
      </c>
      <c r="AE4">
        <f t="shared" ref="AE4:AE66" si="2">I4-F4</f>
        <v>-1.42</v>
      </c>
    </row>
    <row r="5" spans="1:36" ht="15" thickBot="1" x14ac:dyDescent="0.35">
      <c r="A5" s="62" t="s">
        <v>14</v>
      </c>
      <c r="B5" s="9" t="s">
        <v>15</v>
      </c>
      <c r="C5" s="9" t="s">
        <v>15</v>
      </c>
      <c r="D5" s="9" t="s">
        <v>14</v>
      </c>
      <c r="E5" s="9" t="s">
        <v>35</v>
      </c>
      <c r="F5" s="9">
        <v>3.97</v>
      </c>
      <c r="G5" s="9">
        <v>2.5299999999999998</v>
      </c>
      <c r="H5" s="9">
        <v>3.71</v>
      </c>
      <c r="I5" s="10">
        <v>3.48</v>
      </c>
      <c r="AE5">
        <f t="shared" si="2"/>
        <v>-0.49000000000000021</v>
      </c>
    </row>
    <row r="6" spans="1:36" x14ac:dyDescent="0.3">
      <c r="A6" s="61" t="s">
        <v>16</v>
      </c>
      <c r="B6" t="s">
        <v>15</v>
      </c>
      <c r="C6" t="s">
        <v>15</v>
      </c>
      <c r="D6" t="s">
        <v>16</v>
      </c>
      <c r="E6" t="s">
        <v>32</v>
      </c>
      <c r="F6">
        <v>4.2</v>
      </c>
      <c r="G6">
        <v>2.5499999999999998</v>
      </c>
      <c r="H6">
        <v>2.87</v>
      </c>
      <c r="I6" s="7">
        <v>3.21</v>
      </c>
      <c r="P6">
        <f>AVERAGE(F6:F9)</f>
        <v>4.3574999999999999</v>
      </c>
      <c r="Q6">
        <f t="shared" ref="Q6" si="3">AVERAGE(G6:G9)</f>
        <v>2.4074999999999998</v>
      </c>
      <c r="R6">
        <f t="shared" ref="R6" si="4">AVERAGE(H6:H9)</f>
        <v>3.2874999999999996</v>
      </c>
      <c r="S6">
        <f t="shared" ref="S6" si="5">AVERAGE(I6:I9)</f>
        <v>3.1675</v>
      </c>
      <c r="T6">
        <f>_xlfn.STDEV.S(F6:F9)</f>
        <v>0.25539185578244278</v>
      </c>
      <c r="U6">
        <f t="shared" ref="U6" si="6">_xlfn.STDEV.S(G6:G9)</f>
        <v>0.21234798484249071</v>
      </c>
      <c r="V6">
        <f t="shared" ref="V6" si="7">_xlfn.STDEV.S(H6:H9)</f>
        <v>0.31478828864280606</v>
      </c>
      <c r="W6">
        <f t="shared" ref="W6" si="8">_xlfn.STDEV.S(I6:I9)</f>
        <v>0.51938264635366438</v>
      </c>
      <c r="AE6">
        <f t="shared" si="2"/>
        <v>-0.99000000000000021</v>
      </c>
      <c r="AF6">
        <f t="shared" ref="AF6" si="9">AVERAGE(AE6:AE9)</f>
        <v>-1.1900000000000004</v>
      </c>
      <c r="AG6">
        <f t="shared" ref="AG6" si="10">_xlfn.STDEV.S(AE6:AE9)</f>
        <v>0.64233947411006831</v>
      </c>
    </row>
    <row r="7" spans="1:36" x14ac:dyDescent="0.3">
      <c r="A7" s="61" t="s">
        <v>16</v>
      </c>
      <c r="B7" t="s">
        <v>15</v>
      </c>
      <c r="C7" t="s">
        <v>15</v>
      </c>
      <c r="D7" t="s">
        <v>16</v>
      </c>
      <c r="E7" t="s">
        <v>33</v>
      </c>
      <c r="F7">
        <v>4.7</v>
      </c>
      <c r="G7">
        <v>2.15</v>
      </c>
      <c r="H7">
        <v>3.25</v>
      </c>
      <c r="I7" s="7">
        <v>2.63</v>
      </c>
      <c r="AE7">
        <f t="shared" si="2"/>
        <v>-2.0700000000000003</v>
      </c>
    </row>
    <row r="8" spans="1:36" x14ac:dyDescent="0.3">
      <c r="A8" s="61" t="s">
        <v>16</v>
      </c>
      <c r="B8" t="s">
        <v>15</v>
      </c>
      <c r="C8" t="s">
        <v>15</v>
      </c>
      <c r="D8" t="s">
        <v>16</v>
      </c>
      <c r="E8" t="s">
        <v>34</v>
      </c>
      <c r="F8">
        <v>4.13</v>
      </c>
      <c r="G8">
        <v>2.3199999999999998</v>
      </c>
      <c r="H8">
        <v>3.42</v>
      </c>
      <c r="I8" s="7">
        <v>2.97</v>
      </c>
      <c r="AE8">
        <f t="shared" si="2"/>
        <v>-1.1599999999999997</v>
      </c>
    </row>
    <row r="9" spans="1:36" ht="15" thickBot="1" x14ac:dyDescent="0.35">
      <c r="A9" s="62" t="s">
        <v>16</v>
      </c>
      <c r="B9" s="9" t="s">
        <v>15</v>
      </c>
      <c r="C9" s="9" t="s">
        <v>15</v>
      </c>
      <c r="D9" s="9" t="s">
        <v>16</v>
      </c>
      <c r="E9" s="9" t="s">
        <v>35</v>
      </c>
      <c r="F9" s="9">
        <v>4.4000000000000004</v>
      </c>
      <c r="G9" s="9">
        <v>2.61</v>
      </c>
      <c r="H9" s="9">
        <v>3.61</v>
      </c>
      <c r="I9" s="10">
        <v>3.86</v>
      </c>
      <c r="AE9">
        <f t="shared" si="2"/>
        <v>-0.54000000000000048</v>
      </c>
    </row>
    <row r="10" spans="1:36" x14ac:dyDescent="0.3">
      <c r="A10" s="61" t="s">
        <v>36</v>
      </c>
      <c r="B10" t="s">
        <v>15</v>
      </c>
      <c r="C10" t="s">
        <v>19</v>
      </c>
      <c r="D10" t="s">
        <v>36</v>
      </c>
      <c r="E10" t="s">
        <v>32</v>
      </c>
      <c r="F10">
        <v>3.71</v>
      </c>
      <c r="G10">
        <v>2.63</v>
      </c>
      <c r="H10">
        <v>5.0599999999999996</v>
      </c>
      <c r="I10" s="7">
        <v>8.64</v>
      </c>
      <c r="P10">
        <f>AVERAGE(F10:F13)</f>
        <v>3.7524999999999999</v>
      </c>
      <c r="Q10">
        <f t="shared" ref="Q10" si="11">AVERAGE(G10:G13)</f>
        <v>2.5424999999999995</v>
      </c>
      <c r="R10">
        <f t="shared" ref="R10" si="12">AVERAGE(H10:H13)</f>
        <v>5.5650000000000004</v>
      </c>
      <c r="S10">
        <f t="shared" ref="S10" si="13">AVERAGE(I10:I13)</f>
        <v>8.5150000000000006</v>
      </c>
      <c r="T10">
        <f>_xlfn.STDEV.S(F10:F13)</f>
        <v>0.11814539065631513</v>
      </c>
      <c r="U10">
        <f t="shared" ref="U10" si="14">_xlfn.STDEV.S(G10:G13)</f>
        <v>0.37976966703516785</v>
      </c>
      <c r="V10">
        <f t="shared" ref="V10" si="15">_xlfn.STDEV.S(H10:H13)</f>
        <v>0.41251262606939304</v>
      </c>
      <c r="W10">
        <f t="shared" ref="W10" si="16">_xlfn.STDEV.S(I10:I13)</f>
        <v>0.77672388916525525</v>
      </c>
      <c r="AE10">
        <f t="shared" si="2"/>
        <v>4.9300000000000006</v>
      </c>
      <c r="AF10">
        <f t="shared" ref="AF10" si="17">AVERAGE(AE10:AE13)</f>
        <v>4.7625000000000002</v>
      </c>
      <c r="AG10">
        <f>_xlfn.STDEV.S(AE10:AE13)</f>
        <v>0.86826935144957507</v>
      </c>
    </row>
    <row r="11" spans="1:36" x14ac:dyDescent="0.3">
      <c r="A11" s="61" t="s">
        <v>36</v>
      </c>
      <c r="B11" t="s">
        <v>15</v>
      </c>
      <c r="C11" t="s">
        <v>19</v>
      </c>
      <c r="D11" t="s">
        <v>36</v>
      </c>
      <c r="E11" t="s">
        <v>33</v>
      </c>
      <c r="F11">
        <v>3.78</v>
      </c>
      <c r="G11">
        <v>2.15</v>
      </c>
      <c r="H11">
        <v>5.58</v>
      </c>
      <c r="I11" s="7">
        <v>7.68</v>
      </c>
      <c r="AE11">
        <f t="shared" si="2"/>
        <v>3.9</v>
      </c>
    </row>
    <row r="12" spans="1:36" x14ac:dyDescent="0.3">
      <c r="A12" s="61" t="s">
        <v>36</v>
      </c>
      <c r="B12" t="s">
        <v>15</v>
      </c>
      <c r="C12" t="s">
        <v>19</v>
      </c>
      <c r="D12" t="s">
        <v>36</v>
      </c>
      <c r="E12" t="s">
        <v>34</v>
      </c>
      <c r="F12">
        <v>3.62</v>
      </c>
      <c r="G12">
        <v>2.36</v>
      </c>
      <c r="H12">
        <v>5.55</v>
      </c>
      <c r="I12" s="7">
        <v>9.52</v>
      </c>
      <c r="AE12">
        <f t="shared" si="2"/>
        <v>5.8999999999999995</v>
      </c>
    </row>
    <row r="13" spans="1:36" ht="15" thickBot="1" x14ac:dyDescent="0.35">
      <c r="A13" s="62" t="s">
        <v>36</v>
      </c>
      <c r="B13" s="9" t="s">
        <v>15</v>
      </c>
      <c r="C13" s="9" t="s">
        <v>19</v>
      </c>
      <c r="D13" s="9" t="s">
        <v>36</v>
      </c>
      <c r="E13" s="9" t="s">
        <v>35</v>
      </c>
      <c r="F13" s="9">
        <v>3.9</v>
      </c>
      <c r="G13" s="9">
        <v>3.03</v>
      </c>
      <c r="H13" s="9">
        <v>6.07</v>
      </c>
      <c r="I13" s="10">
        <v>8.2200000000000006</v>
      </c>
      <c r="AE13">
        <f>I13-F13</f>
        <v>4.32</v>
      </c>
    </row>
    <row r="14" spans="1:36" x14ac:dyDescent="0.3">
      <c r="A14" s="61" t="s">
        <v>37</v>
      </c>
      <c r="B14" t="s">
        <v>15</v>
      </c>
      <c r="C14" t="s">
        <v>19</v>
      </c>
      <c r="D14" t="s">
        <v>37</v>
      </c>
      <c r="E14" t="s">
        <v>32</v>
      </c>
      <c r="F14">
        <v>3.47</v>
      </c>
      <c r="G14">
        <v>2.81</v>
      </c>
      <c r="H14">
        <v>4.91</v>
      </c>
      <c r="I14" s="7">
        <v>6.76</v>
      </c>
      <c r="P14">
        <f>AVERAGE(F14:F17)</f>
        <v>3.6325000000000003</v>
      </c>
      <c r="Q14">
        <f t="shared" ref="Q14" si="18">AVERAGE(G14:G17)</f>
        <v>2.9450000000000003</v>
      </c>
      <c r="R14">
        <f t="shared" ref="R14" si="19">AVERAGE(H14:H17)</f>
        <v>4.8250000000000002</v>
      </c>
      <c r="S14">
        <f t="shared" ref="S14" si="20">AVERAGE(I14:I17)</f>
        <v>7.84</v>
      </c>
      <c r="T14">
        <f>_xlfn.STDEV.S(F14:F17)</f>
        <v>0.2551306854666186</v>
      </c>
      <c r="U14">
        <f t="shared" ref="U14" si="21">_xlfn.STDEV.S(G14:G17)</f>
        <v>0.18411952639521975</v>
      </c>
      <c r="V14">
        <f t="shared" ref="V14" si="22">_xlfn.STDEV.S(H14:H17)</f>
        <v>0.13771952173409069</v>
      </c>
      <c r="W14">
        <f t="shared" ref="W14" si="23">_xlfn.STDEV.S(I14:I17)</f>
        <v>1.0296601381038353</v>
      </c>
      <c r="AE14">
        <f t="shared" si="2"/>
        <v>3.2899999999999996</v>
      </c>
      <c r="AF14">
        <f t="shared" ref="AF14" si="24">AVERAGE(AE14:AE17)</f>
        <v>4.2074999999999996</v>
      </c>
      <c r="AG14">
        <f t="shared" ref="AG14" si="25">_xlfn.STDEV.S(AE14:AE17)</f>
        <v>1.0930195179715094</v>
      </c>
    </row>
    <row r="15" spans="1:36" x14ac:dyDescent="0.3">
      <c r="A15" s="61" t="s">
        <v>37</v>
      </c>
      <c r="B15" t="s">
        <v>15</v>
      </c>
      <c r="C15" t="s">
        <v>19</v>
      </c>
      <c r="D15" t="s">
        <v>37</v>
      </c>
      <c r="E15" t="s">
        <v>33</v>
      </c>
      <c r="F15">
        <v>3.99</v>
      </c>
      <c r="G15">
        <v>2.81</v>
      </c>
      <c r="H15">
        <v>4.9000000000000004</v>
      </c>
      <c r="I15" s="7">
        <v>7.27</v>
      </c>
      <c r="AE15">
        <f t="shared" si="2"/>
        <v>3.2799999999999994</v>
      </c>
    </row>
    <row r="16" spans="1:36" x14ac:dyDescent="0.3">
      <c r="A16" s="61" t="s">
        <v>37</v>
      </c>
      <c r="B16" t="s">
        <v>15</v>
      </c>
      <c r="C16" t="s">
        <v>19</v>
      </c>
      <c r="D16" t="s">
        <v>37</v>
      </c>
      <c r="E16" t="s">
        <v>34</v>
      </c>
      <c r="F16">
        <v>3.64</v>
      </c>
      <c r="G16">
        <v>3.2</v>
      </c>
      <c r="H16">
        <v>4.87</v>
      </c>
      <c r="I16" s="7">
        <v>9.07</v>
      </c>
      <c r="AE16">
        <f t="shared" si="2"/>
        <v>5.43</v>
      </c>
    </row>
    <row r="17" spans="1:39" ht="15" thickBot="1" x14ac:dyDescent="0.35">
      <c r="A17" s="62" t="s">
        <v>37</v>
      </c>
      <c r="B17" s="9" t="s">
        <v>15</v>
      </c>
      <c r="C17" s="9" t="s">
        <v>19</v>
      </c>
      <c r="D17" s="9" t="s">
        <v>37</v>
      </c>
      <c r="E17" s="9" t="s">
        <v>35</v>
      </c>
      <c r="F17" s="9">
        <v>3.43</v>
      </c>
      <c r="G17" s="9">
        <v>2.96</v>
      </c>
      <c r="H17" s="9">
        <v>4.62</v>
      </c>
      <c r="I17" s="10">
        <v>8.26</v>
      </c>
      <c r="AE17">
        <f t="shared" si="2"/>
        <v>4.83</v>
      </c>
    </row>
    <row r="18" spans="1:39" x14ac:dyDescent="0.3">
      <c r="A18" s="63" t="s">
        <v>41</v>
      </c>
      <c r="B18" s="64" t="s">
        <v>21</v>
      </c>
      <c r="C18" s="64" t="s">
        <v>15</v>
      </c>
      <c r="D18" s="64" t="str">
        <f>A18&amp;B18</f>
        <v>Carblow</v>
      </c>
      <c r="E18" s="64" t="s">
        <v>32</v>
      </c>
      <c r="F18" s="64">
        <v>3.89</v>
      </c>
      <c r="G18" s="64">
        <v>2.83</v>
      </c>
      <c r="H18" s="64">
        <v>3.01</v>
      </c>
      <c r="I18" s="65">
        <v>2.8</v>
      </c>
      <c r="P18">
        <f>AVERAGE(F18:F21)</f>
        <v>3.9225000000000003</v>
      </c>
      <c r="Q18">
        <f t="shared" ref="Q18" si="26">AVERAGE(G18:G21)</f>
        <v>2.5599999999999996</v>
      </c>
      <c r="R18">
        <f t="shared" ref="R18" si="27">AVERAGE(H18:H21)</f>
        <v>3.0649999999999999</v>
      </c>
      <c r="S18">
        <f t="shared" ref="S18" si="28">AVERAGE(I18:I21)</f>
        <v>3.42</v>
      </c>
      <c r="T18">
        <f>_xlfn.STDEV.S(F18:F21)</f>
        <v>0.176894507169292</v>
      </c>
      <c r="U18">
        <f t="shared" ref="U18" si="29">_xlfn.STDEV.S(G18:G21)</f>
        <v>0.36687872655688625</v>
      </c>
      <c r="V18">
        <f t="shared" ref="V18" si="30">_xlfn.STDEV.S(H18:H21)</f>
        <v>0.2963668897386032</v>
      </c>
      <c r="W18">
        <f t="shared" ref="W18" si="31">_xlfn.STDEV.S(I18:I21)</f>
        <v>0.69209825891993226</v>
      </c>
      <c r="X18">
        <f>((I18-S$6)/S$6)*100</f>
        <v>-11.602209944751387</v>
      </c>
      <c r="Y18">
        <f>AVERAGE(X18:X21)</f>
        <v>7.9715864246250998</v>
      </c>
      <c r="Z18">
        <f>_xlfn.STDEV.S(X18:X21)</f>
        <v>21.849984496288279</v>
      </c>
      <c r="AA18">
        <f>((I18-$S$2)/$S$2)*100</f>
        <v>-13.978494623655916</v>
      </c>
      <c r="AB18">
        <f>AVERAGE(AA18:AA21)</f>
        <v>5.0691244239631388</v>
      </c>
      <c r="AC18">
        <f>_xlfn.STDEV.S(AA18:AA21)</f>
        <v>21.262619321656874</v>
      </c>
      <c r="AE18">
        <f t="shared" si="2"/>
        <v>-1.0900000000000003</v>
      </c>
      <c r="AF18">
        <f t="shared" ref="AF18" si="32">AVERAGE(AE18:AE21)</f>
        <v>-0.50250000000000017</v>
      </c>
      <c r="AG18">
        <f t="shared" ref="AG18" si="33">_xlfn.STDEV.S(AE18:AE21)</f>
        <v>0.60802275176728959</v>
      </c>
      <c r="AH18">
        <f>((AE18-$AF$6)/$AF$6)*100</f>
        <v>-8.4033613445378208</v>
      </c>
      <c r="AI18">
        <f>AVERAGE(AH18:AH21)</f>
        <v>-57.773109243697476</v>
      </c>
      <c r="AJ18">
        <f>_xlfn.STDEV.S(AH18:AH21)</f>
        <v>51.094348888007517</v>
      </c>
      <c r="AK18">
        <f>((AE18-$AF$2)/$AF$2)*100</f>
        <v>37.106918238993764</v>
      </c>
      <c r="AL18">
        <v>41.095890410958901</v>
      </c>
      <c r="AM18">
        <v>39.859639895516338</v>
      </c>
    </row>
    <row r="19" spans="1:39" x14ac:dyDescent="0.3">
      <c r="A19" s="63" t="s">
        <v>41</v>
      </c>
      <c r="B19" s="64" t="s">
        <v>21</v>
      </c>
      <c r="C19" s="64" t="s">
        <v>15</v>
      </c>
      <c r="D19" s="64" t="str">
        <f t="shared" ref="D19:D49" si="34">A19&amp;B19</f>
        <v>Carblow</v>
      </c>
      <c r="E19" s="64" t="s">
        <v>33</v>
      </c>
      <c r="F19" s="64">
        <v>4.1500000000000004</v>
      </c>
      <c r="G19" s="64">
        <v>2.78</v>
      </c>
      <c r="H19" s="64">
        <v>3.45</v>
      </c>
      <c r="I19" s="65">
        <v>3.76</v>
      </c>
      <c r="X19">
        <f t="shared" ref="X19:X49" si="35">((I19-S$6)/S$6)*100</f>
        <v>18.705603788476711</v>
      </c>
      <c r="AA19">
        <f t="shared" ref="AA19:AA49" si="36">((I19-$S$2)/$S$2)*100</f>
        <v>15.514592933947771</v>
      </c>
      <c r="AE19">
        <f t="shared" si="2"/>
        <v>-0.39000000000000057</v>
      </c>
      <c r="AH19">
        <f t="shared" ref="AH19:AH49" si="37">((AE19-$AF$6)/$AF$6)*100</f>
        <v>-67.226890756302481</v>
      </c>
      <c r="AK19">
        <f t="shared" ref="AK19:AK49" si="38">((AE19-$AF$2)/$AF$2)*100</f>
        <v>-50.943396226415018</v>
      </c>
    </row>
    <row r="20" spans="1:39" x14ac:dyDescent="0.3">
      <c r="A20" s="63" t="s">
        <v>41</v>
      </c>
      <c r="B20" s="64" t="s">
        <v>21</v>
      </c>
      <c r="C20" s="64" t="s">
        <v>15</v>
      </c>
      <c r="D20" s="64" t="str">
        <f t="shared" si="34"/>
        <v>Carblow</v>
      </c>
      <c r="E20" s="64" t="s">
        <v>34</v>
      </c>
      <c r="F20" s="64">
        <v>3.72</v>
      </c>
      <c r="G20" s="64">
        <v>2.6</v>
      </c>
      <c r="H20" s="64">
        <v>3.07</v>
      </c>
      <c r="I20" s="65">
        <v>2.89</v>
      </c>
      <c r="X20">
        <f t="shared" si="35"/>
        <v>-8.7608524072612415</v>
      </c>
      <c r="AA20">
        <f t="shared" si="36"/>
        <v>-11.213517665130562</v>
      </c>
      <c r="AE20">
        <f>I20-F20</f>
        <v>-0.83000000000000007</v>
      </c>
      <c r="AH20">
        <f t="shared" si="37"/>
        <v>-30.252100840336148</v>
      </c>
      <c r="AK20">
        <f t="shared" si="38"/>
        <v>4.4025157232704588</v>
      </c>
    </row>
    <row r="21" spans="1:39" ht="15" thickBot="1" x14ac:dyDescent="0.35">
      <c r="A21" s="136" t="s">
        <v>41</v>
      </c>
      <c r="B21" s="67" t="s">
        <v>21</v>
      </c>
      <c r="C21" s="67" t="s">
        <v>15</v>
      </c>
      <c r="D21" s="67" t="str">
        <f t="shared" si="34"/>
        <v>Carblow</v>
      </c>
      <c r="E21" s="67" t="s">
        <v>35</v>
      </c>
      <c r="F21" s="67">
        <v>3.93</v>
      </c>
      <c r="G21" s="67">
        <v>2.0299999999999998</v>
      </c>
      <c r="H21" s="67">
        <v>2.73</v>
      </c>
      <c r="I21" s="68">
        <v>4.2300000000000004</v>
      </c>
      <c r="X21">
        <f t="shared" si="35"/>
        <v>33.543804262036318</v>
      </c>
      <c r="AA21">
        <f t="shared" si="36"/>
        <v>29.95391705069126</v>
      </c>
      <c r="AE21">
        <f t="shared" si="2"/>
        <v>0.30000000000000027</v>
      </c>
      <c r="AH21">
        <f t="shared" si="37"/>
        <v>-125.21008403361347</v>
      </c>
      <c r="AK21">
        <f t="shared" si="38"/>
        <v>-137.7358490566038</v>
      </c>
    </row>
    <row r="22" spans="1:39" x14ac:dyDescent="0.3">
      <c r="A22" s="69" t="s">
        <v>41</v>
      </c>
      <c r="B22" s="15" t="s">
        <v>22</v>
      </c>
      <c r="C22" s="15" t="s">
        <v>15</v>
      </c>
      <c r="D22" s="15" t="str">
        <f t="shared" si="34"/>
        <v>Carbhigh</v>
      </c>
      <c r="E22" s="15" t="s">
        <v>32</v>
      </c>
      <c r="F22" s="15">
        <v>3.65</v>
      </c>
      <c r="G22" s="15">
        <v>1.95</v>
      </c>
      <c r="H22" s="15">
        <v>2.82</v>
      </c>
      <c r="I22" s="16">
        <v>2.5</v>
      </c>
      <c r="P22">
        <f>AVERAGE(F22:F25)</f>
        <v>3.8449999999999998</v>
      </c>
      <c r="Q22">
        <f t="shared" ref="Q22" si="39">AVERAGE(G22:G25)</f>
        <v>1.8974999999999997</v>
      </c>
      <c r="R22">
        <f t="shared" ref="R22" si="40">AVERAGE(H22:H25)</f>
        <v>2.3075000000000001</v>
      </c>
      <c r="S22">
        <f t="shared" ref="S22" si="41">AVERAGE(I22:I25)</f>
        <v>2.7124999999999999</v>
      </c>
      <c r="T22">
        <f>_xlfn.STDEV.S(F22:F25)</f>
        <v>0.16663332999933314</v>
      </c>
      <c r="U22">
        <f t="shared" ref="U22" si="42">_xlfn.STDEV.S(G22:G25)</f>
        <v>0.17231270024773757</v>
      </c>
      <c r="V22">
        <f t="shared" ref="V22" si="43">_xlfn.STDEV.S(H22:H25)</f>
        <v>0.39024564913226839</v>
      </c>
      <c r="W22">
        <f t="shared" ref="W22" si="44">_xlfn.STDEV.S(I22:I25)</f>
        <v>0.64059217395573409</v>
      </c>
      <c r="X22">
        <f t="shared" si="35"/>
        <v>-21.073401736385161</v>
      </c>
      <c r="Y22">
        <f>AVERAGE(X22:X25)</f>
        <v>-14.364640883977899</v>
      </c>
      <c r="Z22">
        <f>_xlfn.STDEV.S(X22:X25)</f>
        <v>20.223904465847951</v>
      </c>
      <c r="AA22">
        <f t="shared" si="36"/>
        <v>-23.195084485407065</v>
      </c>
      <c r="AB22">
        <f>AVERAGE(AA22:AA25)</f>
        <v>-16.666666666666664</v>
      </c>
      <c r="AC22">
        <f>_xlfn.STDEV.S(AA22:AA25)</f>
        <v>19.680251119991823</v>
      </c>
      <c r="AE22">
        <f t="shared" si="2"/>
        <v>-1.1499999999999999</v>
      </c>
      <c r="AF22">
        <f t="shared" ref="AF22" si="45">AVERAGE(AE22:AE25)</f>
        <v>-1.1324999999999998</v>
      </c>
      <c r="AG22">
        <f t="shared" ref="AG22" si="46">_xlfn.STDEV.S(AE22:AE25)</f>
        <v>0.67942990808471182</v>
      </c>
      <c r="AH22">
        <f t="shared" si="37"/>
        <v>-3.3613445378151656</v>
      </c>
      <c r="AI22">
        <f t="shared" ref="AI22" si="47">AVERAGE(AH22:AH25)</f>
        <v>-4.8319327731092869</v>
      </c>
      <c r="AJ22">
        <f t="shared" ref="AJ22" si="48">_xlfn.STDEV.S(AH22:AH25)</f>
        <v>57.094950259219459</v>
      </c>
      <c r="AK22">
        <f t="shared" si="38"/>
        <v>44.654088050314463</v>
      </c>
      <c r="AL22">
        <v>87.671232876712338</v>
      </c>
      <c r="AM22">
        <v>58.814959733670449</v>
      </c>
    </row>
    <row r="23" spans="1:39" x14ac:dyDescent="0.3">
      <c r="A23" s="69" t="s">
        <v>41</v>
      </c>
      <c r="B23" s="15" t="s">
        <v>22</v>
      </c>
      <c r="C23" s="15" t="s">
        <v>15</v>
      </c>
      <c r="D23" s="15" t="str">
        <f t="shared" si="34"/>
        <v>Carbhigh</v>
      </c>
      <c r="E23" s="15" t="s">
        <v>33</v>
      </c>
      <c r="F23" s="15">
        <v>3.88</v>
      </c>
      <c r="G23" s="15">
        <v>1.94</v>
      </c>
      <c r="H23" s="15">
        <v>2.27</v>
      </c>
      <c r="I23" s="16">
        <v>2.1</v>
      </c>
      <c r="X23">
        <f t="shared" si="35"/>
        <v>-33.701657458563531</v>
      </c>
      <c r="AA23">
        <f t="shared" si="36"/>
        <v>-35.483870967741929</v>
      </c>
      <c r="AE23">
        <f t="shared" si="2"/>
        <v>-1.7799999999999998</v>
      </c>
      <c r="AH23">
        <f t="shared" si="37"/>
        <v>49.579831932773047</v>
      </c>
      <c r="AK23">
        <f t="shared" si="38"/>
        <v>123.89937106918238</v>
      </c>
    </row>
    <row r="24" spans="1:39" x14ac:dyDescent="0.3">
      <c r="A24" s="69" t="s">
        <v>41</v>
      </c>
      <c r="B24" s="15" t="s">
        <v>22</v>
      </c>
      <c r="C24" s="15" t="s">
        <v>15</v>
      </c>
      <c r="D24" s="15" t="str">
        <f t="shared" si="34"/>
        <v>Carbhigh</v>
      </c>
      <c r="E24" s="15" t="s">
        <v>34</v>
      </c>
      <c r="F24" s="15">
        <v>4.05</v>
      </c>
      <c r="G24" s="15">
        <v>1.65</v>
      </c>
      <c r="H24" s="15">
        <v>1.87</v>
      </c>
      <c r="I24" s="16">
        <v>2.64</v>
      </c>
      <c r="X24">
        <f t="shared" si="35"/>
        <v>-16.653512233622727</v>
      </c>
      <c r="AA24">
        <f t="shared" si="36"/>
        <v>-18.894009216589854</v>
      </c>
      <c r="AE24">
        <f t="shared" si="2"/>
        <v>-1.4099999999999997</v>
      </c>
      <c r="AH24">
        <f t="shared" si="37"/>
        <v>18.487394957983131</v>
      </c>
      <c r="AK24">
        <f t="shared" si="38"/>
        <v>77.358490566037716</v>
      </c>
    </row>
    <row r="25" spans="1:39" ht="15" thickBot="1" x14ac:dyDescent="0.35">
      <c r="A25" s="137" t="s">
        <v>41</v>
      </c>
      <c r="B25" s="71" t="s">
        <v>22</v>
      </c>
      <c r="C25" s="71" t="s">
        <v>15</v>
      </c>
      <c r="D25" s="71" t="str">
        <f t="shared" si="34"/>
        <v>Carbhigh</v>
      </c>
      <c r="E25" s="71" t="s">
        <v>35</v>
      </c>
      <c r="F25" s="71">
        <v>3.8</v>
      </c>
      <c r="G25" s="71">
        <v>2.0499999999999998</v>
      </c>
      <c r="H25" s="71">
        <v>2.27</v>
      </c>
      <c r="I25" s="72">
        <v>3.61</v>
      </c>
      <c r="X25">
        <f>((I25-S$6)/S$6)*100</f>
        <v>13.970007892659822</v>
      </c>
      <c r="AA25">
        <f t="shared" si="36"/>
        <v>10.906298003072196</v>
      </c>
      <c r="AE25">
        <f t="shared" si="2"/>
        <v>-0.18999999999999995</v>
      </c>
      <c r="AH25">
        <f t="shared" si="37"/>
        <v>-84.033613445378165</v>
      </c>
      <c r="AK25">
        <f t="shared" si="38"/>
        <v>-76.100628930817621</v>
      </c>
    </row>
    <row r="26" spans="1:39" x14ac:dyDescent="0.3">
      <c r="A26" s="73" t="s">
        <v>42</v>
      </c>
      <c r="B26" s="18" t="s">
        <v>21</v>
      </c>
      <c r="C26" s="18" t="s">
        <v>15</v>
      </c>
      <c r="D26" s="18" t="str">
        <f t="shared" si="34"/>
        <v>Carb+Diclow</v>
      </c>
      <c r="E26" s="18" t="s">
        <v>32</v>
      </c>
      <c r="F26" s="18">
        <v>3.89</v>
      </c>
      <c r="G26" s="18">
        <v>2.1800000000000002</v>
      </c>
      <c r="H26" s="18">
        <v>2.81</v>
      </c>
      <c r="I26" s="19">
        <v>2.98</v>
      </c>
      <c r="P26">
        <f>AVERAGE(F26:F29)</f>
        <v>3.84</v>
      </c>
      <c r="Q26">
        <f t="shared" ref="Q26" si="49">AVERAGE(G26:G29)</f>
        <v>2.3774999999999999</v>
      </c>
      <c r="R26">
        <f t="shared" ref="R26" si="50">AVERAGE(H26:H29)</f>
        <v>3.01</v>
      </c>
      <c r="S26">
        <f t="shared" ref="S26" si="51">AVERAGE(I26:I29)</f>
        <v>3.2575000000000003</v>
      </c>
      <c r="T26">
        <f>_xlfn.STDEV.S(F26:F29)</f>
        <v>7.6157731058639128E-2</v>
      </c>
      <c r="U26">
        <f t="shared" ref="U26" si="52">_xlfn.STDEV.S(G26:G29)</f>
        <v>0.17969882210706509</v>
      </c>
      <c r="V26">
        <f t="shared" ref="V26" si="53">_xlfn.STDEV.S(H26:H29)</f>
        <v>0.31654383582688828</v>
      </c>
      <c r="W26">
        <f t="shared" ref="W26" si="54">_xlfn.STDEV.S(I26:I29)</f>
        <v>0.36206583195141001</v>
      </c>
      <c r="X26">
        <f t="shared" si="35"/>
        <v>-5.9194948697711132</v>
      </c>
      <c r="Y26">
        <f>AVERAGE(X26:X29)</f>
        <v>2.8413575374901363</v>
      </c>
      <c r="Z26">
        <f>_xlfn.STDEV.S(X26:X29)</f>
        <v>11.430649785364166</v>
      </c>
      <c r="AA26">
        <f t="shared" si="36"/>
        <v>-8.4485407066052201</v>
      </c>
      <c r="AB26">
        <f>AVERAGE(AA26:AA29)</f>
        <v>7.6804915514598449E-2</v>
      </c>
      <c r="AC26">
        <f>_xlfn.STDEV.S(AA26:AA29)</f>
        <v>11.12337425349954</v>
      </c>
      <c r="AE26">
        <f t="shared" si="2"/>
        <v>-0.91000000000000014</v>
      </c>
      <c r="AF26">
        <f>AVERAGE(AE26:AE29)</f>
        <v>-0.58249999999999991</v>
      </c>
      <c r="AG26">
        <f t="shared" ref="AG26" si="55">_xlfn.STDEV.S(AE26:AE29)</f>
        <v>0.41668333300001331</v>
      </c>
      <c r="AH26">
        <f>((AE26-$AF$6)/$AF$6)*100</f>
        <v>-23.529411764705895</v>
      </c>
      <c r="AI26">
        <f t="shared" ref="AI26" si="56">AVERAGE(AH26:AH29)</f>
        <v>-51.050420168067248</v>
      </c>
      <c r="AJ26">
        <f t="shared" ref="AJ26" si="57">_xlfn.STDEV.S(AH26:AH29)</f>
        <v>35.015406134454885</v>
      </c>
      <c r="AK26">
        <f t="shared" si="38"/>
        <v>14.465408805031474</v>
      </c>
      <c r="AL26">
        <v>28.767123287671268</v>
      </c>
      <c r="AM26">
        <v>35.212161317312017</v>
      </c>
    </row>
    <row r="27" spans="1:39" x14ac:dyDescent="0.3">
      <c r="A27" s="73" t="s">
        <v>42</v>
      </c>
      <c r="B27" s="18" t="s">
        <v>21</v>
      </c>
      <c r="C27" s="18" t="s">
        <v>15</v>
      </c>
      <c r="D27" s="18" t="str">
        <f t="shared" si="34"/>
        <v>Carb+Diclow</v>
      </c>
      <c r="E27" s="18" t="s">
        <v>33</v>
      </c>
      <c r="F27" s="18">
        <v>3.78</v>
      </c>
      <c r="G27" s="18">
        <v>2.3199999999999998</v>
      </c>
      <c r="H27" s="18">
        <v>3.35</v>
      </c>
      <c r="I27" s="19">
        <v>3.14</v>
      </c>
      <c r="X27">
        <f t="shared" si="35"/>
        <v>-0.86819258089975881</v>
      </c>
      <c r="AA27">
        <f t="shared" si="36"/>
        <v>-3.533026113671268</v>
      </c>
      <c r="AE27">
        <f t="shared" si="2"/>
        <v>-0.63999999999999968</v>
      </c>
      <c r="AH27">
        <f t="shared" si="37"/>
        <v>-46.218487394958032</v>
      </c>
      <c r="AK27">
        <f t="shared" si="38"/>
        <v>-19.496855345911982</v>
      </c>
    </row>
    <row r="28" spans="1:39" x14ac:dyDescent="0.3">
      <c r="A28" s="73" t="s">
        <v>42</v>
      </c>
      <c r="B28" s="18" t="s">
        <v>21</v>
      </c>
      <c r="C28" s="18" t="s">
        <v>15</v>
      </c>
      <c r="D28" s="18" t="str">
        <f t="shared" si="34"/>
        <v>Carb+Diclow</v>
      </c>
      <c r="E28" s="18" t="s">
        <v>34</v>
      </c>
      <c r="F28" s="18">
        <v>3.92</v>
      </c>
      <c r="G28" s="18">
        <v>2.4</v>
      </c>
      <c r="H28" s="18">
        <v>3.2</v>
      </c>
      <c r="I28" s="19">
        <v>3.12</v>
      </c>
      <c r="X28">
        <f t="shared" si="35"/>
        <v>-1.499605367008678</v>
      </c>
      <c r="AA28">
        <f t="shared" si="36"/>
        <v>-4.1474654377880125</v>
      </c>
      <c r="AE28">
        <f t="shared" si="2"/>
        <v>-0.79999999999999982</v>
      </c>
      <c r="AH28">
        <f>((AE28-$AF$6)/$AF$6)*100</f>
        <v>-32.773109243697519</v>
      </c>
      <c r="AK28">
        <f t="shared" si="38"/>
        <v>0.62893081761004954</v>
      </c>
    </row>
    <row r="29" spans="1:39" ht="15" thickBot="1" x14ac:dyDescent="0.35">
      <c r="A29" s="138" t="s">
        <v>42</v>
      </c>
      <c r="B29" s="75" t="s">
        <v>21</v>
      </c>
      <c r="C29" s="75" t="s">
        <v>15</v>
      </c>
      <c r="D29" s="75" t="str">
        <f t="shared" si="34"/>
        <v>Carb+Diclow</v>
      </c>
      <c r="E29" s="75" t="s">
        <v>35</v>
      </c>
      <c r="F29" s="75">
        <v>3.77</v>
      </c>
      <c r="G29" s="75">
        <v>2.61</v>
      </c>
      <c r="H29" s="75">
        <v>2.68</v>
      </c>
      <c r="I29" s="76">
        <v>3.79</v>
      </c>
      <c r="X29">
        <f t="shared" si="35"/>
        <v>19.652722967640095</v>
      </c>
      <c r="AA29">
        <f t="shared" si="36"/>
        <v>16.436251920122892</v>
      </c>
      <c r="AE29">
        <f t="shared" si="2"/>
        <v>2.0000000000000018E-2</v>
      </c>
      <c r="AH29">
        <f t="shared" si="37"/>
        <v>-101.68067226890756</v>
      </c>
      <c r="AK29">
        <f t="shared" si="38"/>
        <v>-102.51572327044025</v>
      </c>
    </row>
    <row r="30" spans="1:39" x14ac:dyDescent="0.3">
      <c r="A30" s="77" t="s">
        <v>42</v>
      </c>
      <c r="B30" s="21" t="s">
        <v>22</v>
      </c>
      <c r="C30" s="21" t="s">
        <v>15</v>
      </c>
      <c r="D30" s="21" t="str">
        <f t="shared" si="34"/>
        <v>Carb+Dichigh</v>
      </c>
      <c r="E30" s="21" t="s">
        <v>32</v>
      </c>
      <c r="F30" s="21">
        <v>4.01</v>
      </c>
      <c r="G30" s="21">
        <v>2.57</v>
      </c>
      <c r="H30" s="21">
        <v>3.92</v>
      </c>
      <c r="I30" s="22">
        <v>2.65</v>
      </c>
      <c r="P30">
        <f>AVERAGE(F30:F33)</f>
        <v>3.9049999999999998</v>
      </c>
      <c r="Q30">
        <f t="shared" ref="Q30" si="58">AVERAGE(G30:G33)</f>
        <v>2.4024999999999999</v>
      </c>
      <c r="R30">
        <f t="shared" ref="R30" si="59">AVERAGE(H30:H33)</f>
        <v>3.6950000000000003</v>
      </c>
      <c r="S30">
        <f t="shared" ref="S30" si="60">AVERAGE(I30:I33)</f>
        <v>2.5300000000000002</v>
      </c>
      <c r="T30">
        <f>_xlfn.STDEV.S(F30:F33)</f>
        <v>9.5393920141694497E-2</v>
      </c>
      <c r="U30">
        <f t="shared" ref="U30" si="61">_xlfn.STDEV.S(G30:G33)</f>
        <v>0.26537709019431194</v>
      </c>
      <c r="V30">
        <f t="shared" ref="V30" si="62">_xlfn.STDEV.S(H30:H33)</f>
        <v>0.18859126879754179</v>
      </c>
      <c r="W30">
        <f t="shared" ref="W30" si="63">_xlfn.STDEV.S(I30:I33)</f>
        <v>0.17262676501632074</v>
      </c>
      <c r="X30">
        <f t="shared" si="35"/>
        <v>-16.337805840568272</v>
      </c>
      <c r="Y30">
        <f>AVERAGE(X30:X33)</f>
        <v>-20.126282557221781</v>
      </c>
      <c r="Z30">
        <f>_xlfn.STDEV.S(X30:X33)</f>
        <v>5.4499373327962388</v>
      </c>
      <c r="AA30">
        <f t="shared" si="36"/>
        <v>-18.586789554531492</v>
      </c>
      <c r="AB30">
        <f>AVERAGE(AA30:AA33)</f>
        <v>-22.273425499231948</v>
      </c>
      <c r="AC30">
        <f>_xlfn.STDEV.S(AA30:AA33)</f>
        <v>5.3034336410544025</v>
      </c>
      <c r="AE30">
        <f t="shared" si="2"/>
        <v>-1.3599999999999999</v>
      </c>
      <c r="AF30">
        <f t="shared" ref="AF30" si="64">AVERAGE(AE30:AE33)</f>
        <v>-1.3749999999999998</v>
      </c>
      <c r="AG30">
        <f t="shared" ref="AG30" si="65">_xlfn.STDEV.S(AE30:AE33)</f>
        <v>0.19621416870348729</v>
      </c>
      <c r="AH30">
        <f t="shared" si="37"/>
        <v>14.285714285714239</v>
      </c>
      <c r="AI30">
        <f t="shared" ref="AI30" si="66">AVERAGE(AH30:AH33)</f>
        <v>15.546218487394913</v>
      </c>
      <c r="AJ30">
        <f t="shared" ref="AJ30" si="67">_xlfn.STDEV.S(AH30:AH33)</f>
        <v>16.488585605334951</v>
      </c>
      <c r="AK30">
        <f t="shared" si="38"/>
        <v>71.069182389937097</v>
      </c>
      <c r="AL30">
        <v>-25.114155251141561</v>
      </c>
      <c r="AM30">
        <v>60.338510718087548</v>
      </c>
    </row>
    <row r="31" spans="1:39" x14ac:dyDescent="0.3">
      <c r="A31" s="77" t="s">
        <v>42</v>
      </c>
      <c r="B31" s="21" t="s">
        <v>22</v>
      </c>
      <c r="C31" s="21" t="s">
        <v>15</v>
      </c>
      <c r="D31" s="21" t="str">
        <f t="shared" si="34"/>
        <v>Carb+Dichigh</v>
      </c>
      <c r="E31" s="21" t="s">
        <v>33</v>
      </c>
      <c r="F31" s="21">
        <v>3.96</v>
      </c>
      <c r="G31" s="21">
        <v>2.68</v>
      </c>
      <c r="H31" s="21">
        <v>3.68</v>
      </c>
      <c r="I31" s="22">
        <v>2.34</v>
      </c>
      <c r="X31">
        <f t="shared" si="35"/>
        <v>-26.124704025256516</v>
      </c>
      <c r="AA31">
        <f t="shared" si="36"/>
        <v>-28.110599078341014</v>
      </c>
      <c r="AE31">
        <f t="shared" si="2"/>
        <v>-1.62</v>
      </c>
      <c r="AH31">
        <f t="shared" si="37"/>
        <v>36.134453781512569</v>
      </c>
      <c r="AK31">
        <f t="shared" si="38"/>
        <v>103.7735849056604</v>
      </c>
    </row>
    <row r="32" spans="1:39" x14ac:dyDescent="0.3">
      <c r="A32" s="77" t="s">
        <v>42</v>
      </c>
      <c r="B32" s="21" t="s">
        <v>22</v>
      </c>
      <c r="C32" s="21" t="s">
        <v>15</v>
      </c>
      <c r="D32" s="21" t="str">
        <f t="shared" si="34"/>
        <v>Carb+Dichigh</v>
      </c>
      <c r="E32" s="21" t="s">
        <v>34</v>
      </c>
      <c r="F32" s="21">
        <v>3.81</v>
      </c>
      <c r="G32" s="21">
        <v>2.12</v>
      </c>
      <c r="H32" s="21">
        <v>3.72</v>
      </c>
      <c r="I32" s="22">
        <v>2.4300000000000002</v>
      </c>
      <c r="X32">
        <f t="shared" si="35"/>
        <v>-23.283346487766369</v>
      </c>
      <c r="AA32">
        <f t="shared" si="36"/>
        <v>-25.345622119815658</v>
      </c>
      <c r="AE32">
        <f t="shared" si="2"/>
        <v>-1.38</v>
      </c>
      <c r="AH32">
        <f t="shared" si="37"/>
        <v>15.966386554621801</v>
      </c>
      <c r="AK32">
        <f t="shared" si="38"/>
        <v>73.584905660377359</v>
      </c>
    </row>
    <row r="33" spans="1:39" ht="15" thickBot="1" x14ac:dyDescent="0.35">
      <c r="A33" s="139" t="s">
        <v>42</v>
      </c>
      <c r="B33" s="79" t="s">
        <v>22</v>
      </c>
      <c r="C33" s="79" t="s">
        <v>15</v>
      </c>
      <c r="D33" s="79" t="str">
        <f t="shared" si="34"/>
        <v>Carb+Dichigh</v>
      </c>
      <c r="E33" s="79" t="s">
        <v>35</v>
      </c>
      <c r="F33" s="79">
        <v>3.84</v>
      </c>
      <c r="G33" s="79">
        <v>2.2400000000000002</v>
      </c>
      <c r="H33" s="79">
        <v>3.46</v>
      </c>
      <c r="I33" s="80">
        <v>2.7</v>
      </c>
      <c r="X33">
        <f t="shared" si="35"/>
        <v>-14.759273875295969</v>
      </c>
      <c r="AA33">
        <f t="shared" si="36"/>
        <v>-17.050691244239623</v>
      </c>
      <c r="AE33">
        <f t="shared" si="2"/>
        <v>-1.1399999999999997</v>
      </c>
      <c r="AH33">
        <f t="shared" si="37"/>
        <v>-4.2016806722689664</v>
      </c>
      <c r="AK33">
        <f t="shared" si="38"/>
        <v>43.396226415094311</v>
      </c>
    </row>
    <row r="34" spans="1:39" x14ac:dyDescent="0.3">
      <c r="A34" s="81" t="s">
        <v>44</v>
      </c>
      <c r="B34" s="24" t="s">
        <v>21</v>
      </c>
      <c r="C34" s="24" t="s">
        <v>15</v>
      </c>
      <c r="D34" s="24" t="str">
        <f t="shared" si="34"/>
        <v>Carb+PFOSlow</v>
      </c>
      <c r="E34" s="24" t="s">
        <v>32</v>
      </c>
      <c r="F34" s="24">
        <v>3.89</v>
      </c>
      <c r="G34" s="24">
        <v>2.3199999999999998</v>
      </c>
      <c r="H34" s="24">
        <v>2.81</v>
      </c>
      <c r="I34" s="25">
        <v>2.23</v>
      </c>
      <c r="P34">
        <f>AVERAGE(F34:F37)</f>
        <v>3.9249999999999998</v>
      </c>
      <c r="Q34">
        <f t="shared" ref="Q34" si="68">AVERAGE(G34:G37)</f>
        <v>2.165</v>
      </c>
      <c r="R34">
        <f t="shared" ref="R34" si="69">AVERAGE(H34:H37)</f>
        <v>3.1549999999999998</v>
      </c>
      <c r="S34">
        <f t="shared" ref="S34" si="70">AVERAGE(I34:I37)</f>
        <v>2.3049999999999997</v>
      </c>
      <c r="T34">
        <f>_xlfn.STDEV.S(F34:F37)</f>
        <v>0.18083141320025151</v>
      </c>
      <c r="U34">
        <f t="shared" ref="U34" si="71">_xlfn.STDEV.S(G34:G37)</f>
        <v>0.1109053650640941</v>
      </c>
      <c r="V34">
        <f t="shared" ref="V34" si="72">_xlfn.STDEV.S(H34:H37)</f>
        <v>0.26286878856189821</v>
      </c>
      <c r="W34">
        <f t="shared" ref="W34" si="73">_xlfn.STDEV.S(I34:I37)</f>
        <v>0.1642153058233814</v>
      </c>
      <c r="X34">
        <f t="shared" si="35"/>
        <v>-29.597474348855563</v>
      </c>
      <c r="Y34">
        <f>AVERAGE(X34:X37)</f>
        <v>-27.22967640094712</v>
      </c>
      <c r="Z34">
        <f>_xlfn.STDEV.S(X34:X37)</f>
        <v>5.1843821885834425</v>
      </c>
      <c r="AA34">
        <f t="shared" si="36"/>
        <v>-31.490015360983104</v>
      </c>
      <c r="AB34">
        <f>AVERAGE(AA34:AA37)</f>
        <v>-29.185867895545318</v>
      </c>
      <c r="AC34">
        <f>_xlfn.STDEV.S(AA34:AA37)</f>
        <v>5.0450170759871202</v>
      </c>
      <c r="AE34">
        <f t="shared" si="2"/>
        <v>-1.6600000000000001</v>
      </c>
      <c r="AF34">
        <f t="shared" ref="AF34" si="74">AVERAGE(AE34:AE37)</f>
        <v>-1.62</v>
      </c>
      <c r="AG34">
        <f t="shared" ref="AG34" si="75">_xlfn.STDEV.S(AE34:AE37)</f>
        <v>0.16268579122549923</v>
      </c>
      <c r="AH34">
        <f t="shared" si="37"/>
        <v>39.495798319327697</v>
      </c>
      <c r="AI34">
        <f t="shared" ref="AI34" si="76">AVERAGE(AH34:AH37)</f>
        <v>36.134453781512569</v>
      </c>
      <c r="AJ34">
        <f t="shared" ref="AJ34" si="77">_xlfn.STDEV.S(AH34:AH37)</f>
        <v>13.671074892899092</v>
      </c>
      <c r="AK34">
        <f t="shared" si="38"/>
        <v>108.80503144654092</v>
      </c>
      <c r="AL34">
        <v>30.13698630136987</v>
      </c>
      <c r="AM34">
        <v>67.198313820481786</v>
      </c>
    </row>
    <row r="35" spans="1:39" x14ac:dyDescent="0.3">
      <c r="A35" s="81" t="s">
        <v>44</v>
      </c>
      <c r="B35" s="24" t="s">
        <v>21</v>
      </c>
      <c r="C35" s="24" t="s">
        <v>15</v>
      </c>
      <c r="D35" s="24" t="str">
        <f t="shared" si="34"/>
        <v>Carb+PFOSlow</v>
      </c>
      <c r="E35" s="24" t="s">
        <v>33</v>
      </c>
      <c r="F35" s="24">
        <v>3.82</v>
      </c>
      <c r="G35" s="24">
        <v>2.08</v>
      </c>
      <c r="H35" s="24">
        <v>3.09</v>
      </c>
      <c r="I35" s="25">
        <v>2.11</v>
      </c>
      <c r="X35">
        <f t="shared" si="35"/>
        <v>-33.385951065509076</v>
      </c>
      <c r="AA35">
        <f t="shared" si="36"/>
        <v>-35.176651305683563</v>
      </c>
      <c r="AE35">
        <f t="shared" si="2"/>
        <v>-1.71</v>
      </c>
      <c r="AH35">
        <f t="shared" si="37"/>
        <v>43.69747899159659</v>
      </c>
      <c r="AK35">
        <f t="shared" si="38"/>
        <v>115.09433962264153</v>
      </c>
    </row>
    <row r="36" spans="1:39" x14ac:dyDescent="0.3">
      <c r="A36" s="81" t="s">
        <v>44</v>
      </c>
      <c r="B36" s="24" t="s">
        <v>21</v>
      </c>
      <c r="C36" s="24" t="s">
        <v>15</v>
      </c>
      <c r="D36" s="24" t="str">
        <f t="shared" si="34"/>
        <v>Carb+PFOSlow</v>
      </c>
      <c r="E36" s="24" t="s">
        <v>34</v>
      </c>
      <c r="F36" s="24">
        <v>3.8</v>
      </c>
      <c r="G36" s="24">
        <v>2.09</v>
      </c>
      <c r="H36" s="24">
        <v>3.36</v>
      </c>
      <c r="I36" s="25">
        <v>2.42</v>
      </c>
      <c r="X36">
        <f t="shared" si="35"/>
        <v>-23.599052880820839</v>
      </c>
      <c r="AA36">
        <f t="shared" si="36"/>
        <v>-25.652841781874042</v>
      </c>
      <c r="AE36">
        <f t="shared" si="2"/>
        <v>-1.38</v>
      </c>
      <c r="AH36">
        <f t="shared" si="37"/>
        <v>15.966386554621801</v>
      </c>
      <c r="AK36">
        <f t="shared" si="38"/>
        <v>73.584905660377359</v>
      </c>
    </row>
    <row r="37" spans="1:39" ht="15" thickBot="1" x14ac:dyDescent="0.35">
      <c r="A37" s="140" t="s">
        <v>44</v>
      </c>
      <c r="B37" s="83" t="s">
        <v>21</v>
      </c>
      <c r="C37" s="83" t="s">
        <v>15</v>
      </c>
      <c r="D37" s="83" t="str">
        <f t="shared" si="34"/>
        <v>Carb+PFOSlow</v>
      </c>
      <c r="E37" s="83" t="s">
        <v>35</v>
      </c>
      <c r="F37" s="83">
        <v>4.1900000000000004</v>
      </c>
      <c r="G37" s="83">
        <v>2.17</v>
      </c>
      <c r="H37" s="83">
        <v>3.36</v>
      </c>
      <c r="I37" s="84">
        <v>2.46</v>
      </c>
      <c r="X37">
        <f t="shared" si="35"/>
        <v>-22.336227308603</v>
      </c>
      <c r="AA37">
        <f t="shared" si="36"/>
        <v>-24.423963133640552</v>
      </c>
      <c r="AE37">
        <f t="shared" si="2"/>
        <v>-1.7300000000000004</v>
      </c>
      <c r="AH37">
        <f t="shared" si="37"/>
        <v>45.37815126050419</v>
      </c>
      <c r="AK37">
        <f t="shared" si="38"/>
        <v>117.61006289308182</v>
      </c>
    </row>
    <row r="38" spans="1:39" x14ac:dyDescent="0.3">
      <c r="A38" s="85" t="s">
        <v>44</v>
      </c>
      <c r="B38" s="27" t="s">
        <v>22</v>
      </c>
      <c r="C38" s="27" t="s">
        <v>15</v>
      </c>
      <c r="D38" s="27" t="str">
        <f t="shared" si="34"/>
        <v>Carb+PFOShigh</v>
      </c>
      <c r="E38" s="27" t="s">
        <v>32</v>
      </c>
      <c r="F38" s="27">
        <v>3.58</v>
      </c>
      <c r="G38" s="27">
        <v>2.33</v>
      </c>
      <c r="H38" s="27">
        <v>2.93</v>
      </c>
      <c r="I38" s="28">
        <v>2.4900000000000002</v>
      </c>
      <c r="P38">
        <f>AVERAGE(F38:F41)</f>
        <v>3.6150000000000002</v>
      </c>
      <c r="Q38">
        <f t="shared" ref="Q38" si="78">AVERAGE(G38:G41)</f>
        <v>2.3875000000000002</v>
      </c>
      <c r="R38">
        <f t="shared" ref="R38" si="79">AVERAGE(H38:H41)</f>
        <v>3.13</v>
      </c>
      <c r="S38">
        <f t="shared" ref="S38" si="80">AVERAGE(I38:I41)</f>
        <v>2.6875</v>
      </c>
      <c r="T38">
        <f>_xlfn.STDEV.S(F38:F41)</f>
        <v>0.12688577540449514</v>
      </c>
      <c r="U38">
        <f t="shared" ref="U38" si="81">_xlfn.STDEV.S(G38:G41)</f>
        <v>5.4390562906935683E-2</v>
      </c>
      <c r="V38">
        <f t="shared" ref="V38" si="82">_xlfn.STDEV.S(H38:H41)</f>
        <v>0.48668949718138449</v>
      </c>
      <c r="W38">
        <f t="shared" ref="W38" si="83">_xlfn.STDEV.S(I38:I41)</f>
        <v>0.17461863207191444</v>
      </c>
      <c r="X38">
        <f t="shared" si="35"/>
        <v>-21.389108129439613</v>
      </c>
      <c r="Y38">
        <f>AVERAGE(X38:X41)</f>
        <v>-15.153906866614046</v>
      </c>
      <c r="Z38">
        <f>_xlfn.STDEV.S(X38:X41)</f>
        <v>5.5128218491527798</v>
      </c>
      <c r="AA38">
        <f t="shared" si="36"/>
        <v>-23.502304147465427</v>
      </c>
      <c r="AB38">
        <f>AVERAGE(AA38:AA41)</f>
        <v>-17.434715821812588</v>
      </c>
      <c r="AC38">
        <f>_xlfn.STDEV.S(AA38:AA41)</f>
        <v>5.3646277134228759</v>
      </c>
      <c r="AE38">
        <f t="shared" si="2"/>
        <v>-1.0899999999999999</v>
      </c>
      <c r="AF38">
        <f t="shared" ref="AF38" si="84">AVERAGE(AE38:AE41)</f>
        <v>-0.92749999999999988</v>
      </c>
      <c r="AG38">
        <f>_xlfn.STDEV.S(AE38:AE41)</f>
        <v>0.15348724159790397</v>
      </c>
      <c r="AH38">
        <f t="shared" si="37"/>
        <v>-8.4033613445378581</v>
      </c>
      <c r="AI38">
        <f t="shared" ref="AI38" si="85">AVERAGE(AH38:AH41)</f>
        <v>-22.0588235294118</v>
      </c>
      <c r="AJ38">
        <f t="shared" ref="AJ38" si="86">_xlfn.STDEV.S(AH38:AH41)</f>
        <v>12.898087529235601</v>
      </c>
      <c r="AK38">
        <f t="shared" si="38"/>
        <v>37.1069182389937</v>
      </c>
      <c r="AL38">
        <v>-34.703196347031977</v>
      </c>
      <c r="AM38">
        <v>24.110280881176415</v>
      </c>
    </row>
    <row r="39" spans="1:39" x14ac:dyDescent="0.3">
      <c r="A39" s="85" t="s">
        <v>44</v>
      </c>
      <c r="B39" s="27" t="s">
        <v>22</v>
      </c>
      <c r="C39" s="27" t="s">
        <v>15</v>
      </c>
      <c r="D39" s="27" t="str">
        <f t="shared" si="34"/>
        <v>Carb+PFOShigh</v>
      </c>
      <c r="E39" s="27" t="s">
        <v>33</v>
      </c>
      <c r="F39" s="27">
        <v>3.46</v>
      </c>
      <c r="G39" s="27">
        <v>2.39</v>
      </c>
      <c r="H39" s="27">
        <v>3.01</v>
      </c>
      <c r="I39" s="28">
        <v>2.62</v>
      </c>
      <c r="X39">
        <f t="shared" si="35"/>
        <v>-17.284925019731645</v>
      </c>
      <c r="AA39">
        <f t="shared" si="36"/>
        <v>-19.508448540706599</v>
      </c>
      <c r="AE39">
        <f t="shared" si="2"/>
        <v>-0.83999999999999986</v>
      </c>
      <c r="AH39">
        <f t="shared" si="37"/>
        <v>-29.411764705882387</v>
      </c>
      <c r="AK39">
        <f t="shared" si="38"/>
        <v>5.6603773584905577</v>
      </c>
    </row>
    <row r="40" spans="1:39" x14ac:dyDescent="0.3">
      <c r="A40" s="85" t="s">
        <v>44</v>
      </c>
      <c r="B40" s="27" t="s">
        <v>22</v>
      </c>
      <c r="C40" s="27" t="s">
        <v>15</v>
      </c>
      <c r="D40" s="27" t="str">
        <f t="shared" si="34"/>
        <v>Carb+PFOShigh</v>
      </c>
      <c r="E40" s="27" t="s">
        <v>34</v>
      </c>
      <c r="F40" s="27">
        <v>3.76</v>
      </c>
      <c r="G40" s="27">
        <v>2.37</v>
      </c>
      <c r="H40" s="27">
        <v>2.74</v>
      </c>
      <c r="I40" s="28">
        <v>2.74</v>
      </c>
      <c r="X40">
        <f t="shared" si="35"/>
        <v>-13.496448303078129</v>
      </c>
      <c r="AA40">
        <f t="shared" si="36"/>
        <v>-15.821812596006135</v>
      </c>
      <c r="AE40">
        <f t="shared" si="2"/>
        <v>-1.0199999999999996</v>
      </c>
      <c r="AH40">
        <f t="shared" si="37"/>
        <v>-14.285714285714349</v>
      </c>
      <c r="AK40">
        <f t="shared" si="38"/>
        <v>28.301886792452791</v>
      </c>
    </row>
    <row r="41" spans="1:39" ht="15" thickBot="1" x14ac:dyDescent="0.35">
      <c r="A41" s="141" t="s">
        <v>44</v>
      </c>
      <c r="B41" s="87" t="s">
        <v>22</v>
      </c>
      <c r="C41" s="87" t="s">
        <v>15</v>
      </c>
      <c r="D41" s="87" t="str">
        <f t="shared" si="34"/>
        <v>Carb+PFOShigh</v>
      </c>
      <c r="E41" s="87" t="s">
        <v>35</v>
      </c>
      <c r="F41" s="87">
        <v>3.66</v>
      </c>
      <c r="G41" s="87">
        <v>2.46</v>
      </c>
      <c r="H41" s="87">
        <v>3.84</v>
      </c>
      <c r="I41" s="88">
        <v>2.9</v>
      </c>
      <c r="X41">
        <f t="shared" si="35"/>
        <v>-8.4451460142067898</v>
      </c>
      <c r="AA41">
        <f t="shared" si="36"/>
        <v>-10.906298003072196</v>
      </c>
      <c r="AE41">
        <f t="shared" si="2"/>
        <v>-0.76000000000000023</v>
      </c>
      <c r="AH41">
        <f t="shared" si="37"/>
        <v>-36.134453781512605</v>
      </c>
      <c r="AK41">
        <f t="shared" si="38"/>
        <v>-4.4025157232704029</v>
      </c>
    </row>
    <row r="42" spans="1:39" x14ac:dyDescent="0.3">
      <c r="A42" s="89" t="s">
        <v>46</v>
      </c>
      <c r="B42" s="30" t="s">
        <v>21</v>
      </c>
      <c r="C42" s="30" t="s">
        <v>15</v>
      </c>
      <c r="D42" s="30" t="str">
        <f t="shared" si="34"/>
        <v>Carb+6ppdqlow</v>
      </c>
      <c r="E42" s="30" t="s">
        <v>32</v>
      </c>
      <c r="F42" s="30">
        <v>3.76</v>
      </c>
      <c r="G42" s="30">
        <v>2.11</v>
      </c>
      <c r="H42" s="30">
        <v>2.73</v>
      </c>
      <c r="I42" s="31">
        <v>3.38</v>
      </c>
      <c r="P42">
        <f>AVERAGE(F42:F45)</f>
        <v>3.9049999999999998</v>
      </c>
      <c r="Q42">
        <f t="shared" ref="Q42" si="87">AVERAGE(G42:G45)</f>
        <v>2.3475000000000001</v>
      </c>
      <c r="R42">
        <f t="shared" ref="R42" si="88">AVERAGE(H42:H45)</f>
        <v>3.0125000000000002</v>
      </c>
      <c r="S42">
        <f t="shared" ref="S42" si="89">AVERAGE(I42:I45)</f>
        <v>3.4125000000000005</v>
      </c>
      <c r="T42">
        <f>_xlfn.STDEV.S(F42:F45)</f>
        <v>0.23895606290697044</v>
      </c>
      <c r="U42">
        <f t="shared" ref="U42" si="90">_xlfn.STDEV.S(G42:G45)</f>
        <v>0.21391197566600459</v>
      </c>
      <c r="V42">
        <f t="shared" ref="V42" si="91">_xlfn.STDEV.S(H42:H45)</f>
        <v>0.21250490190424634</v>
      </c>
      <c r="W42">
        <f t="shared" ref="W42" si="92">_xlfn.STDEV.S(I42:I45)</f>
        <v>0.51584073769591254</v>
      </c>
      <c r="X42">
        <f t="shared" si="35"/>
        <v>6.7087608524072584</v>
      </c>
      <c r="Y42">
        <f>AVERAGE(X42:X45)</f>
        <v>7.7348066298342548</v>
      </c>
      <c r="Z42">
        <f>_xlfn.STDEV.S(X42:X45)</f>
        <v>16.2854218688529</v>
      </c>
      <c r="AA42">
        <f t="shared" si="36"/>
        <v>3.8402457757296471</v>
      </c>
      <c r="AB42">
        <f>AVERAGE(AA42:AA45)</f>
        <v>4.8387096774193576</v>
      </c>
      <c r="AC42">
        <f>_xlfn.STDEV.S(AA42:AA45)</f>
        <v>15.847641711088038</v>
      </c>
      <c r="AE42">
        <f t="shared" si="2"/>
        <v>-0.37999999999999989</v>
      </c>
      <c r="AF42">
        <f t="shared" ref="AF42" si="93">AVERAGE(AE42:AE45)</f>
        <v>-0.49249999999999994</v>
      </c>
      <c r="AG42">
        <f t="shared" ref="AG42" si="94">_xlfn.STDEV.S(AE42:AE45)</f>
        <v>0.30804491014569041</v>
      </c>
      <c r="AH42">
        <f t="shared" si="37"/>
        <v>-68.067226890756331</v>
      </c>
      <c r="AI42">
        <f t="shared" ref="AI42" si="95">AVERAGE(AH42:AH45)</f>
        <v>-58.613445378151283</v>
      </c>
      <c r="AJ42">
        <f t="shared" ref="AJ42" si="96">_xlfn.STDEV.S(AH42:AH45)</f>
        <v>25.886126902999191</v>
      </c>
      <c r="AK42">
        <f t="shared" si="38"/>
        <v>-52.201257861635227</v>
      </c>
      <c r="AL42">
        <v>-166.21004566210041</v>
      </c>
      <c r="AM42">
        <v>85.101546612814602</v>
      </c>
    </row>
    <row r="43" spans="1:39" x14ac:dyDescent="0.3">
      <c r="A43" s="89" t="s">
        <v>46</v>
      </c>
      <c r="B43" s="30" t="s">
        <v>21</v>
      </c>
      <c r="C43" s="30" t="s">
        <v>15</v>
      </c>
      <c r="D43" s="30" t="str">
        <f t="shared" si="34"/>
        <v>Carb+6ppdqlow</v>
      </c>
      <c r="E43" s="30" t="s">
        <v>33</v>
      </c>
      <c r="F43" s="30">
        <v>3.88</v>
      </c>
      <c r="G43" s="30">
        <v>2.3199999999999998</v>
      </c>
      <c r="H43" s="30">
        <v>3.22</v>
      </c>
      <c r="I43" s="31">
        <v>3.18</v>
      </c>
      <c r="X43">
        <f t="shared" si="35"/>
        <v>0.39463299131807977</v>
      </c>
      <c r="AA43">
        <f t="shared" si="36"/>
        <v>-2.3041474654377798</v>
      </c>
      <c r="AE43">
        <f t="shared" si="2"/>
        <v>-0.69999999999999973</v>
      </c>
      <c r="AH43">
        <f>((AE43-$AF$6)/$AF$6)*100</f>
        <v>-41.17647058823534</v>
      </c>
      <c r="AK43">
        <f t="shared" si="38"/>
        <v>-11.94968553459122</v>
      </c>
    </row>
    <row r="44" spans="1:39" x14ac:dyDescent="0.3">
      <c r="A44" s="89" t="s">
        <v>46</v>
      </c>
      <c r="B44" s="30" t="s">
        <v>21</v>
      </c>
      <c r="C44" s="30" t="s">
        <v>15</v>
      </c>
      <c r="D44" s="30" t="str">
        <f t="shared" si="34"/>
        <v>Carb+6ppdqlow</v>
      </c>
      <c r="E44" s="30" t="s">
        <v>34</v>
      </c>
      <c r="F44" s="30">
        <v>3.73</v>
      </c>
      <c r="G44" s="30">
        <v>2.63</v>
      </c>
      <c r="H44" s="30">
        <v>3.12</v>
      </c>
      <c r="I44" s="31">
        <v>2.95</v>
      </c>
      <c r="X44">
        <f t="shared" si="35"/>
        <v>-6.8666140489344842</v>
      </c>
      <c r="AA44">
        <f t="shared" si="36"/>
        <v>-9.3701996927803286</v>
      </c>
      <c r="AE44">
        <f t="shared" si="2"/>
        <v>-0.7799999999999998</v>
      </c>
      <c r="AH44">
        <f t="shared" si="37"/>
        <v>-34.453781512605083</v>
      </c>
      <c r="AK44">
        <f t="shared" si="38"/>
        <v>-1.8867924528302045</v>
      </c>
    </row>
    <row r="45" spans="1:39" ht="15" thickBot="1" x14ac:dyDescent="0.35">
      <c r="A45" s="142" t="s">
        <v>46</v>
      </c>
      <c r="B45" s="91" t="s">
        <v>21</v>
      </c>
      <c r="C45" s="91" t="s">
        <v>15</v>
      </c>
      <c r="D45" s="91" t="str">
        <f t="shared" si="34"/>
        <v>Carb+6ppdqlow</v>
      </c>
      <c r="E45" s="91" t="s">
        <v>35</v>
      </c>
      <c r="F45" s="91">
        <v>4.25</v>
      </c>
      <c r="G45" s="91">
        <v>2.33</v>
      </c>
      <c r="H45" s="91">
        <v>2.98</v>
      </c>
      <c r="I45" s="92">
        <v>4.1399999999999997</v>
      </c>
      <c r="X45">
        <f t="shared" si="35"/>
        <v>30.702446724546164</v>
      </c>
      <c r="AA45">
        <f t="shared" si="36"/>
        <v>27.188940092165893</v>
      </c>
      <c r="AE45">
        <f t="shared" si="2"/>
        <v>-0.11000000000000032</v>
      </c>
      <c r="AH45">
        <f t="shared" si="37"/>
        <v>-90.756302521008379</v>
      </c>
      <c r="AK45">
        <f t="shared" si="38"/>
        <v>-86.163522012578568</v>
      </c>
    </row>
    <row r="46" spans="1:39" x14ac:dyDescent="0.3">
      <c r="A46" s="93" t="s">
        <v>46</v>
      </c>
      <c r="B46" s="94" t="s">
        <v>22</v>
      </c>
      <c r="C46" s="94" t="s">
        <v>15</v>
      </c>
      <c r="D46" s="94" t="str">
        <f t="shared" si="34"/>
        <v>Carb+6ppdqhigh</v>
      </c>
      <c r="E46" s="94" t="s">
        <v>32</v>
      </c>
      <c r="F46" s="94">
        <v>3.74</v>
      </c>
      <c r="G46" s="94">
        <v>2</v>
      </c>
      <c r="H46" s="94">
        <v>2.38</v>
      </c>
      <c r="I46" s="95">
        <v>2.5</v>
      </c>
      <c r="P46">
        <f>AVERAGE(F46:F49)</f>
        <v>3.8525</v>
      </c>
      <c r="Q46">
        <f t="shared" ref="Q46" si="97">AVERAGE(G46:G49)</f>
        <v>2.0824999999999996</v>
      </c>
      <c r="R46">
        <f t="shared" ref="R46" si="98">AVERAGE(H46:H49)</f>
        <v>2.5825</v>
      </c>
      <c r="S46">
        <f t="shared" ref="S46" si="99">AVERAGE(I46:I49)</f>
        <v>2.7</v>
      </c>
      <c r="T46">
        <f>_xlfn.STDEV.S(F46:F49)</f>
        <v>0.18679311193581705</v>
      </c>
      <c r="U46">
        <f t="shared" ref="U46" si="100">_xlfn.STDEV.S(G46:G49)</f>
        <v>0.11586630226256467</v>
      </c>
      <c r="V46">
        <f t="shared" ref="V46" si="101">_xlfn.STDEV.S(H46:H49)</f>
        <v>0.45021291259432761</v>
      </c>
      <c r="W46">
        <f t="shared" ref="W46" si="102">_xlfn.STDEV.S(I46:I49)</f>
        <v>0.68745908969188763</v>
      </c>
      <c r="X46">
        <f t="shared" si="35"/>
        <v>-21.073401736385161</v>
      </c>
      <c r="Y46">
        <f>AVERAGE(X46:X49)</f>
        <v>-14.759273875295971</v>
      </c>
      <c r="Z46">
        <f>_xlfn.STDEV.S(X46:X49)</f>
        <v>21.703522957912817</v>
      </c>
      <c r="AA46">
        <f t="shared" si="36"/>
        <v>-23.195084485407065</v>
      </c>
      <c r="AB46">
        <f>AVERAGE(AA46:AA49)</f>
        <v>-17.050691244239626</v>
      </c>
      <c r="AC46">
        <f>_xlfn.STDEV.S(AA46:AA49)</f>
        <v>21.120094921409788</v>
      </c>
      <c r="AE46">
        <f t="shared" si="2"/>
        <v>-1.2400000000000002</v>
      </c>
      <c r="AF46">
        <f t="shared" ref="AF46" si="103">AVERAGE(AE46:AE49)</f>
        <v>-1.1524999999999999</v>
      </c>
      <c r="AG46">
        <f t="shared" ref="AG46" si="104">_xlfn.STDEV.S(AE46:AE49)</f>
        <v>0.53624465809305155</v>
      </c>
      <c r="AH46">
        <f t="shared" si="37"/>
        <v>4.2016806722688909</v>
      </c>
      <c r="AI46">
        <f t="shared" ref="AI46" si="105">AVERAGE(AH46:AH49)</f>
        <v>-3.1512605042017121</v>
      </c>
      <c r="AJ46">
        <f t="shared" ref="AJ46" si="106">_xlfn.STDEV.S(AH46:AH49)</f>
        <v>45.062576310340418</v>
      </c>
      <c r="AK46">
        <f t="shared" si="38"/>
        <v>55.974842767295641</v>
      </c>
      <c r="AL46">
        <v>-19.634703196347036</v>
      </c>
      <c r="AM46">
        <v>62.546522234948291</v>
      </c>
    </row>
    <row r="47" spans="1:39" x14ac:dyDescent="0.3">
      <c r="A47" s="93" t="s">
        <v>46</v>
      </c>
      <c r="B47" s="94" t="s">
        <v>22</v>
      </c>
      <c r="C47" s="94" t="s">
        <v>15</v>
      </c>
      <c r="D47" s="94" t="str">
        <f t="shared" si="34"/>
        <v>Carb+6ppdqhigh</v>
      </c>
      <c r="E47" s="94" t="s">
        <v>33</v>
      </c>
      <c r="F47" s="94">
        <v>3.84</v>
      </c>
      <c r="G47" s="94">
        <v>1.97</v>
      </c>
      <c r="H47" s="94">
        <v>2.23</v>
      </c>
      <c r="I47" s="95">
        <v>2.13</v>
      </c>
      <c r="X47">
        <f t="shared" si="35"/>
        <v>-32.754538279400158</v>
      </c>
      <c r="AA47">
        <f t="shared" si="36"/>
        <v>-34.562211981566819</v>
      </c>
      <c r="AE47">
        <f t="shared" si="2"/>
        <v>-1.71</v>
      </c>
      <c r="AH47">
        <f t="shared" si="37"/>
        <v>43.69747899159659</v>
      </c>
      <c r="AK47">
        <f t="shared" si="38"/>
        <v>115.09433962264153</v>
      </c>
    </row>
    <row r="48" spans="1:39" x14ac:dyDescent="0.3">
      <c r="A48" s="93" t="s">
        <v>46</v>
      </c>
      <c r="B48" s="94" t="s">
        <v>22</v>
      </c>
      <c r="C48" s="94" t="s">
        <v>15</v>
      </c>
      <c r="D48" s="94" t="str">
        <f t="shared" si="34"/>
        <v>Carb+6ppdqhigh</v>
      </c>
      <c r="E48" s="94" t="s">
        <v>34</v>
      </c>
      <c r="F48" s="94">
        <v>3.71</v>
      </c>
      <c r="G48" s="94">
        <v>2.15</v>
      </c>
      <c r="H48" s="94">
        <v>2.48</v>
      </c>
      <c r="I48" s="95">
        <v>2.4700000000000002</v>
      </c>
      <c r="X48">
        <f t="shared" si="35"/>
        <v>-22.020520915548534</v>
      </c>
      <c r="AA48">
        <f t="shared" si="36"/>
        <v>-24.116743471582172</v>
      </c>
      <c r="AE48">
        <f t="shared" si="2"/>
        <v>-1.2399999999999998</v>
      </c>
      <c r="AH48">
        <f t="shared" si="37"/>
        <v>4.2016806722688536</v>
      </c>
      <c r="AK48">
        <f t="shared" si="38"/>
        <v>55.974842767295584</v>
      </c>
    </row>
    <row r="49" spans="1:39" ht="15" thickBot="1" x14ac:dyDescent="0.35">
      <c r="A49" s="143" t="s">
        <v>46</v>
      </c>
      <c r="B49" s="33" t="s">
        <v>22</v>
      </c>
      <c r="C49" s="33" t="s">
        <v>15</v>
      </c>
      <c r="D49" s="33" t="str">
        <f t="shared" si="34"/>
        <v>Carb+6ppdqhigh</v>
      </c>
      <c r="E49" s="33" t="s">
        <v>35</v>
      </c>
      <c r="F49" s="33">
        <v>4.12</v>
      </c>
      <c r="G49" s="33">
        <v>2.21</v>
      </c>
      <c r="H49" s="33">
        <v>3.24</v>
      </c>
      <c r="I49" s="34">
        <v>3.7</v>
      </c>
      <c r="X49">
        <f t="shared" si="35"/>
        <v>16.811365430149966</v>
      </c>
      <c r="AA49">
        <f t="shared" si="36"/>
        <v>13.671274961597552</v>
      </c>
      <c r="AE49">
        <f t="shared" si="2"/>
        <v>-0.41999999999999993</v>
      </c>
      <c r="AH49">
        <f t="shared" si="37"/>
        <v>-64.705882352941188</v>
      </c>
      <c r="AK49">
        <f t="shared" si="38"/>
        <v>-47.169811320754725</v>
      </c>
    </row>
    <row r="50" spans="1:39" x14ac:dyDescent="0.3">
      <c r="A50" s="97" t="s">
        <v>41</v>
      </c>
      <c r="B50" s="98" t="s">
        <v>21</v>
      </c>
      <c r="C50" s="98" t="s">
        <v>19</v>
      </c>
      <c r="D50" s="98" t="str">
        <f>A50&amp;B50&amp;C50</f>
        <v>Carblownutrients</v>
      </c>
      <c r="E50" s="98" t="s">
        <v>32</v>
      </c>
      <c r="F50" s="98">
        <v>3.73</v>
      </c>
      <c r="G50" s="98">
        <v>3.36</v>
      </c>
      <c r="H50" s="98">
        <v>5.38</v>
      </c>
      <c r="I50" s="99">
        <v>10.23</v>
      </c>
      <c r="P50">
        <f>AVERAGE(F50:F53)</f>
        <v>3.7700000000000005</v>
      </c>
      <c r="Q50">
        <f t="shared" ref="Q50" si="107">AVERAGE(G50:G53)</f>
        <v>3.5</v>
      </c>
      <c r="R50">
        <f t="shared" ref="R50" si="108">AVERAGE(H50:H53)</f>
        <v>5.4375</v>
      </c>
      <c r="S50">
        <f t="shared" ref="S50" si="109">AVERAGE(I50:I53)</f>
        <v>8.3550000000000004</v>
      </c>
      <c r="T50">
        <f>_xlfn.STDEV.S(F50:F53)</f>
        <v>0.12409673645990855</v>
      </c>
      <c r="U50">
        <f t="shared" ref="U50" si="110">_xlfn.STDEV.S(G50:G53)</f>
        <v>0.10198039027185579</v>
      </c>
      <c r="V50">
        <f t="shared" ref="V50" si="111">_xlfn.STDEV.S(H50:H53)</f>
        <v>0.57662090377185149</v>
      </c>
      <c r="W50">
        <f t="shared" ref="W50" si="112">_xlfn.STDEV.S(I50:I53)</f>
        <v>1.4040299142112336</v>
      </c>
      <c r="X50">
        <f>((I50-$S$14)/$S$14)*100</f>
        <v>30.484693877551027</v>
      </c>
      <c r="Y50">
        <f>AVERAGE(X50:X53)</f>
        <v>6.5688775510204129</v>
      </c>
      <c r="Z50">
        <f>_xlfn.STDEV.S(X50:X53)</f>
        <v>17.908544824122863</v>
      </c>
      <c r="AA50">
        <f>((I50-$S$10)/$S$10)*100</f>
        <v>20.140927774515557</v>
      </c>
      <c r="AB50">
        <f>AVERAGE(AA50:AA53)</f>
        <v>-1.8790369935408142</v>
      </c>
      <c r="AC50">
        <f>_xlfn.STDEV.S(AA50:AA53)</f>
        <v>16.488900930255223</v>
      </c>
      <c r="AE50">
        <f t="shared" si="2"/>
        <v>6.5</v>
      </c>
      <c r="AF50">
        <f t="shared" ref="AF50" si="113">AVERAGE(AE50:AE53)</f>
        <v>4.585</v>
      </c>
      <c r="AG50">
        <f t="shared" ref="AG50" si="114">_xlfn.STDEV.S(AE50:AE53)</f>
        <v>1.4653441006580459</v>
      </c>
      <c r="AH50">
        <f>((AE50-$AF$14)/$AF$14)*100</f>
        <v>54.486036838978038</v>
      </c>
      <c r="AI50">
        <f t="shared" ref="AI50" si="115">AVERAGE(AH50:AH53)</f>
        <v>8.972073677956045</v>
      </c>
      <c r="AJ50">
        <f t="shared" ref="AJ50" si="116">_xlfn.STDEV.S(AH50:AH53)</f>
        <v>34.826954264005821</v>
      </c>
      <c r="AK50">
        <f>((AE50-$AF$10)/$AF$10)*100</f>
        <v>36.482939632545921</v>
      </c>
      <c r="AL50">
        <v>50.125733445096394</v>
      </c>
      <c r="AM50">
        <v>8.4927058921392025</v>
      </c>
    </row>
    <row r="51" spans="1:39" x14ac:dyDescent="0.3">
      <c r="A51" s="97" t="s">
        <v>41</v>
      </c>
      <c r="B51" s="98" t="s">
        <v>21</v>
      </c>
      <c r="C51" s="98" t="s">
        <v>19</v>
      </c>
      <c r="D51" s="98" t="str">
        <f t="shared" ref="D51:D81" si="117">A51&amp;B51&amp;C51</f>
        <v>Carblownutrients</v>
      </c>
      <c r="E51" s="98" t="s">
        <v>33</v>
      </c>
      <c r="F51" s="98">
        <v>3.82</v>
      </c>
      <c r="G51" s="98">
        <v>3.54</v>
      </c>
      <c r="H51" s="98">
        <v>4.71</v>
      </c>
      <c r="I51" s="99">
        <v>6.91</v>
      </c>
      <c r="X51">
        <f t="shared" ref="X51:X81" si="118">((I51-$S$14)/$S$14)*100</f>
        <v>-11.862244897959179</v>
      </c>
      <c r="AA51">
        <f t="shared" ref="AA51:AA81" si="119">((I51-$S$10)/$S$10)*100</f>
        <v>-18.849089841456255</v>
      </c>
      <c r="AE51">
        <f t="shared" si="2"/>
        <v>3.0900000000000003</v>
      </c>
      <c r="AH51">
        <f t="shared" ref="AH51:AH81" si="120">((AE51-$AF$14)/$AF$14)*100</f>
        <v>-26.559714795008897</v>
      </c>
      <c r="AK51">
        <f t="shared" ref="AK51:AK82" si="121">((AE51-$AF$10)/$AF$10)*100</f>
        <v>-35.118110236220467</v>
      </c>
    </row>
    <row r="52" spans="1:39" x14ac:dyDescent="0.3">
      <c r="A52" s="97" t="s">
        <v>41</v>
      </c>
      <c r="B52" s="98" t="s">
        <v>21</v>
      </c>
      <c r="C52" s="98" t="s">
        <v>19</v>
      </c>
      <c r="D52" s="98" t="str">
        <f t="shared" si="117"/>
        <v>Carblownutrients</v>
      </c>
      <c r="E52" s="98" t="s">
        <v>34</v>
      </c>
      <c r="F52" s="98">
        <v>3.91</v>
      </c>
      <c r="G52" s="98">
        <v>3.6</v>
      </c>
      <c r="H52" s="98">
        <v>5.55</v>
      </c>
      <c r="I52" s="99">
        <v>7.81</v>
      </c>
      <c r="X52">
        <f t="shared" si="118"/>
        <v>-0.382653061224493</v>
      </c>
      <c r="AA52">
        <f t="shared" si="119"/>
        <v>-8.2795067527892066</v>
      </c>
      <c r="AE52">
        <f t="shared" si="2"/>
        <v>3.8999999999999995</v>
      </c>
      <c r="AH52">
        <f t="shared" si="120"/>
        <v>-7.3083778966131945</v>
      </c>
      <c r="AK52">
        <f t="shared" si="121"/>
        <v>-18.110236220472455</v>
      </c>
    </row>
    <row r="53" spans="1:39" ht="15" thickBot="1" x14ac:dyDescent="0.35">
      <c r="A53" s="144" t="s">
        <v>41</v>
      </c>
      <c r="B53" s="101" t="s">
        <v>21</v>
      </c>
      <c r="C53" s="101" t="s">
        <v>19</v>
      </c>
      <c r="D53" s="101" t="str">
        <f t="shared" si="117"/>
        <v>Carblownutrients</v>
      </c>
      <c r="E53" s="101" t="s">
        <v>35</v>
      </c>
      <c r="F53" s="101">
        <v>3.62</v>
      </c>
      <c r="G53" s="101">
        <v>3.5</v>
      </c>
      <c r="H53" s="101">
        <v>6.11</v>
      </c>
      <c r="I53" s="102">
        <v>8.4700000000000006</v>
      </c>
      <c r="X53">
        <f t="shared" si="118"/>
        <v>8.0357142857142954</v>
      </c>
      <c r="AA53">
        <f t="shared" si="119"/>
        <v>-0.52847915443335203</v>
      </c>
      <c r="AE53">
        <f t="shared" si="2"/>
        <v>4.8500000000000005</v>
      </c>
      <c r="AH53">
        <f t="shared" si="120"/>
        <v>15.270350564468234</v>
      </c>
      <c r="AK53">
        <f t="shared" si="121"/>
        <v>1.8372703412073563</v>
      </c>
    </row>
    <row r="54" spans="1:39" x14ac:dyDescent="0.3">
      <c r="A54" s="103" t="s">
        <v>41</v>
      </c>
      <c r="B54" s="39" t="s">
        <v>22</v>
      </c>
      <c r="C54" s="39" t="s">
        <v>19</v>
      </c>
      <c r="D54" s="39" t="str">
        <f t="shared" si="117"/>
        <v>Carbhighnutrients</v>
      </c>
      <c r="E54" s="39" t="s">
        <v>32</v>
      </c>
      <c r="F54" s="39">
        <v>3.59</v>
      </c>
      <c r="G54" s="39">
        <v>3.75</v>
      </c>
      <c r="H54" s="39">
        <v>5.05</v>
      </c>
      <c r="I54" s="40">
        <v>6.7</v>
      </c>
      <c r="P54">
        <f>AVERAGE(F54:F57)</f>
        <v>3.62</v>
      </c>
      <c r="Q54">
        <f t="shared" ref="Q54" si="122">AVERAGE(G54:G57)</f>
        <v>3.4424999999999999</v>
      </c>
      <c r="R54">
        <f t="shared" ref="R54" si="123">AVERAGE(H54:H57)</f>
        <v>4.4674999999999994</v>
      </c>
      <c r="S54">
        <f t="shared" ref="S54" si="124">AVERAGE(I54:I57)</f>
        <v>7.6174999999999997</v>
      </c>
      <c r="T54">
        <f>_xlfn.STDEV.S(F54:F57)</f>
        <v>2.4494897427831921E-2</v>
      </c>
      <c r="U54">
        <f t="shared" ref="U54" si="125">_xlfn.STDEV.S(G54:G57)</f>
        <v>0.33856314034460405</v>
      </c>
      <c r="V54">
        <f t="shared" ref="V54" si="126">_xlfn.STDEV.S(H54:H57)</f>
        <v>0.95367272513513379</v>
      </c>
      <c r="W54">
        <f t="shared" ref="W54" si="127">_xlfn.STDEV.S(I54:I57)</f>
        <v>2.0974011697018442</v>
      </c>
      <c r="X54">
        <f t="shared" si="118"/>
        <v>-14.540816326530608</v>
      </c>
      <c r="Y54">
        <f>AVERAGE(X54:X57)</f>
        <v>-2.838010204081634</v>
      </c>
      <c r="Z54">
        <f>_xlfn.STDEV.S(X54:X57)</f>
        <v>26.752565940074547</v>
      </c>
      <c r="AA54">
        <f t="shared" si="119"/>
        <v>-21.315325895478569</v>
      </c>
      <c r="AB54">
        <f>AVERAGE(AA54:AA57)</f>
        <v>-10.540223135642989</v>
      </c>
      <c r="AC54">
        <f>_xlfn.STDEV.S(AA54:AA57)</f>
        <v>24.631839926034576</v>
      </c>
      <c r="AE54">
        <f t="shared" si="2"/>
        <v>3.1100000000000003</v>
      </c>
      <c r="AF54">
        <f t="shared" ref="AF54" si="128">AVERAGE(AE54:AE57)</f>
        <v>3.9975000000000001</v>
      </c>
      <c r="AG54">
        <f t="shared" ref="AG54" si="129">_xlfn.STDEV.S(AE54:AE57)</f>
        <v>2.0874765467744369</v>
      </c>
      <c r="AH54">
        <f t="shared" si="120"/>
        <v>-26.084373143196661</v>
      </c>
      <c r="AI54">
        <f t="shared" ref="AI54" si="130">AVERAGE(AH54:AH57)</f>
        <v>-4.9910873440285108</v>
      </c>
      <c r="AJ54">
        <f t="shared" ref="AJ54" si="131">_xlfn.STDEV.S(AH54:AH57)</f>
        <v>49.613227493153602</v>
      </c>
      <c r="AK54">
        <f t="shared" si="121"/>
        <v>-34.69816272965879</v>
      </c>
      <c r="AL54">
        <v>29.840737636211234</v>
      </c>
      <c r="AM54">
        <v>12.305234972099628</v>
      </c>
    </row>
    <row r="55" spans="1:39" x14ac:dyDescent="0.3">
      <c r="A55" s="103" t="s">
        <v>41</v>
      </c>
      <c r="B55" s="39" t="s">
        <v>22</v>
      </c>
      <c r="C55" s="39" t="s">
        <v>19</v>
      </c>
      <c r="D55" s="39" t="str">
        <f t="shared" si="117"/>
        <v>Carbhighnutrients</v>
      </c>
      <c r="E55" s="39" t="s">
        <v>33</v>
      </c>
      <c r="F55" s="39">
        <v>3.61</v>
      </c>
      <c r="G55" s="39">
        <v>3.67</v>
      </c>
      <c r="H55" s="39">
        <v>5.01</v>
      </c>
      <c r="I55" s="40">
        <v>7.04</v>
      </c>
      <c r="X55">
        <f t="shared" si="118"/>
        <v>-10.204081632653059</v>
      </c>
      <c r="AA55">
        <f t="shared" si="119"/>
        <v>-17.322372284204352</v>
      </c>
      <c r="AE55">
        <f t="shared" si="2"/>
        <v>3.43</v>
      </c>
      <c r="AH55">
        <f t="shared" si="120"/>
        <v>-18.478906714200818</v>
      </c>
      <c r="AK55">
        <f t="shared" si="121"/>
        <v>-27.979002624671917</v>
      </c>
    </row>
    <row r="56" spans="1:39" x14ac:dyDescent="0.3">
      <c r="A56" s="103" t="s">
        <v>41</v>
      </c>
      <c r="B56" s="39" t="s">
        <v>22</v>
      </c>
      <c r="C56" s="39" t="s">
        <v>19</v>
      </c>
      <c r="D56" s="39" t="str">
        <f t="shared" si="117"/>
        <v>Carbhighnutrients</v>
      </c>
      <c r="E56" s="39" t="s">
        <v>34</v>
      </c>
      <c r="F56" s="39">
        <v>3.64</v>
      </c>
      <c r="G56" s="39">
        <v>3.01</v>
      </c>
      <c r="H56" s="39">
        <v>3.05</v>
      </c>
      <c r="I56" s="40">
        <v>6.03</v>
      </c>
      <c r="X56">
        <f t="shared" si="118"/>
        <v>-23.086734693877549</v>
      </c>
      <c r="AA56">
        <f>((I56-$S$10)/$S$10)*100</f>
        <v>-29.18379330593071</v>
      </c>
      <c r="AE56">
        <f t="shared" si="2"/>
        <v>2.39</v>
      </c>
      <c r="AH56">
        <f t="shared" si="120"/>
        <v>-43.196672608437304</v>
      </c>
      <c r="AK56">
        <f t="shared" si="121"/>
        <v>-49.816272965879264</v>
      </c>
    </row>
    <row r="57" spans="1:39" ht="15" thickBot="1" x14ac:dyDescent="0.35">
      <c r="A57" s="145" t="s">
        <v>41</v>
      </c>
      <c r="B57" s="105" t="s">
        <v>22</v>
      </c>
      <c r="C57" s="105" t="s">
        <v>19</v>
      </c>
      <c r="D57" s="105" t="str">
        <f t="shared" si="117"/>
        <v>Carbhighnutrients</v>
      </c>
      <c r="E57" s="105" t="s">
        <v>35</v>
      </c>
      <c r="F57" s="105">
        <v>3.64</v>
      </c>
      <c r="G57" s="105">
        <v>3.34</v>
      </c>
      <c r="H57" s="105">
        <v>4.76</v>
      </c>
      <c r="I57" s="106">
        <v>10.7</v>
      </c>
      <c r="X57">
        <f t="shared" si="118"/>
        <v>36.479591836734684</v>
      </c>
      <c r="AA57">
        <f t="shared" si="119"/>
        <v>25.660598943041673</v>
      </c>
      <c r="AE57">
        <f t="shared" si="2"/>
        <v>7.0599999999999987</v>
      </c>
      <c r="AH57">
        <f t="shared" si="120"/>
        <v>67.795603089720728</v>
      </c>
      <c r="AK57">
        <f t="shared" si="121"/>
        <v>48.241469816272939</v>
      </c>
    </row>
    <row r="58" spans="1:39" x14ac:dyDescent="0.3">
      <c r="A58" s="107" t="s">
        <v>42</v>
      </c>
      <c r="B58" s="42" t="s">
        <v>21</v>
      </c>
      <c r="C58" s="42" t="s">
        <v>19</v>
      </c>
      <c r="D58" s="42" t="str">
        <f t="shared" si="117"/>
        <v>Carb+Diclownutrients</v>
      </c>
      <c r="E58" s="42" t="s">
        <v>32</v>
      </c>
      <c r="F58" s="42">
        <v>3.73</v>
      </c>
      <c r="G58" s="42">
        <v>3.31</v>
      </c>
      <c r="H58" s="42">
        <v>5.72</v>
      </c>
      <c r="I58" s="43">
        <v>9.0299999999999994</v>
      </c>
      <c r="P58">
        <f>AVERAGE(F58:F61)</f>
        <v>3.7425000000000002</v>
      </c>
      <c r="Q58">
        <f t="shared" ref="Q58" si="132">AVERAGE(G58:G61)</f>
        <v>3.13</v>
      </c>
      <c r="R58">
        <f t="shared" ref="R58" si="133">AVERAGE(H58:H61)</f>
        <v>4.58</v>
      </c>
      <c r="S58">
        <f t="shared" ref="S58" si="134">AVERAGE(I58:I61)</f>
        <v>7.8499999999999988</v>
      </c>
      <c r="T58">
        <f>_xlfn.STDEV.S(F58:F61)</f>
        <v>0.23641418457162564</v>
      </c>
      <c r="U58">
        <f t="shared" ref="U58" si="135">_xlfn.STDEV.S(G58:G61)</f>
        <v>0.13735598518691017</v>
      </c>
      <c r="V58">
        <f t="shared" ref="V58" si="136">_xlfn.STDEV.S(H58:H61)</f>
        <v>0.80758900438279757</v>
      </c>
      <c r="W58">
        <f t="shared" ref="W58" si="137">_xlfn.STDEV.S(I58:I61)</f>
        <v>1.3663576886501423</v>
      </c>
      <c r="X58">
        <f t="shared" si="118"/>
        <v>15.178571428571422</v>
      </c>
      <c r="Y58">
        <f>AVERAGE(X58:X61)</f>
        <v>0.12755102040816246</v>
      </c>
      <c r="Z58">
        <f>_xlfn.STDEV.S(X58:X61)</f>
        <v>17.428031742986391</v>
      </c>
      <c r="AA58">
        <f t="shared" si="119"/>
        <v>6.0481503229594686</v>
      </c>
      <c r="AB58">
        <f>AVERAGE(AA58:AA61)</f>
        <v>-7.8097475044039992</v>
      </c>
      <c r="AC58">
        <f>_xlfn.STDEV.S(AA58:AA61)</f>
        <v>16.046479021140726</v>
      </c>
      <c r="AE58">
        <f t="shared" si="2"/>
        <v>5.2999999999999989</v>
      </c>
      <c r="AF58">
        <f t="shared" ref="AF58" si="138">AVERAGE(AE58:AE61)</f>
        <v>4.1074999999999999</v>
      </c>
      <c r="AG58">
        <f t="shared" ref="AG58" si="139">_xlfn.STDEV.S(AE58:AE61)</f>
        <v>1.3571630950871985</v>
      </c>
      <c r="AH58">
        <f t="shared" si="120"/>
        <v>25.9655377302436</v>
      </c>
      <c r="AI58">
        <f t="shared" ref="AI58" si="140">AVERAGE(AH58:AH61)</f>
        <v>-2.3767082590611937</v>
      </c>
      <c r="AJ58">
        <f t="shared" ref="AJ58" si="141">_xlfn.STDEV.S(AH58:AH61)</f>
        <v>32.25580736986808</v>
      </c>
      <c r="AK58">
        <f t="shared" si="121"/>
        <v>11.286089238845118</v>
      </c>
      <c r="AL58">
        <v>5.8675607711651381</v>
      </c>
      <c r="AM58">
        <v>21.366411406837965</v>
      </c>
    </row>
    <row r="59" spans="1:39" x14ac:dyDescent="0.3">
      <c r="A59" s="107" t="s">
        <v>42</v>
      </c>
      <c r="B59" s="42" t="s">
        <v>21</v>
      </c>
      <c r="C59" s="42" t="s">
        <v>19</v>
      </c>
      <c r="D59" s="42" t="str">
        <f t="shared" si="117"/>
        <v>Carb+Diclownutrients</v>
      </c>
      <c r="E59" s="42" t="s">
        <v>33</v>
      </c>
      <c r="F59" s="42">
        <v>3.6</v>
      </c>
      <c r="G59" s="42">
        <v>3.05</v>
      </c>
      <c r="H59" s="42">
        <v>4.33</v>
      </c>
      <c r="I59" s="43">
        <v>8.73</v>
      </c>
      <c r="X59">
        <f t="shared" si="118"/>
        <v>11.352040816326538</v>
      </c>
      <c r="AA59">
        <f t="shared" si="119"/>
        <v>2.5249559600704621</v>
      </c>
      <c r="AE59">
        <f t="shared" si="2"/>
        <v>5.1300000000000008</v>
      </c>
      <c r="AH59">
        <f t="shared" si="120"/>
        <v>21.925133689839605</v>
      </c>
      <c r="AK59">
        <f t="shared" si="121"/>
        <v>7.7165354330708782</v>
      </c>
    </row>
    <row r="60" spans="1:39" x14ac:dyDescent="0.3">
      <c r="A60" s="107" t="s">
        <v>42</v>
      </c>
      <c r="B60" s="42" t="s">
        <v>21</v>
      </c>
      <c r="C60" s="42" t="s">
        <v>19</v>
      </c>
      <c r="D60" s="42" t="str">
        <f t="shared" si="117"/>
        <v>Carb+Diclownutrients</v>
      </c>
      <c r="E60" s="42" t="s">
        <v>34</v>
      </c>
      <c r="F60" s="42">
        <v>3.56</v>
      </c>
      <c r="G60" s="42">
        <v>3.16</v>
      </c>
      <c r="H60" s="42">
        <v>3.82</v>
      </c>
      <c r="I60" s="43">
        <v>6.01</v>
      </c>
      <c r="X60">
        <f t="shared" si="118"/>
        <v>-23.341836734693882</v>
      </c>
      <c r="AA60">
        <f t="shared" si="119"/>
        <v>-29.418672930123318</v>
      </c>
      <c r="AE60">
        <f t="shared" si="2"/>
        <v>2.4499999999999997</v>
      </c>
      <c r="AH60">
        <f t="shared" si="120"/>
        <v>-41.770647653000594</v>
      </c>
      <c r="AK60">
        <f t="shared" si="121"/>
        <v>-48.556430446194234</v>
      </c>
    </row>
    <row r="61" spans="1:39" ht="15" thickBot="1" x14ac:dyDescent="0.35">
      <c r="A61" s="146" t="s">
        <v>42</v>
      </c>
      <c r="B61" s="109" t="s">
        <v>21</v>
      </c>
      <c r="C61" s="109" t="s">
        <v>19</v>
      </c>
      <c r="D61" s="109" t="str">
        <f t="shared" si="117"/>
        <v>Carb+Diclownutrients</v>
      </c>
      <c r="E61" s="109" t="s">
        <v>35</v>
      </c>
      <c r="F61" s="109">
        <v>4.08</v>
      </c>
      <c r="G61" s="109">
        <v>3</v>
      </c>
      <c r="H61" s="109">
        <v>4.45</v>
      </c>
      <c r="I61" s="110">
        <v>7.63</v>
      </c>
      <c r="X61">
        <f t="shared" si="118"/>
        <v>-2.6785714285714279</v>
      </c>
      <c r="AA61">
        <f t="shared" si="119"/>
        <v>-10.393423370522614</v>
      </c>
      <c r="AE61">
        <f t="shared" si="2"/>
        <v>3.55</v>
      </c>
      <c r="AH61">
        <f t="shared" si="120"/>
        <v>-15.626856803327389</v>
      </c>
      <c r="AK61">
        <f t="shared" si="121"/>
        <v>-25.459317585301843</v>
      </c>
    </row>
    <row r="62" spans="1:39" x14ac:dyDescent="0.3">
      <c r="A62" s="111" t="s">
        <v>42</v>
      </c>
      <c r="B62" s="112" t="s">
        <v>22</v>
      </c>
      <c r="C62" s="112" t="s">
        <v>19</v>
      </c>
      <c r="D62" s="112" t="str">
        <f t="shared" si="117"/>
        <v>Carb+Dichighnutrients</v>
      </c>
      <c r="E62" s="112" t="s">
        <v>32</v>
      </c>
      <c r="F62" s="112">
        <v>3.75</v>
      </c>
      <c r="G62" s="112">
        <v>3.24</v>
      </c>
      <c r="H62" s="112">
        <v>5.63</v>
      </c>
      <c r="I62" s="113">
        <v>8.02</v>
      </c>
      <c r="P62">
        <f>AVERAGE(F62:F65)</f>
        <v>3.7125000000000004</v>
      </c>
      <c r="Q62">
        <f t="shared" ref="Q62" si="142">AVERAGE(G62:G65)</f>
        <v>3.4899999999999998</v>
      </c>
      <c r="R62">
        <f t="shared" ref="R62" si="143">AVERAGE(H62:H65)</f>
        <v>5.665</v>
      </c>
      <c r="S62">
        <f t="shared" ref="S62" si="144">AVERAGE(I62:I65)</f>
        <v>9.7225000000000001</v>
      </c>
      <c r="T62">
        <f>_xlfn.STDEV.S(F62:F65)</f>
        <v>8.9953691790090773E-2</v>
      </c>
      <c r="U62">
        <f t="shared" ref="U62" si="145">_xlfn.STDEV.S(G62:G65)</f>
        <v>0.23636130534981101</v>
      </c>
      <c r="V62">
        <f t="shared" ref="V62" si="146">_xlfn.STDEV.S(H62:H65)</f>
        <v>0.105987420637231</v>
      </c>
      <c r="W62">
        <f t="shared" ref="W62" si="147">_xlfn.STDEV.S(I62:I65)</f>
        <v>1.2147530613256337</v>
      </c>
      <c r="X62">
        <f t="shared" si="118"/>
        <v>2.295918367346935</v>
      </c>
      <c r="Y62">
        <f>AVERAGE(X62:X65)</f>
        <v>24.011479591836732</v>
      </c>
      <c r="Z62">
        <f>_xlfn.STDEV.S(X62:X65)</f>
        <v>15.494299251602483</v>
      </c>
      <c r="AA62">
        <f t="shared" si="119"/>
        <v>-5.8132706987668934</v>
      </c>
      <c r="AB62">
        <f>AVERAGE(AA62:AA65)</f>
        <v>14.180857310628291</v>
      </c>
      <c r="AC62">
        <f>_xlfn.STDEV.S(AA62:AA65)</f>
        <v>14.266037126548852</v>
      </c>
      <c r="AE62">
        <f t="shared" si="2"/>
        <v>4.2699999999999996</v>
      </c>
      <c r="AF62">
        <f t="shared" ref="AF62" si="148">AVERAGE(AE62:AE65)</f>
        <v>6.01</v>
      </c>
      <c r="AG62">
        <f t="shared" ref="AG62" si="149">_xlfn.STDEV.S(AE62:AE65)</f>
        <v>1.2108123994519788</v>
      </c>
      <c r="AH62">
        <f t="shared" si="120"/>
        <v>1.4854426619132504</v>
      </c>
      <c r="AI62">
        <f t="shared" ref="AI62" si="150">AVERAGE(AH62:AH65)</f>
        <v>42.840166369578142</v>
      </c>
      <c r="AJ62">
        <f t="shared" ref="AJ62" si="151">_xlfn.STDEV.S(AH62:AH65)</f>
        <v>28.777478299512346</v>
      </c>
      <c r="AK62">
        <f t="shared" si="121"/>
        <v>-10.341207349081378</v>
      </c>
      <c r="AL62">
        <v>6.2866722548197949</v>
      </c>
      <c r="AM62">
        <v>31.195711486256108</v>
      </c>
    </row>
    <row r="63" spans="1:39" x14ac:dyDescent="0.3">
      <c r="A63" s="111" t="s">
        <v>42</v>
      </c>
      <c r="B63" s="112" t="s">
        <v>22</v>
      </c>
      <c r="C63" s="112" t="s">
        <v>19</v>
      </c>
      <c r="D63" s="112" t="str">
        <f t="shared" si="117"/>
        <v>Carb+Dichighnutrients</v>
      </c>
      <c r="E63" s="112" t="s">
        <v>33</v>
      </c>
      <c r="F63" s="112">
        <v>3.82</v>
      </c>
      <c r="G63" s="112">
        <v>3.8</v>
      </c>
      <c r="H63" s="112">
        <v>5.79</v>
      </c>
      <c r="I63" s="113">
        <v>10.9</v>
      </c>
      <c r="X63">
        <f t="shared" si="118"/>
        <v>39.030612244897966</v>
      </c>
      <c r="AA63">
        <f t="shared" si="119"/>
        <v>28.009395184967701</v>
      </c>
      <c r="AE63">
        <f t="shared" si="2"/>
        <v>7.08</v>
      </c>
      <c r="AH63">
        <f t="shared" si="120"/>
        <v>68.270944741532986</v>
      </c>
      <c r="AK63">
        <f t="shared" si="121"/>
        <v>48.661417322834644</v>
      </c>
    </row>
    <row r="64" spans="1:39" x14ac:dyDescent="0.3">
      <c r="A64" s="111" t="s">
        <v>42</v>
      </c>
      <c r="B64" s="112" t="s">
        <v>22</v>
      </c>
      <c r="C64" s="112" t="s">
        <v>19</v>
      </c>
      <c r="D64" s="112" t="str">
        <f t="shared" si="117"/>
        <v>Carb+Dichighnutrients</v>
      </c>
      <c r="E64" s="112" t="s">
        <v>34</v>
      </c>
      <c r="F64" s="112">
        <v>3.66</v>
      </c>
      <c r="G64" s="112">
        <v>3.4</v>
      </c>
      <c r="H64" s="112">
        <v>5.54</v>
      </c>
      <c r="I64" s="113">
        <v>10.029999999999999</v>
      </c>
      <c r="X64">
        <f t="shared" si="118"/>
        <v>27.933673469387749</v>
      </c>
      <c r="AA64">
        <f t="shared" si="119"/>
        <v>17.792131532589533</v>
      </c>
      <c r="AE64">
        <f t="shared" si="2"/>
        <v>6.3699999999999992</v>
      </c>
      <c r="AH64">
        <f t="shared" si="120"/>
        <v>51.396316102198448</v>
      </c>
      <c r="AK64">
        <f t="shared" si="121"/>
        <v>33.753280839894991</v>
      </c>
    </row>
    <row r="65" spans="1:39" ht="15" thickBot="1" x14ac:dyDescent="0.35">
      <c r="A65" s="147" t="s">
        <v>42</v>
      </c>
      <c r="B65" s="115" t="s">
        <v>22</v>
      </c>
      <c r="C65" s="115" t="s">
        <v>19</v>
      </c>
      <c r="D65" s="115" t="str">
        <f t="shared" si="117"/>
        <v>Carb+Dichighnutrients</v>
      </c>
      <c r="E65" s="115" t="s">
        <v>35</v>
      </c>
      <c r="F65" s="115">
        <v>3.62</v>
      </c>
      <c r="G65" s="115">
        <v>3.52</v>
      </c>
      <c r="H65" s="115">
        <v>5.7</v>
      </c>
      <c r="I65" s="116">
        <v>9.94</v>
      </c>
      <c r="X65">
        <f t="shared" si="118"/>
        <v>26.785714285714278</v>
      </c>
      <c r="AA65">
        <f t="shared" si="119"/>
        <v>16.735173223722828</v>
      </c>
      <c r="AE65">
        <f t="shared" si="2"/>
        <v>6.3199999999999994</v>
      </c>
      <c r="AH65">
        <f t="shared" si="120"/>
        <v>50.20796197266786</v>
      </c>
      <c r="AK65">
        <f t="shared" si="121"/>
        <v>32.703412073490796</v>
      </c>
    </row>
    <row r="66" spans="1:39" x14ac:dyDescent="0.3">
      <c r="A66" s="117" t="s">
        <v>44</v>
      </c>
      <c r="B66" s="48" t="s">
        <v>21</v>
      </c>
      <c r="C66" s="48" t="s">
        <v>19</v>
      </c>
      <c r="D66" s="48" t="str">
        <f t="shared" si="117"/>
        <v>Carb+PFOSlownutrients</v>
      </c>
      <c r="E66" s="48" t="s">
        <v>32</v>
      </c>
      <c r="F66" s="48">
        <v>4.1900000000000004</v>
      </c>
      <c r="G66" s="48">
        <v>3.27</v>
      </c>
      <c r="H66" s="48">
        <v>5.52</v>
      </c>
      <c r="I66" s="49">
        <v>7.24</v>
      </c>
      <c r="P66">
        <f>AVERAGE(F66:F69)</f>
        <v>4.0500000000000007</v>
      </c>
      <c r="Q66">
        <f t="shared" ref="Q66" si="152">AVERAGE(G66:G69)</f>
        <v>3.2275</v>
      </c>
      <c r="R66">
        <f t="shared" ref="R66" si="153">AVERAGE(H66:H69)</f>
        <v>5.620000000000001</v>
      </c>
      <c r="S66">
        <f t="shared" ref="S66" si="154">AVERAGE(I66:I69)</f>
        <v>6.8425000000000002</v>
      </c>
      <c r="T66">
        <f>_xlfn.STDEV.S(F66:F69)</f>
        <v>0.18565200420859124</v>
      </c>
      <c r="U66">
        <f t="shared" ref="U66" si="155">_xlfn.STDEV.S(G66:G69)</f>
        <v>0.19805302320338367</v>
      </c>
      <c r="V66">
        <f t="shared" ref="V66" si="156">_xlfn.STDEV.S(H66:H69)</f>
        <v>0.86243840359760671</v>
      </c>
      <c r="W66">
        <f t="shared" ref="W66" si="157">_xlfn.STDEV.S(I66:I69)</f>
        <v>2.1774813432036524</v>
      </c>
      <c r="X66">
        <f t="shared" si="118"/>
        <v>-7.6530612244897922</v>
      </c>
      <c r="Y66">
        <f>AVERAGE(X66:X69)</f>
        <v>-12.723214285714283</v>
      </c>
      <c r="Z66">
        <f>_xlfn.STDEV.S(X66:X69)</f>
        <v>27.773996724536431</v>
      </c>
      <c r="AA66">
        <f t="shared" si="119"/>
        <v>-14.973576042278335</v>
      </c>
      <c r="AB66">
        <f>AVERAGE(AA66:AA69)</f>
        <v>-19.641808573106285</v>
      </c>
      <c r="AC66">
        <f>_xlfn.STDEV.S(AA66:AA69)</f>
        <v>25.572299978903771</v>
      </c>
      <c r="AE66">
        <f t="shared" si="2"/>
        <v>3.05</v>
      </c>
      <c r="AF66">
        <f t="shared" ref="AF66" si="158">AVERAGE(AE66:AE69)</f>
        <v>2.7924999999999995</v>
      </c>
      <c r="AG66">
        <f t="shared" ref="AG66" si="159">_xlfn.STDEV.S(AE66:AE69)</f>
        <v>2.1228655947405937</v>
      </c>
      <c r="AH66">
        <f t="shared" si="120"/>
        <v>-27.510398098633388</v>
      </c>
      <c r="AI66">
        <f t="shared" ref="AI66" si="160">AVERAGE(AH66:AH69)</f>
        <v>-33.630421865715988</v>
      </c>
      <c r="AJ66">
        <f t="shared" ref="AJ66" si="161">_xlfn.STDEV.S(AH66:AH69)</f>
        <v>50.454321918968347</v>
      </c>
      <c r="AK66">
        <f t="shared" si="121"/>
        <v>-35.958005249343842</v>
      </c>
      <c r="AL66">
        <v>-39.564124056999155</v>
      </c>
      <c r="AM66">
        <v>16.087767768829355</v>
      </c>
    </row>
    <row r="67" spans="1:39" x14ac:dyDescent="0.3">
      <c r="A67" s="117" t="s">
        <v>44</v>
      </c>
      <c r="B67" s="48" t="s">
        <v>21</v>
      </c>
      <c r="C67" s="48" t="s">
        <v>19</v>
      </c>
      <c r="D67" s="48" t="str">
        <f t="shared" si="117"/>
        <v>Carb+PFOSlownutrients</v>
      </c>
      <c r="E67" s="48" t="s">
        <v>33</v>
      </c>
      <c r="F67" s="48">
        <v>3.88</v>
      </c>
      <c r="G67" s="48">
        <v>2.94</v>
      </c>
      <c r="H67" s="48">
        <v>4.4400000000000004</v>
      </c>
      <c r="I67" s="49">
        <v>3.75</v>
      </c>
      <c r="X67">
        <f t="shared" si="118"/>
        <v>-52.168367346938773</v>
      </c>
      <c r="AA67">
        <f t="shared" si="119"/>
        <v>-55.960070463887256</v>
      </c>
      <c r="AE67">
        <f t="shared" ref="AE67:AE81" si="162">I67-F67</f>
        <v>-0.12999999999999989</v>
      </c>
      <c r="AH67">
        <f>((AE67-$AF$14)/$AF$14)*100</f>
        <v>-103.08972073677955</v>
      </c>
      <c r="AK67">
        <f t="shared" si="121"/>
        <v>-102.72965879265092</v>
      </c>
    </row>
    <row r="68" spans="1:39" x14ac:dyDescent="0.3">
      <c r="A68" s="117" t="s">
        <v>44</v>
      </c>
      <c r="B68" s="48" t="s">
        <v>21</v>
      </c>
      <c r="C68" s="48" t="s">
        <v>19</v>
      </c>
      <c r="D68" s="48" t="str">
        <f t="shared" si="117"/>
        <v>Carb+PFOSlownutrients</v>
      </c>
      <c r="E68" s="48" t="s">
        <v>34</v>
      </c>
      <c r="F68" s="48">
        <v>3.9</v>
      </c>
      <c r="G68" s="48">
        <v>3.39</v>
      </c>
      <c r="H68" s="48">
        <v>6.19</v>
      </c>
      <c r="I68" s="49">
        <v>8.85</v>
      </c>
      <c r="X68">
        <f t="shared" si="118"/>
        <v>12.882653061224486</v>
      </c>
      <c r="AA68">
        <f>((I68-$S$10)/$S$10)*100</f>
        <v>3.9342337052260605</v>
      </c>
      <c r="AE68">
        <f t="shared" si="162"/>
        <v>4.9499999999999993</v>
      </c>
      <c r="AH68">
        <f t="shared" si="120"/>
        <v>17.647058823529406</v>
      </c>
      <c r="AK68">
        <f t="shared" si="121"/>
        <v>3.937007874015729</v>
      </c>
    </row>
    <row r="69" spans="1:39" ht="15" thickBot="1" x14ac:dyDescent="0.35">
      <c r="A69" s="148" t="s">
        <v>44</v>
      </c>
      <c r="B69" s="119" t="s">
        <v>21</v>
      </c>
      <c r="C69" s="119" t="s">
        <v>19</v>
      </c>
      <c r="D69" s="119" t="str">
        <f t="shared" si="117"/>
        <v>Carb+PFOSlownutrients</v>
      </c>
      <c r="E69" s="119" t="s">
        <v>35</v>
      </c>
      <c r="F69" s="119">
        <v>4.2300000000000004</v>
      </c>
      <c r="G69" s="119">
        <v>3.31</v>
      </c>
      <c r="H69" s="119">
        <v>6.33</v>
      </c>
      <c r="I69" s="120">
        <v>7.53</v>
      </c>
      <c r="X69">
        <f t="shared" si="118"/>
        <v>-3.9540816326530566</v>
      </c>
      <c r="AA69">
        <f t="shared" si="119"/>
        <v>-11.567821491485617</v>
      </c>
      <c r="AE69">
        <f t="shared" si="162"/>
        <v>3.3</v>
      </c>
      <c r="AH69">
        <f t="shared" si="120"/>
        <v>-21.568627450980387</v>
      </c>
      <c r="AK69">
        <f t="shared" si="121"/>
        <v>-30.70866141732284</v>
      </c>
    </row>
    <row r="70" spans="1:39" x14ac:dyDescent="0.3">
      <c r="A70" s="121" t="s">
        <v>44</v>
      </c>
      <c r="B70" s="51" t="s">
        <v>22</v>
      </c>
      <c r="C70" s="51" t="s">
        <v>19</v>
      </c>
      <c r="D70" s="51" t="str">
        <f t="shared" si="117"/>
        <v>Carb+PFOShighnutrients</v>
      </c>
      <c r="E70" s="51" t="s">
        <v>32</v>
      </c>
      <c r="F70" s="51">
        <v>3.97</v>
      </c>
      <c r="G70" s="51">
        <v>3.06</v>
      </c>
      <c r="H70" s="51">
        <v>5.07</v>
      </c>
      <c r="I70" s="52">
        <v>5.69</v>
      </c>
      <c r="P70">
        <f>AVERAGE(F70:F73)</f>
        <v>3.8750000000000004</v>
      </c>
      <c r="Q70">
        <f t="shared" ref="Q70" si="163">AVERAGE(G70:G73)</f>
        <v>3.0075000000000003</v>
      </c>
      <c r="R70">
        <f t="shared" ref="R70" si="164">AVERAGE(H70:H73)</f>
        <v>5.71</v>
      </c>
      <c r="S70">
        <f t="shared" ref="S70" si="165">AVERAGE(I70:I73)</f>
        <v>6.7949999999999999</v>
      </c>
      <c r="T70">
        <f>_xlfn.STDEV.S(F70:F73)</f>
        <v>9.1833182093039464E-2</v>
      </c>
      <c r="U70">
        <f t="shared" ref="U70" si="166">_xlfn.STDEV.S(G70:G73)</f>
        <v>0.15129992289048488</v>
      </c>
      <c r="V70">
        <f t="shared" ref="V70" si="167">_xlfn.STDEV.S(H70:H73)</f>
        <v>0.70408332840178356</v>
      </c>
      <c r="W70">
        <f t="shared" ref="W70" si="168">_xlfn.STDEV.S(I70:I73)</f>
        <v>0.89130989747300038</v>
      </c>
      <c r="X70">
        <f t="shared" si="118"/>
        <v>-27.423469387755095</v>
      </c>
      <c r="Y70">
        <f>AVERAGE(X70:X73)</f>
        <v>-13.329081632653059</v>
      </c>
      <c r="Z70">
        <f>_xlfn.STDEV.S(X70:X73)</f>
        <v>11.368748692257677</v>
      </c>
      <c r="AA70">
        <f t="shared" si="119"/>
        <v>-33.17674691720493</v>
      </c>
      <c r="AB70">
        <f>AVERAGE(AA70:AA73)</f>
        <v>-20.199647680563714</v>
      </c>
      <c r="AC70">
        <f>_xlfn.STDEV.S(AA70:AA73)</f>
        <v>10.46752668788023</v>
      </c>
      <c r="AE70">
        <f t="shared" si="162"/>
        <v>1.7200000000000002</v>
      </c>
      <c r="AF70">
        <f t="shared" ref="AF70" si="169">AVERAGE(AE70:AE73)</f>
        <v>2.9200000000000004</v>
      </c>
      <c r="AG70">
        <f t="shared" ref="AG70" si="170">_xlfn.STDEV.S(AE70:AE73)</f>
        <v>0.94332744403343993</v>
      </c>
      <c r="AH70">
        <f t="shared" si="120"/>
        <v>-59.120617944147348</v>
      </c>
      <c r="AI70">
        <f t="shared" ref="AI70" si="171">AVERAGE(AH70:AH73)</f>
        <v>-30.60011883541295</v>
      </c>
      <c r="AJ70">
        <f t="shared" ref="AJ70" si="172">_xlfn.STDEV.S(AH70:AH73)</f>
        <v>22.420141272333733</v>
      </c>
      <c r="AK70">
        <f t="shared" si="121"/>
        <v>-63.884514435695536</v>
      </c>
      <c r="AL70">
        <v>-54.652137468566636</v>
      </c>
      <c r="AM70">
        <v>19.59721557473674</v>
      </c>
    </row>
    <row r="71" spans="1:39" x14ac:dyDescent="0.3">
      <c r="A71" s="121" t="s">
        <v>44</v>
      </c>
      <c r="B71" s="51" t="s">
        <v>22</v>
      </c>
      <c r="C71" s="51" t="s">
        <v>19</v>
      </c>
      <c r="D71" s="51" t="str">
        <f t="shared" si="117"/>
        <v>Carb+PFOShighnutrients</v>
      </c>
      <c r="E71" s="51" t="s">
        <v>33</v>
      </c>
      <c r="F71" s="51">
        <v>3.75</v>
      </c>
      <c r="G71" s="51">
        <v>2.79</v>
      </c>
      <c r="H71" s="51">
        <v>5.45</v>
      </c>
      <c r="I71" s="52">
        <v>7.01</v>
      </c>
      <c r="X71">
        <f t="shared" si="118"/>
        <v>-10.586734693877551</v>
      </c>
      <c r="AA71">
        <f t="shared" si="119"/>
        <v>-17.674691720493254</v>
      </c>
      <c r="AE71">
        <f t="shared" si="162"/>
        <v>3.26</v>
      </c>
      <c r="AH71">
        <f t="shared" si="120"/>
        <v>-22.519310754604867</v>
      </c>
      <c r="AK71">
        <f t="shared" si="121"/>
        <v>-31.548556430446201</v>
      </c>
    </row>
    <row r="72" spans="1:39" x14ac:dyDescent="0.3">
      <c r="A72" s="121" t="s">
        <v>44</v>
      </c>
      <c r="B72" s="51" t="s">
        <v>22</v>
      </c>
      <c r="C72" s="51" t="s">
        <v>19</v>
      </c>
      <c r="D72" s="51" t="str">
        <f t="shared" si="117"/>
        <v>Carb+PFOShighnutrients</v>
      </c>
      <c r="E72" s="51" t="s">
        <v>34</v>
      </c>
      <c r="F72" s="51">
        <v>3.88</v>
      </c>
      <c r="G72" s="51">
        <v>3.04</v>
      </c>
      <c r="H72" s="51">
        <v>5.61</v>
      </c>
      <c r="I72" s="52">
        <v>7.84</v>
      </c>
      <c r="X72">
        <f t="shared" si="118"/>
        <v>0</v>
      </c>
      <c r="AA72">
        <f t="shared" si="119"/>
        <v>-7.9271873165003015</v>
      </c>
      <c r="AE72">
        <f t="shared" si="162"/>
        <v>3.96</v>
      </c>
      <c r="AH72">
        <f t="shared" si="120"/>
        <v>-5.8823529411764621</v>
      </c>
      <c r="AK72">
        <f t="shared" si="121"/>
        <v>-16.850393700787407</v>
      </c>
    </row>
    <row r="73" spans="1:39" ht="15" thickBot="1" x14ac:dyDescent="0.35">
      <c r="A73" s="149" t="s">
        <v>44</v>
      </c>
      <c r="B73" s="123" t="s">
        <v>22</v>
      </c>
      <c r="C73" s="123" t="s">
        <v>19</v>
      </c>
      <c r="D73" s="123" t="str">
        <f t="shared" si="117"/>
        <v>Carb+PFOShighnutrients</v>
      </c>
      <c r="E73" s="123" t="s">
        <v>35</v>
      </c>
      <c r="F73" s="123">
        <v>3.9</v>
      </c>
      <c r="G73" s="123">
        <v>3.14</v>
      </c>
      <c r="H73" s="123">
        <v>6.71</v>
      </c>
      <c r="I73" s="124">
        <v>6.64</v>
      </c>
      <c r="X73">
        <f t="shared" si="118"/>
        <v>-15.306122448979595</v>
      </c>
      <c r="AA73">
        <f t="shared" si="119"/>
        <v>-22.019964768056379</v>
      </c>
      <c r="AE73">
        <f t="shared" si="162"/>
        <v>2.7399999999999998</v>
      </c>
      <c r="AH73">
        <f t="shared" si="120"/>
        <v>-34.878193701723113</v>
      </c>
      <c r="AK73">
        <f t="shared" si="121"/>
        <v>-42.467191601049876</v>
      </c>
    </row>
    <row r="74" spans="1:39" x14ac:dyDescent="0.3">
      <c r="A74" s="125" t="s">
        <v>46</v>
      </c>
      <c r="B74" s="54" t="s">
        <v>21</v>
      </c>
      <c r="C74" s="54" t="s">
        <v>19</v>
      </c>
      <c r="D74" s="54" t="str">
        <f t="shared" si="117"/>
        <v>Carb+6ppdqlownutrients</v>
      </c>
      <c r="E74" s="54" t="s">
        <v>32</v>
      </c>
      <c r="F74" s="54">
        <v>3.96</v>
      </c>
      <c r="G74" s="54">
        <v>3.37</v>
      </c>
      <c r="H74" s="54">
        <v>5.72</v>
      </c>
      <c r="I74" s="55">
        <v>8.02</v>
      </c>
      <c r="P74">
        <f>AVERAGE(F74:F77)</f>
        <v>3.895</v>
      </c>
      <c r="Q74">
        <f t="shared" ref="Q74" si="173">AVERAGE(G74:G77)</f>
        <v>3.5925000000000002</v>
      </c>
      <c r="R74">
        <f t="shared" ref="R74" si="174">AVERAGE(H74:H77)</f>
        <v>6.3349999999999991</v>
      </c>
      <c r="S74">
        <f t="shared" ref="S74" si="175">AVERAGE(I74:I77)</f>
        <v>8.3275000000000006</v>
      </c>
      <c r="T74">
        <f>_xlfn.STDEV.S(F74:F77)</f>
        <v>7.047458170621998E-2</v>
      </c>
      <c r="U74">
        <f t="shared" ref="U74" si="176">_xlfn.STDEV.S(G74:G77)</f>
        <v>0.26675519363891176</v>
      </c>
      <c r="V74">
        <f t="shared" ref="V74" si="177">_xlfn.STDEV.S(H74:H77)</f>
        <v>0.60939861065370571</v>
      </c>
      <c r="W74">
        <f t="shared" ref="W74" si="178">_xlfn.STDEV.S(I74:I77)</f>
        <v>1.0321296753153786</v>
      </c>
      <c r="X74">
        <f t="shared" si="118"/>
        <v>2.295918367346935</v>
      </c>
      <c r="Y74">
        <f>AVERAGE(X74:X77)</f>
        <v>6.2181122448979567</v>
      </c>
      <c r="Z74">
        <f>_xlfn.STDEV.S(X74:X77)</f>
        <v>13.164919328002508</v>
      </c>
      <c r="AA74">
        <f t="shared" si="119"/>
        <v>-5.8132706987668934</v>
      </c>
      <c r="AB74">
        <f>AVERAGE(AA74:AA77)</f>
        <v>-2.2019964768056477</v>
      </c>
      <c r="AC74">
        <f>_xlfn.STDEV.S(AA74:AA77)</f>
        <v>12.121311512805597</v>
      </c>
      <c r="AE74">
        <f t="shared" si="162"/>
        <v>4.0599999999999996</v>
      </c>
      <c r="AF74">
        <f t="shared" ref="AF74" si="179">AVERAGE(AE74:AE77)</f>
        <v>4.4324999999999992</v>
      </c>
      <c r="AG74">
        <f t="shared" ref="AG74" si="180">_xlfn.STDEV.S(AE74:AE77)</f>
        <v>1.0603890795363802</v>
      </c>
      <c r="AH74">
        <f t="shared" si="120"/>
        <v>-3.5056446821152698</v>
      </c>
      <c r="AI74">
        <f t="shared" ref="AI74" si="181">AVERAGE(AH74:AH77)</f>
        <v>5.3475935828877059</v>
      </c>
      <c r="AJ74">
        <f t="shared" ref="AJ74" si="182">_xlfn.STDEV.S(AH74:AH77)</f>
        <v>25.202354831524058</v>
      </c>
      <c r="AK74">
        <f t="shared" si="121"/>
        <v>-14.750656167979015</v>
      </c>
      <c r="AL74">
        <v>-51.131601005867566</v>
      </c>
      <c r="AM74">
        <v>24.268352407873202</v>
      </c>
    </row>
    <row r="75" spans="1:39" x14ac:dyDescent="0.3">
      <c r="A75" s="125" t="s">
        <v>46</v>
      </c>
      <c r="B75" s="54" t="s">
        <v>21</v>
      </c>
      <c r="C75" s="54" t="s">
        <v>19</v>
      </c>
      <c r="D75" s="54" t="str">
        <f t="shared" si="117"/>
        <v>Carb+6ppdqlownutrients</v>
      </c>
      <c r="E75" s="54" t="s">
        <v>33</v>
      </c>
      <c r="F75" s="54">
        <v>3.82</v>
      </c>
      <c r="G75" s="54">
        <v>3.5</v>
      </c>
      <c r="H75" s="54">
        <v>6.31</v>
      </c>
      <c r="I75" s="55">
        <v>7.75</v>
      </c>
      <c r="X75">
        <f t="shared" si="118"/>
        <v>-1.1479591836734675</v>
      </c>
      <c r="AA75">
        <f t="shared" si="119"/>
        <v>-8.984145625367006</v>
      </c>
      <c r="AE75">
        <f t="shared" si="162"/>
        <v>3.93</v>
      </c>
      <c r="AH75">
        <f t="shared" si="120"/>
        <v>-6.5953654188948176</v>
      </c>
      <c r="AK75">
        <f t="shared" si="121"/>
        <v>-17.480314960629919</v>
      </c>
    </row>
    <row r="76" spans="1:39" x14ac:dyDescent="0.3">
      <c r="A76" s="125" t="s">
        <v>46</v>
      </c>
      <c r="B76" s="54" t="s">
        <v>21</v>
      </c>
      <c r="C76" s="54" t="s">
        <v>19</v>
      </c>
      <c r="D76" s="54" t="str">
        <f t="shared" si="117"/>
        <v>Carb+6ppdqlownutrients</v>
      </c>
      <c r="E76" s="54" t="s">
        <v>34</v>
      </c>
      <c r="F76" s="54">
        <v>3.95</v>
      </c>
      <c r="G76" s="54">
        <v>3.52</v>
      </c>
      <c r="H76" s="54">
        <v>6.14</v>
      </c>
      <c r="I76" s="55">
        <v>7.68</v>
      </c>
      <c r="X76">
        <f>((I76-$S$14)/$S$14)*100</f>
        <v>-2.0408163265306141</v>
      </c>
      <c r="AA76">
        <f t="shared" si="119"/>
        <v>-9.8062243100411131</v>
      </c>
      <c r="AE76">
        <f t="shared" si="162"/>
        <v>3.7299999999999995</v>
      </c>
      <c r="AH76">
        <f t="shared" si="120"/>
        <v>-11.348781937017232</v>
      </c>
      <c r="AK76">
        <f t="shared" si="121"/>
        <v>-21.679790026246732</v>
      </c>
    </row>
    <row r="77" spans="1:39" ht="15" thickBot="1" x14ac:dyDescent="0.35">
      <c r="A77" s="150" t="s">
        <v>46</v>
      </c>
      <c r="B77" s="127" t="s">
        <v>21</v>
      </c>
      <c r="C77" s="127" t="s">
        <v>19</v>
      </c>
      <c r="D77" s="127" t="str">
        <f t="shared" si="117"/>
        <v>Carb+6ppdqlownutrients</v>
      </c>
      <c r="E77" s="127" t="s">
        <v>35</v>
      </c>
      <c r="F77" s="127">
        <v>3.85</v>
      </c>
      <c r="G77" s="127">
        <v>3.98</v>
      </c>
      <c r="H77" s="127">
        <v>7.17</v>
      </c>
      <c r="I77" s="128">
        <v>9.86</v>
      </c>
      <c r="X77">
        <f t="shared" si="118"/>
        <v>25.765306122448973</v>
      </c>
      <c r="AA77">
        <f t="shared" si="119"/>
        <v>15.795654726952421</v>
      </c>
      <c r="AE77">
        <f t="shared" si="162"/>
        <v>6.01</v>
      </c>
      <c r="AH77">
        <f t="shared" si="120"/>
        <v>42.840166369578142</v>
      </c>
      <c r="AK77">
        <f t="shared" si="121"/>
        <v>26.194225721784768</v>
      </c>
    </row>
    <row r="78" spans="1:39" x14ac:dyDescent="0.3">
      <c r="A78" s="129" t="s">
        <v>46</v>
      </c>
      <c r="B78" s="130" t="s">
        <v>22</v>
      </c>
      <c r="C78" s="130" t="s">
        <v>19</v>
      </c>
      <c r="D78" s="130" t="str">
        <f t="shared" si="117"/>
        <v>Carb+6ppdqhighnutrients</v>
      </c>
      <c r="E78" s="130" t="s">
        <v>32</v>
      </c>
      <c r="F78" s="130">
        <v>3.93</v>
      </c>
      <c r="G78" s="130">
        <v>3.13</v>
      </c>
      <c r="H78" s="130">
        <v>5.39</v>
      </c>
      <c r="I78" s="131">
        <v>7.14</v>
      </c>
      <c r="P78">
        <f>AVERAGE(F78:F81)</f>
        <v>3.7350000000000003</v>
      </c>
      <c r="Q78">
        <f t="shared" ref="Q78" si="183">AVERAGE(G78:G81)</f>
        <v>3.0075000000000003</v>
      </c>
      <c r="R78">
        <f t="shared" ref="R78" si="184">AVERAGE(H78:H81)</f>
        <v>5.49</v>
      </c>
      <c r="S78">
        <f t="shared" ref="S78" si="185">AVERAGE(I78:I81)</f>
        <v>8.0274999999999999</v>
      </c>
      <c r="T78">
        <f>_xlfn.STDEV.S(F78:F81)</f>
        <v>0.13916417163432074</v>
      </c>
      <c r="U78">
        <f t="shared" ref="U78" si="186">_xlfn.STDEV.S(G78:G81)</f>
        <v>0.16740669042783204</v>
      </c>
      <c r="V78">
        <f t="shared" ref="V78" si="187">_xlfn.STDEV.S(H78:H81)</f>
        <v>0.33950945004029959</v>
      </c>
      <c r="W78">
        <f t="shared" ref="W78" si="188">_xlfn.STDEV.S(I78:I81)</f>
        <v>1.4500660904478377</v>
      </c>
      <c r="X78">
        <f>((I78-$S$14)/$S$14)*100</f>
        <v>-8.9285714285714324</v>
      </c>
      <c r="Y78">
        <f>AVERAGE(X78:X81)</f>
        <v>2.3915816326530606</v>
      </c>
      <c r="Z78">
        <f>_xlfn.STDEV.S(X78:X81)</f>
        <v>18.495740949589724</v>
      </c>
      <c r="AA78">
        <f t="shared" si="119"/>
        <v>-16.147974163241351</v>
      </c>
      <c r="AB78">
        <f>AVERAGE(AA78:AA81)</f>
        <v>-5.7251908396946654</v>
      </c>
      <c r="AC78">
        <f>_xlfn.STDEV.S(AA78:AA81)</f>
        <v>17.029548918941096</v>
      </c>
      <c r="AE78">
        <f t="shared" si="162"/>
        <v>3.2099999999999995</v>
      </c>
      <c r="AF78">
        <f t="shared" ref="AF78" si="189">AVERAGE(AE78:AE81)</f>
        <v>4.2924999999999995</v>
      </c>
      <c r="AG78">
        <f t="shared" ref="AG78" si="190">_xlfn.STDEV.S(AE78:AE81)</f>
        <v>1.4680684588942035</v>
      </c>
      <c r="AH78">
        <f t="shared" si="120"/>
        <v>-23.707664884135475</v>
      </c>
      <c r="AI78">
        <f t="shared" ref="AI78" si="191">AVERAGE(AH78:AH81)</f>
        <v>2.0202020202020261</v>
      </c>
      <c r="AJ78">
        <f t="shared" ref="AJ78" si="192">_xlfn.STDEV.S(AH78:AH81)</f>
        <v>34.891704311211015</v>
      </c>
      <c r="AK78">
        <f t="shared" si="121"/>
        <v>-32.598425196850407</v>
      </c>
      <c r="AL78">
        <v>31.601005867560769</v>
      </c>
      <c r="AM78">
        <v>33.89628307317701</v>
      </c>
    </row>
    <row r="79" spans="1:39" x14ac:dyDescent="0.3">
      <c r="A79" s="129" t="s">
        <v>46</v>
      </c>
      <c r="B79" s="130" t="s">
        <v>22</v>
      </c>
      <c r="C79" s="130" t="s">
        <v>19</v>
      </c>
      <c r="D79" s="130" t="str">
        <f t="shared" si="117"/>
        <v>Carb+6ppdqhighnutrients</v>
      </c>
      <c r="E79" s="130" t="s">
        <v>33</v>
      </c>
      <c r="F79" s="130">
        <v>3.6</v>
      </c>
      <c r="G79" s="130">
        <v>3.01</v>
      </c>
      <c r="H79" s="130">
        <v>5.86</v>
      </c>
      <c r="I79" s="131">
        <v>6.55</v>
      </c>
      <c r="X79">
        <f t="shared" si="118"/>
        <v>-16.454081632653061</v>
      </c>
      <c r="AA79">
        <f t="shared" si="119"/>
        <v>-23.076923076923084</v>
      </c>
      <c r="AE79">
        <f t="shared" si="162"/>
        <v>2.9499999999999997</v>
      </c>
      <c r="AH79">
        <f t="shared" si="120"/>
        <v>-29.887106357694591</v>
      </c>
      <c r="AK79">
        <f t="shared" si="121"/>
        <v>-38.057742782152239</v>
      </c>
    </row>
    <row r="80" spans="1:39" x14ac:dyDescent="0.3">
      <c r="A80" s="129" t="s">
        <v>46</v>
      </c>
      <c r="B80" s="130" t="s">
        <v>22</v>
      </c>
      <c r="C80" s="130" t="s">
        <v>19</v>
      </c>
      <c r="D80" s="130" t="str">
        <f t="shared" si="117"/>
        <v>Carb+6ppdqhighnutrients</v>
      </c>
      <c r="E80" s="130" t="s">
        <v>34</v>
      </c>
      <c r="F80" s="130">
        <v>3.71</v>
      </c>
      <c r="G80" s="130">
        <v>2.77</v>
      </c>
      <c r="H80" s="130">
        <v>5.64</v>
      </c>
      <c r="I80" s="131">
        <v>8.69</v>
      </c>
      <c r="X80">
        <f t="shared" si="118"/>
        <v>10.841836734693873</v>
      </c>
      <c r="AA80">
        <f t="shared" si="119"/>
        <v>2.0551967116852485</v>
      </c>
      <c r="AE80">
        <f>I80-F80</f>
        <v>4.9799999999999995</v>
      </c>
      <c r="AH80">
        <f>((AE80-$AF$14)/$AF$14)*100</f>
        <v>18.360071301247775</v>
      </c>
      <c r="AK80">
        <f t="shared" si="121"/>
        <v>4.5669291338582534</v>
      </c>
    </row>
    <row r="81" spans="1:37" ht="15" thickBot="1" x14ac:dyDescent="0.35">
      <c r="A81" s="151" t="s">
        <v>46</v>
      </c>
      <c r="B81" s="133" t="s">
        <v>22</v>
      </c>
      <c r="C81" s="133" t="s">
        <v>19</v>
      </c>
      <c r="D81" s="133" t="str">
        <f t="shared" si="117"/>
        <v>Carb+6ppdqhighnutrients</v>
      </c>
      <c r="E81" s="133" t="s">
        <v>35</v>
      </c>
      <c r="F81" s="133">
        <v>3.7</v>
      </c>
      <c r="G81" s="133">
        <v>3.12</v>
      </c>
      <c r="H81" s="133">
        <v>5.07</v>
      </c>
      <c r="I81" s="134">
        <v>9.73</v>
      </c>
      <c r="X81">
        <f t="shared" si="118"/>
        <v>24.107142857142865</v>
      </c>
      <c r="AA81">
        <f t="shared" si="119"/>
        <v>14.268937169700527</v>
      </c>
      <c r="AE81">
        <f t="shared" si="162"/>
        <v>6.03</v>
      </c>
      <c r="AH81">
        <f t="shared" si="120"/>
        <v>43.315508021390393</v>
      </c>
      <c r="AK81">
        <f t="shared" si="121"/>
        <v>26.614173228346456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03DF5-E645-472F-BDD6-070E44AF13F7}">
  <dimension ref="A1:K33"/>
  <sheetViews>
    <sheetView workbookViewId="0">
      <selection activeCell="K10" sqref="K10"/>
    </sheetView>
  </sheetViews>
  <sheetFormatPr defaultRowHeight="14.4" x14ac:dyDescent="0.3"/>
  <sheetData>
    <row r="1" spans="1:11" x14ac:dyDescent="0.3">
      <c r="A1" t="s">
        <v>50</v>
      </c>
      <c r="B1" t="s">
        <v>51</v>
      </c>
      <c r="C1" t="s">
        <v>52</v>
      </c>
      <c r="F1" t="s">
        <v>50</v>
      </c>
      <c r="G1" t="s">
        <v>51</v>
      </c>
      <c r="H1" t="s">
        <v>52</v>
      </c>
    </row>
    <row r="2" spans="1:11" x14ac:dyDescent="0.3">
      <c r="A2" t="s">
        <v>53</v>
      </c>
      <c r="B2">
        <v>1.5</v>
      </c>
      <c r="C2">
        <v>2.1852267684473192</v>
      </c>
      <c r="F2" t="s">
        <v>53</v>
      </c>
      <c r="G2">
        <f>AVERAGE(B2:B5)</f>
        <v>1.6274999999999999</v>
      </c>
      <c r="H2">
        <f>AVERAGE(C2:C3)</f>
        <v>1.8424602674721711</v>
      </c>
    </row>
    <row r="3" spans="1:11" x14ac:dyDescent="0.3">
      <c r="A3" t="s">
        <v>53</v>
      </c>
      <c r="B3">
        <v>1.84</v>
      </c>
      <c r="C3">
        <v>1.4996937664970227</v>
      </c>
      <c r="F3" t="s">
        <v>54</v>
      </c>
      <c r="G3">
        <f>AVERAGE(B6:B9)</f>
        <v>2.9950000000000001</v>
      </c>
      <c r="H3">
        <f>AVERAGE(C6:C7)</f>
        <v>2.6559723679803797</v>
      </c>
      <c r="K3">
        <v>6.1990636188620174</v>
      </c>
    </row>
    <row r="4" spans="1:11" x14ac:dyDescent="0.3">
      <c r="A4" t="s">
        <v>53</v>
      </c>
      <c r="B4">
        <v>1.53</v>
      </c>
      <c r="F4" t="s">
        <v>55</v>
      </c>
      <c r="G4">
        <f>AVERAGE(B10:B13)</f>
        <v>4.88</v>
      </c>
      <c r="H4">
        <f>AVERAGE(C10:C11)</f>
        <v>3.7577615886813449</v>
      </c>
      <c r="K4">
        <v>2.1852267684473192</v>
      </c>
    </row>
    <row r="5" spans="1:11" x14ac:dyDescent="0.3">
      <c r="A5" t="s">
        <v>53</v>
      </c>
      <c r="B5">
        <v>1.64</v>
      </c>
      <c r="F5" t="s">
        <v>14</v>
      </c>
      <c r="G5">
        <f>AVERAGE(B14:B17)</f>
        <v>6.9649999999999999</v>
      </c>
      <c r="H5">
        <f>AVERAGE(C14:C15)</f>
        <v>6.1636234627571884</v>
      </c>
      <c r="K5">
        <v>1.4996937664970227</v>
      </c>
    </row>
    <row r="6" spans="1:11" x14ac:dyDescent="0.3">
      <c r="A6" t="s">
        <v>54</v>
      </c>
      <c r="B6">
        <v>3.02</v>
      </c>
      <c r="C6">
        <v>4.4485366009340384</v>
      </c>
      <c r="F6" t="s">
        <v>56</v>
      </c>
      <c r="G6">
        <f>AVERAGE(B18:B21)</f>
        <v>4.3775000000000004</v>
      </c>
      <c r="H6">
        <f>AVERAGE(C18:C19)</f>
        <v>5.9847484911151678</v>
      </c>
      <c r="K6">
        <v>4.4485366009340384</v>
      </c>
    </row>
    <row r="7" spans="1:11" x14ac:dyDescent="0.3">
      <c r="A7" t="s">
        <v>54</v>
      </c>
      <c r="B7">
        <v>3.06</v>
      </c>
      <c r="C7">
        <v>0.8634081350267212</v>
      </c>
      <c r="F7" t="s">
        <v>57</v>
      </c>
      <c r="G7">
        <f>AVERAGE(B22:B25)</f>
        <v>9.1625000000000014</v>
      </c>
      <c r="H7">
        <f>AVERAGE(C22:C23)</f>
        <v>8.8302314272957556</v>
      </c>
      <c r="K7">
        <v>0.8634081350267212</v>
      </c>
    </row>
    <row r="8" spans="1:11" x14ac:dyDescent="0.3">
      <c r="A8" t="s">
        <v>54</v>
      </c>
      <c r="B8">
        <v>2.91</v>
      </c>
      <c r="F8" t="s">
        <v>58</v>
      </c>
      <c r="G8">
        <f>AVERAGE(B26:B29)</f>
        <v>13.2125</v>
      </c>
      <c r="H8">
        <f>AVERAGE(C26:C27)</f>
        <v>13.506091754237465</v>
      </c>
      <c r="K8">
        <v>3.6577526144235009</v>
      </c>
    </row>
    <row r="9" spans="1:11" x14ac:dyDescent="0.3">
      <c r="A9" t="s">
        <v>54</v>
      </c>
      <c r="B9">
        <v>2.99</v>
      </c>
      <c r="F9" t="s">
        <v>59</v>
      </c>
      <c r="G9">
        <f>AVERAGE(B30:B33)</f>
        <v>17.5275</v>
      </c>
      <c r="H9">
        <f>AVERAGE(C30:C31)</f>
        <v>17.229549821070641</v>
      </c>
      <c r="K9">
        <v>3.8577705629391899</v>
      </c>
    </row>
    <row r="10" spans="1:11" x14ac:dyDescent="0.3">
      <c r="A10" t="s">
        <v>55</v>
      </c>
      <c r="B10">
        <v>5.45</v>
      </c>
      <c r="C10">
        <v>3.6577526144235009</v>
      </c>
      <c r="K10">
        <v>16.376189303268454</v>
      </c>
    </row>
    <row r="11" spans="1:11" x14ac:dyDescent="0.3">
      <c r="A11" t="s">
        <v>55</v>
      </c>
      <c r="B11">
        <v>4.67</v>
      </c>
      <c r="C11">
        <v>3.8577705629391894</v>
      </c>
      <c r="K11">
        <v>18.082910338872829</v>
      </c>
    </row>
    <row r="12" spans="1:11" x14ac:dyDescent="0.3">
      <c r="A12" t="s">
        <v>55</v>
      </c>
      <c r="B12">
        <v>4.79</v>
      </c>
      <c r="K12">
        <v>7.3091152313007441</v>
      </c>
    </row>
    <row r="13" spans="1:11" x14ac:dyDescent="0.3">
      <c r="A13" t="s">
        <v>55</v>
      </c>
      <c r="B13">
        <v>4.6100000000000003</v>
      </c>
      <c r="K13">
        <v>4.6603817509295924</v>
      </c>
    </row>
    <row r="14" spans="1:11" x14ac:dyDescent="0.3">
      <c r="A14" t="s">
        <v>14</v>
      </c>
      <c r="B14">
        <v>6.91</v>
      </c>
      <c r="C14">
        <v>6.1281833066523603</v>
      </c>
      <c r="K14">
        <v>8.3393707334917071</v>
      </c>
    </row>
    <row r="15" spans="1:11" x14ac:dyDescent="0.3">
      <c r="A15" t="s">
        <v>14</v>
      </c>
      <c r="B15">
        <v>7.05</v>
      </c>
      <c r="C15">
        <v>6.1990636188620174</v>
      </c>
      <c r="K15">
        <v>9.3210921210998041</v>
      </c>
    </row>
    <row r="16" spans="1:11" x14ac:dyDescent="0.3">
      <c r="A16" t="s">
        <v>14</v>
      </c>
      <c r="B16">
        <v>7.14</v>
      </c>
      <c r="K16">
        <v>13.388538612475458</v>
      </c>
    </row>
    <row r="17" spans="1:11" x14ac:dyDescent="0.3">
      <c r="A17" t="s">
        <v>14</v>
      </c>
      <c r="B17">
        <v>6.76</v>
      </c>
      <c r="K17">
        <v>13.623644895999472</v>
      </c>
    </row>
    <row r="18" spans="1:11" x14ac:dyDescent="0.3">
      <c r="A18" t="s">
        <v>56</v>
      </c>
      <c r="B18">
        <v>4.1500000000000004</v>
      </c>
      <c r="C18">
        <v>7.3091152313007441</v>
      </c>
    </row>
    <row r="19" spans="1:11" x14ac:dyDescent="0.3">
      <c r="A19" t="s">
        <v>56</v>
      </c>
      <c r="B19">
        <v>4.6100000000000003</v>
      </c>
      <c r="C19">
        <v>4.6603817509295924</v>
      </c>
    </row>
    <row r="20" spans="1:11" x14ac:dyDescent="0.3">
      <c r="A20" t="s">
        <v>56</v>
      </c>
      <c r="B20">
        <v>4.17</v>
      </c>
    </row>
    <row r="21" spans="1:11" x14ac:dyDescent="0.3">
      <c r="A21" t="s">
        <v>56</v>
      </c>
      <c r="B21">
        <v>4.58</v>
      </c>
    </row>
    <row r="22" spans="1:11" x14ac:dyDescent="0.3">
      <c r="A22" t="s">
        <v>57</v>
      </c>
      <c r="B22">
        <v>8.9499999999999993</v>
      </c>
      <c r="C22">
        <v>8.3393707334917071</v>
      </c>
    </row>
    <row r="23" spans="1:11" x14ac:dyDescent="0.3">
      <c r="A23" t="s">
        <v>57</v>
      </c>
      <c r="B23">
        <v>9.4700000000000006</v>
      </c>
      <c r="C23">
        <v>9.3210921210998041</v>
      </c>
    </row>
    <row r="24" spans="1:11" x14ac:dyDescent="0.3">
      <c r="A24" t="s">
        <v>57</v>
      </c>
      <c r="B24">
        <v>9.5</v>
      </c>
    </row>
    <row r="25" spans="1:11" x14ac:dyDescent="0.3">
      <c r="A25" t="s">
        <v>57</v>
      </c>
      <c r="B25">
        <v>8.73</v>
      </c>
    </row>
    <row r="26" spans="1:11" x14ac:dyDescent="0.3">
      <c r="A26" t="s">
        <v>58</v>
      </c>
      <c r="B26">
        <v>13.49</v>
      </c>
      <c r="C26">
        <v>13.388538612475458</v>
      </c>
    </row>
    <row r="27" spans="1:11" x14ac:dyDescent="0.3">
      <c r="A27" t="s">
        <v>58</v>
      </c>
      <c r="B27">
        <v>12.84</v>
      </c>
      <c r="C27">
        <v>13.623644895999472</v>
      </c>
    </row>
    <row r="28" spans="1:11" x14ac:dyDescent="0.3">
      <c r="A28" t="s">
        <v>58</v>
      </c>
      <c r="B28">
        <v>13.23</v>
      </c>
    </row>
    <row r="29" spans="1:11" x14ac:dyDescent="0.3">
      <c r="A29" t="s">
        <v>58</v>
      </c>
      <c r="B29">
        <v>13.29</v>
      </c>
    </row>
    <row r="30" spans="1:11" x14ac:dyDescent="0.3">
      <c r="A30" t="s">
        <v>60</v>
      </c>
      <c r="B30">
        <v>17.440000000000001</v>
      </c>
      <c r="C30">
        <v>16.376189303268454</v>
      </c>
    </row>
    <row r="31" spans="1:11" x14ac:dyDescent="0.3">
      <c r="A31" t="s">
        <v>60</v>
      </c>
      <c r="B31">
        <v>17.88</v>
      </c>
      <c r="C31">
        <v>18.082910338872829</v>
      </c>
    </row>
    <row r="32" spans="1:11" x14ac:dyDescent="0.3">
      <c r="A32" t="s">
        <v>60</v>
      </c>
      <c r="B32">
        <v>17.670000000000002</v>
      </c>
    </row>
    <row r="33" spans="1:2" x14ac:dyDescent="0.3">
      <c r="A33" t="s">
        <v>60</v>
      </c>
      <c r="B33">
        <v>17.12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90386-F6A4-4610-8087-918987941A86}">
  <dimension ref="A1:AN81"/>
  <sheetViews>
    <sheetView topLeftCell="AA49" workbookViewId="0">
      <selection activeCell="AL18" sqref="AL18:AL81"/>
    </sheetView>
  </sheetViews>
  <sheetFormatPr defaultRowHeight="14.4" x14ac:dyDescent="0.3"/>
  <sheetData>
    <row r="1" spans="1:37" ht="15" thickBot="1" x14ac:dyDescent="0.35">
      <c r="A1" s="59" t="s">
        <v>26</v>
      </c>
      <c r="B1" s="3" t="s">
        <v>2</v>
      </c>
      <c r="C1" s="3" t="s">
        <v>3</v>
      </c>
      <c r="D1" s="3" t="s">
        <v>50</v>
      </c>
      <c r="E1" s="3" t="s">
        <v>27</v>
      </c>
      <c r="F1" s="3" t="s">
        <v>28</v>
      </c>
      <c r="G1" s="3" t="s">
        <v>49</v>
      </c>
      <c r="H1" s="3" t="s">
        <v>30</v>
      </c>
      <c r="I1" s="60" t="s">
        <v>31</v>
      </c>
      <c r="J1" s="2" t="s">
        <v>28</v>
      </c>
      <c r="K1" s="2" t="s">
        <v>101</v>
      </c>
      <c r="L1" s="2" t="s">
        <v>30</v>
      </c>
      <c r="M1" s="4" t="s">
        <v>31</v>
      </c>
      <c r="Q1" t="s">
        <v>127</v>
      </c>
      <c r="R1" t="s">
        <v>128</v>
      </c>
      <c r="S1" t="s">
        <v>129</v>
      </c>
      <c r="T1" t="s">
        <v>130</v>
      </c>
      <c r="U1" t="s">
        <v>131</v>
      </c>
      <c r="V1" t="s">
        <v>132</v>
      </c>
      <c r="W1" t="s">
        <v>133</v>
      </c>
      <c r="X1" t="s">
        <v>134</v>
      </c>
      <c r="Y1" t="s">
        <v>135</v>
      </c>
      <c r="Z1" t="s">
        <v>136</v>
      </c>
      <c r="AA1" t="s">
        <v>137</v>
      </c>
      <c r="AF1" t="s">
        <v>163</v>
      </c>
      <c r="AG1" t="s">
        <v>164</v>
      </c>
      <c r="AH1" t="s">
        <v>165</v>
      </c>
      <c r="AI1" t="s">
        <v>177</v>
      </c>
      <c r="AJ1" t="s">
        <v>178</v>
      </c>
      <c r="AK1" t="s">
        <v>179</v>
      </c>
    </row>
    <row r="2" spans="1:37" x14ac:dyDescent="0.3">
      <c r="A2" s="61" t="s">
        <v>14</v>
      </c>
      <c r="B2" t="s">
        <v>15</v>
      </c>
      <c r="C2" t="s">
        <v>15</v>
      </c>
      <c r="D2" t="s">
        <v>14</v>
      </c>
      <c r="E2" t="s">
        <v>32</v>
      </c>
      <c r="F2">
        <v>4.01</v>
      </c>
      <c r="G2">
        <v>2.04</v>
      </c>
      <c r="H2">
        <v>3.12</v>
      </c>
      <c r="I2" s="172">
        <v>3.17</v>
      </c>
      <c r="J2" s="1">
        <f>0.9847*(F2)+0.019</f>
        <v>3.9676469999999999</v>
      </c>
      <c r="K2" s="2">
        <f>0.9847*(G2)+0.019</f>
        <v>2.0277880000000001</v>
      </c>
      <c r="L2" s="2">
        <f>0.9847*(H2)+0.019</f>
        <v>3.0912640000000002</v>
      </c>
      <c r="M2" s="4">
        <f>0.9847*(I2)+0.019</f>
        <v>3.1404990000000002</v>
      </c>
      <c r="Q2">
        <f>AVERAGE(J2:J5)</f>
        <v>4.0070350000000001</v>
      </c>
      <c r="R2">
        <f t="shared" ref="R2:T2" si="0">AVERAGE(K2:K5)</f>
        <v>2.3675095000000002</v>
      </c>
      <c r="S2">
        <f t="shared" si="0"/>
        <v>3.3571330000000001</v>
      </c>
      <c r="T2">
        <f>AVERAGE(M2:M5)</f>
        <v>3.2241985</v>
      </c>
      <c r="U2">
        <f>_xlfn.STDEV.S(J2:J5)</f>
        <v>0.1977588808709568</v>
      </c>
      <c r="V2">
        <f>_xlfn.STDEV.S(K2:K5)</f>
        <v>0.23530003514449371</v>
      </c>
      <c r="W2">
        <f>_xlfn.STDEV.S(L2:L5)</f>
        <v>0.25614821247993635</v>
      </c>
      <c r="X2">
        <f>_xlfn.STDEV.S(M2:M5)</f>
        <v>0.25934587852839824</v>
      </c>
      <c r="AF2">
        <f>M2-J2</f>
        <v>-0.82714799999999977</v>
      </c>
      <c r="AG2">
        <f>AVERAGE(AF2:AF5)</f>
        <v>-0.78283649999999994</v>
      </c>
      <c r="AH2">
        <f>_xlfn.STDEV.S(AF2:AF5)</f>
        <v>0.44725329821813503</v>
      </c>
    </row>
    <row r="3" spans="1:37" x14ac:dyDescent="0.3">
      <c r="A3" s="61" t="s">
        <v>14</v>
      </c>
      <c r="B3" t="s">
        <v>15</v>
      </c>
      <c r="C3" t="s">
        <v>15</v>
      </c>
      <c r="D3" t="s">
        <v>14</v>
      </c>
      <c r="E3" t="s">
        <v>33</v>
      </c>
      <c r="F3">
        <v>3.88</v>
      </c>
      <c r="G3">
        <v>2.56</v>
      </c>
      <c r="H3">
        <v>3.48</v>
      </c>
      <c r="I3" s="172">
        <v>3.45</v>
      </c>
      <c r="J3" s="61">
        <f>0.9847*(F3)+0.019</f>
        <v>3.839636</v>
      </c>
      <c r="K3" s="172">
        <f>0.9847*(G3)+0.019</f>
        <v>2.5398320000000001</v>
      </c>
      <c r="L3" s="172">
        <f>0.9847*(H3)+0.019</f>
        <v>3.4457560000000003</v>
      </c>
      <c r="M3" s="7">
        <f>0.9847*(I3)+0.019</f>
        <v>3.4162150000000002</v>
      </c>
      <c r="AF3">
        <f t="shared" ref="AF3:AF66" si="1">M3-J3</f>
        <v>-0.42342099999999983</v>
      </c>
    </row>
    <row r="4" spans="1:37" x14ac:dyDescent="0.3">
      <c r="A4" s="61" t="s">
        <v>14</v>
      </c>
      <c r="B4" t="s">
        <v>15</v>
      </c>
      <c r="C4" t="s">
        <v>15</v>
      </c>
      <c r="D4" t="s">
        <v>14</v>
      </c>
      <c r="E4" t="s">
        <v>34</v>
      </c>
      <c r="F4">
        <v>4.34</v>
      </c>
      <c r="G4">
        <v>2.41</v>
      </c>
      <c r="H4">
        <v>3.25</v>
      </c>
      <c r="I4" s="172">
        <v>2.92</v>
      </c>
      <c r="J4" s="61">
        <f>0.9847*(F4)+0.019</f>
        <v>4.2925979999999999</v>
      </c>
      <c r="K4" s="172">
        <f>0.9847*(G4)+0.019</f>
        <v>2.3921270000000003</v>
      </c>
      <c r="L4" s="172">
        <f>0.9847*(H4)+0.019</f>
        <v>3.2192750000000001</v>
      </c>
      <c r="M4" s="7">
        <f>0.9847*(I4)+0.019</f>
        <v>2.8943240000000001</v>
      </c>
      <c r="AF4">
        <f t="shared" si="1"/>
        <v>-1.3982739999999998</v>
      </c>
    </row>
    <row r="5" spans="1:37" ht="15" thickBot="1" x14ac:dyDescent="0.35">
      <c r="A5" s="62" t="s">
        <v>14</v>
      </c>
      <c r="B5" s="9" t="s">
        <v>15</v>
      </c>
      <c r="C5" s="9" t="s">
        <v>15</v>
      </c>
      <c r="D5" s="9" t="s">
        <v>14</v>
      </c>
      <c r="E5" s="9" t="s">
        <v>35</v>
      </c>
      <c r="F5" s="9">
        <v>3.97</v>
      </c>
      <c r="G5" s="9">
        <v>2.5299999999999998</v>
      </c>
      <c r="H5" s="9">
        <v>3.71</v>
      </c>
      <c r="I5" s="9">
        <v>3.48</v>
      </c>
      <c r="J5" s="62">
        <f>0.9847*(F5)+0.019</f>
        <v>3.9282590000000006</v>
      </c>
      <c r="K5" s="9">
        <f>0.9847*(G5)+0.019</f>
        <v>2.5102910000000001</v>
      </c>
      <c r="L5" s="9">
        <f>0.9847*(H5)+0.019</f>
        <v>3.672237</v>
      </c>
      <c r="M5" s="10">
        <f>0.9847*(I5)+0.019</f>
        <v>3.4457560000000003</v>
      </c>
      <c r="AF5">
        <f t="shared" si="1"/>
        <v>-0.48250300000000035</v>
      </c>
    </row>
    <row r="6" spans="1:37" x14ac:dyDescent="0.3">
      <c r="A6" s="61" t="s">
        <v>16</v>
      </c>
      <c r="B6" t="s">
        <v>15</v>
      </c>
      <c r="C6" t="s">
        <v>15</v>
      </c>
      <c r="D6" t="s">
        <v>16</v>
      </c>
      <c r="E6" t="s">
        <v>32</v>
      </c>
      <c r="F6">
        <v>4.2</v>
      </c>
      <c r="G6">
        <v>2.5499999999999998</v>
      </c>
      <c r="H6">
        <v>2.87</v>
      </c>
      <c r="I6" s="7">
        <v>3.21</v>
      </c>
      <c r="J6" s="1">
        <f>0.9847*(F6)+0.019</f>
        <v>4.1547400000000003</v>
      </c>
      <c r="K6" s="2">
        <f>0.9847*(G6)+0.019</f>
        <v>2.5299849999999999</v>
      </c>
      <c r="L6" s="2">
        <f>0.9847*(H6)+0.019</f>
        <v>2.8450890000000002</v>
      </c>
      <c r="M6" s="4">
        <f>0.9847*(I6)+0.019</f>
        <v>3.1798870000000004</v>
      </c>
      <c r="Q6">
        <f>AVERAGE(J6:J9)</f>
        <v>4.309830250000001</v>
      </c>
      <c r="R6">
        <f t="shared" ref="R6" si="2">AVERAGE(K6:K9)</f>
        <v>2.3896652500000002</v>
      </c>
      <c r="S6">
        <f t="shared" ref="S6" si="3">AVERAGE(L6:L9)</f>
        <v>3.2562012500000002</v>
      </c>
      <c r="T6">
        <f>AVERAGE(M6:M9)</f>
        <v>3.13803725</v>
      </c>
      <c r="U6">
        <f>_xlfn.STDEV.S(J6:J9)</f>
        <v>0.25148436038897132</v>
      </c>
      <c r="V6">
        <f>_xlfn.STDEV.S(K6:K9)</f>
        <v>0.20909906067440051</v>
      </c>
      <c r="W6">
        <f>_xlfn.STDEV.S(L6:L9)</f>
        <v>0.30997202782657124</v>
      </c>
      <c r="X6">
        <f>_xlfn.STDEV.S(M6:M9)</f>
        <v>0.51143609186445393</v>
      </c>
      <c r="AF6">
        <f t="shared" si="1"/>
        <v>-0.97485299999999997</v>
      </c>
      <c r="AG6">
        <f t="shared" ref="AG6" si="4">AVERAGE(AF6:AF9)</f>
        <v>-1.1717930000000003</v>
      </c>
      <c r="AH6">
        <f t="shared" ref="AH6" si="5">_xlfn.STDEV.S(AF6:AF9)</f>
        <v>0.63251168015618475</v>
      </c>
    </row>
    <row r="7" spans="1:37" x14ac:dyDescent="0.3">
      <c r="A7" s="61" t="s">
        <v>16</v>
      </c>
      <c r="B7" t="s">
        <v>15</v>
      </c>
      <c r="C7" t="s">
        <v>15</v>
      </c>
      <c r="D7" t="s">
        <v>16</v>
      </c>
      <c r="E7" t="s">
        <v>33</v>
      </c>
      <c r="F7">
        <v>4.7</v>
      </c>
      <c r="G7">
        <v>2.15</v>
      </c>
      <c r="H7">
        <v>3.25</v>
      </c>
      <c r="I7" s="7">
        <v>2.63</v>
      </c>
      <c r="J7" s="61">
        <f>0.9847*(F7)+0.019</f>
        <v>4.6470900000000004</v>
      </c>
      <c r="K7" s="172">
        <f>0.9847*(G7)+0.019</f>
        <v>2.1361050000000001</v>
      </c>
      <c r="L7" s="172">
        <f>0.9847*(H7)+0.019</f>
        <v>3.2192750000000001</v>
      </c>
      <c r="M7" s="7">
        <f>0.9847*(I7)+0.019</f>
        <v>2.6087609999999999</v>
      </c>
      <c r="AF7">
        <f t="shared" si="1"/>
        <v>-2.0383290000000005</v>
      </c>
    </row>
    <row r="8" spans="1:37" x14ac:dyDescent="0.3">
      <c r="A8" s="61" t="s">
        <v>16</v>
      </c>
      <c r="B8" t="s">
        <v>15</v>
      </c>
      <c r="C8" t="s">
        <v>15</v>
      </c>
      <c r="D8" t="s">
        <v>16</v>
      </c>
      <c r="E8" t="s">
        <v>34</v>
      </c>
      <c r="F8">
        <v>4.13</v>
      </c>
      <c r="G8">
        <v>2.3199999999999998</v>
      </c>
      <c r="H8">
        <v>3.42</v>
      </c>
      <c r="I8" s="7">
        <v>2.97</v>
      </c>
      <c r="J8" s="61">
        <f>0.9847*(F8)+0.019</f>
        <v>4.0858110000000005</v>
      </c>
      <c r="K8" s="172">
        <f>0.9847*(G8)+0.019</f>
        <v>2.3035040000000002</v>
      </c>
      <c r="L8" s="172">
        <f>0.9847*(H8)+0.019</f>
        <v>3.3866740000000002</v>
      </c>
      <c r="M8" s="7">
        <f>0.9847*(I8)+0.019</f>
        <v>2.9435590000000005</v>
      </c>
      <c r="AF8">
        <f t="shared" si="1"/>
        <v>-1.142252</v>
      </c>
    </row>
    <row r="9" spans="1:37" ht="15" thickBot="1" x14ac:dyDescent="0.35">
      <c r="A9" s="62" t="s">
        <v>16</v>
      </c>
      <c r="B9" s="9" t="s">
        <v>15</v>
      </c>
      <c r="C9" s="9" t="s">
        <v>15</v>
      </c>
      <c r="D9" s="9" t="s">
        <v>16</v>
      </c>
      <c r="E9" s="9" t="s">
        <v>35</v>
      </c>
      <c r="F9" s="9">
        <v>4.4000000000000004</v>
      </c>
      <c r="G9" s="9">
        <v>2.61</v>
      </c>
      <c r="H9" s="9">
        <v>3.61</v>
      </c>
      <c r="I9" s="10">
        <v>3.86</v>
      </c>
      <c r="J9" s="62">
        <f>0.9847*(F9)+0.019</f>
        <v>4.3516800000000009</v>
      </c>
      <c r="K9" s="9">
        <f>0.9847*(G9)+0.019</f>
        <v>2.589067</v>
      </c>
      <c r="L9" s="9">
        <f>0.9847*(H9)+0.019</f>
        <v>3.5737670000000001</v>
      </c>
      <c r="M9" s="10">
        <f>0.9847*(I9)+0.019</f>
        <v>3.8199420000000002</v>
      </c>
      <c r="AF9">
        <f t="shared" si="1"/>
        <v>-0.53173800000000071</v>
      </c>
    </row>
    <row r="10" spans="1:37" x14ac:dyDescent="0.3">
      <c r="A10" s="61" t="s">
        <v>36</v>
      </c>
      <c r="B10" t="s">
        <v>15</v>
      </c>
      <c r="C10" t="s">
        <v>19</v>
      </c>
      <c r="D10" t="s">
        <v>36</v>
      </c>
      <c r="E10" t="s">
        <v>32</v>
      </c>
      <c r="F10">
        <v>3.71</v>
      </c>
      <c r="G10">
        <v>2.63</v>
      </c>
      <c r="H10">
        <v>5.0599999999999996</v>
      </c>
      <c r="I10" s="7">
        <v>8.64</v>
      </c>
      <c r="J10" s="1">
        <f>0.9847*(F10)+0.019</f>
        <v>3.672237</v>
      </c>
      <c r="K10" s="2">
        <f>0.9847*(G10)+0.019</f>
        <v>2.6087609999999999</v>
      </c>
      <c r="L10" s="2">
        <f>0.9847*(H10)+0.019</f>
        <v>5.001582</v>
      </c>
      <c r="M10" s="4">
        <f>0.9847*(I10)+0.019</f>
        <v>8.5268080000000008</v>
      </c>
      <c r="Q10">
        <f>AVERAGE(J10:J13)</f>
        <v>3.7140867500000003</v>
      </c>
      <c r="R10">
        <f t="shared" ref="R10" si="6">AVERAGE(K10:K13)</f>
        <v>2.5225997499999999</v>
      </c>
      <c r="S10">
        <f t="shared" ref="S10" si="7">AVERAGE(L10:L13)</f>
        <v>5.4988555000000003</v>
      </c>
      <c r="T10">
        <f>AVERAGE(M10:M13)</f>
        <v>8.4037205000000004</v>
      </c>
      <c r="U10">
        <f>_xlfn.STDEV.S(J10:J13)</f>
        <v>0.11633776617927347</v>
      </c>
      <c r="V10">
        <f>_xlfn.STDEV.S(K10:K13)</f>
        <v>0.37395919112952747</v>
      </c>
      <c r="W10">
        <f>_xlfn.STDEV.S(L10:L13)</f>
        <v>0.40620118289053136</v>
      </c>
      <c r="X10">
        <f>_xlfn.STDEV.S(M10:M13)</f>
        <v>0.76484001366102683</v>
      </c>
      <c r="AF10">
        <f t="shared" si="1"/>
        <v>4.8545710000000009</v>
      </c>
      <c r="AG10">
        <f t="shared" ref="AG10" si="8">AVERAGE(AF10:AF13)</f>
        <v>4.6896337499999996</v>
      </c>
      <c r="AH10">
        <f>_xlfn.STDEV.S(AF10:AF13)</f>
        <v>0.85498483037239514</v>
      </c>
    </row>
    <row r="11" spans="1:37" x14ac:dyDescent="0.3">
      <c r="A11" s="61" t="s">
        <v>36</v>
      </c>
      <c r="B11" t="s">
        <v>15</v>
      </c>
      <c r="C11" t="s">
        <v>19</v>
      </c>
      <c r="D11" t="s">
        <v>36</v>
      </c>
      <c r="E11" t="s">
        <v>33</v>
      </c>
      <c r="F11">
        <v>3.78</v>
      </c>
      <c r="G11">
        <v>2.15</v>
      </c>
      <c r="H11">
        <v>5.58</v>
      </c>
      <c r="I11" s="7">
        <v>7.68</v>
      </c>
      <c r="J11" s="61">
        <f>0.9847*(F11)+0.019</f>
        <v>3.7411660000000002</v>
      </c>
      <c r="K11" s="172">
        <f>0.9847*(G11)+0.019</f>
        <v>2.1361050000000001</v>
      </c>
      <c r="L11" s="172">
        <f>0.9847*(H11)+0.019</f>
        <v>5.5136260000000004</v>
      </c>
      <c r="M11" s="7">
        <f>0.9847*(I11)+0.019</f>
        <v>7.5814959999999996</v>
      </c>
      <c r="AF11">
        <f t="shared" si="1"/>
        <v>3.8403299999999994</v>
      </c>
    </row>
    <row r="12" spans="1:37" x14ac:dyDescent="0.3">
      <c r="A12" s="61" t="s">
        <v>36</v>
      </c>
      <c r="B12" t="s">
        <v>15</v>
      </c>
      <c r="C12" t="s">
        <v>19</v>
      </c>
      <c r="D12" t="s">
        <v>36</v>
      </c>
      <c r="E12" t="s">
        <v>34</v>
      </c>
      <c r="F12">
        <v>3.62</v>
      </c>
      <c r="G12">
        <v>2.36</v>
      </c>
      <c r="H12">
        <v>5.55</v>
      </c>
      <c r="I12" s="7">
        <v>9.52</v>
      </c>
      <c r="J12" s="61">
        <f>0.9847*(F12)+0.019</f>
        <v>3.5836140000000003</v>
      </c>
      <c r="K12" s="172">
        <f>0.9847*(G12)+0.019</f>
        <v>2.342892</v>
      </c>
      <c r="L12" s="172">
        <f>0.9847*(H12)+0.019</f>
        <v>5.4840850000000003</v>
      </c>
      <c r="M12" s="7">
        <f>0.9847*(I12)+0.019</f>
        <v>9.393343999999999</v>
      </c>
      <c r="AF12">
        <f t="shared" si="1"/>
        <v>5.8097299999999983</v>
      </c>
    </row>
    <row r="13" spans="1:37" ht="15" thickBot="1" x14ac:dyDescent="0.35">
      <c r="A13" s="62" t="s">
        <v>36</v>
      </c>
      <c r="B13" s="9" t="s">
        <v>15</v>
      </c>
      <c r="C13" s="9" t="s">
        <v>19</v>
      </c>
      <c r="D13" s="9" t="s">
        <v>36</v>
      </c>
      <c r="E13" s="9" t="s">
        <v>35</v>
      </c>
      <c r="F13" s="9">
        <v>3.9</v>
      </c>
      <c r="G13" s="9">
        <v>3.03</v>
      </c>
      <c r="H13" s="9">
        <v>6.07</v>
      </c>
      <c r="I13" s="10">
        <v>8.2200000000000006</v>
      </c>
      <c r="J13" s="62">
        <f>0.9847*(F13)+0.019</f>
        <v>3.8593299999999999</v>
      </c>
      <c r="K13" s="9">
        <f>0.9847*(G13)+0.019</f>
        <v>3.0026410000000001</v>
      </c>
      <c r="L13" s="9">
        <f>0.9847*(H13)+0.019</f>
        <v>5.9961290000000007</v>
      </c>
      <c r="M13" s="10">
        <f>0.9847*(I13)+0.019</f>
        <v>8.1132340000000003</v>
      </c>
      <c r="AF13">
        <f t="shared" si="1"/>
        <v>4.2539040000000004</v>
      </c>
    </row>
    <row r="14" spans="1:37" x14ac:dyDescent="0.3">
      <c r="A14" s="61" t="s">
        <v>37</v>
      </c>
      <c r="B14" t="s">
        <v>15</v>
      </c>
      <c r="C14" t="s">
        <v>19</v>
      </c>
      <c r="D14" t="s">
        <v>37</v>
      </c>
      <c r="E14" t="s">
        <v>32</v>
      </c>
      <c r="F14">
        <v>3.47</v>
      </c>
      <c r="G14">
        <v>2.81</v>
      </c>
      <c r="H14">
        <v>4.91</v>
      </c>
      <c r="I14" s="7">
        <v>6.76</v>
      </c>
      <c r="J14" s="1">
        <f>0.9847*(F14)+0.019</f>
        <v>3.4359090000000005</v>
      </c>
      <c r="K14" s="2">
        <f>0.9847*(G14)+0.019</f>
        <v>2.7860070000000001</v>
      </c>
      <c r="L14" s="2">
        <f>0.9847*(H14)+0.019</f>
        <v>4.8538770000000007</v>
      </c>
      <c r="M14" s="4">
        <f>0.9847*(I14)+0.019</f>
        <v>6.6755719999999998</v>
      </c>
      <c r="Q14">
        <f>AVERAGE(J14:J17)</f>
        <v>3.5959227500000002</v>
      </c>
      <c r="R14">
        <f t="shared" ref="R14" si="9">AVERAGE(K14:K17)</f>
        <v>2.9189414999999999</v>
      </c>
      <c r="S14">
        <f t="shared" ref="S14" si="10">AVERAGE(L14:L17)</f>
        <v>4.7701775</v>
      </c>
      <c r="T14">
        <f>AVERAGE(M14:M17)</f>
        <v>7.7390480000000004</v>
      </c>
      <c r="U14">
        <f>_xlfn.STDEV.S(J14:J17)</f>
        <v>0.25122718597897931</v>
      </c>
      <c r="V14">
        <f>_xlfn.STDEV.S(K14:K17)</f>
        <v>0.18130249764137288</v>
      </c>
      <c r="W14">
        <f>_xlfn.STDEV.S(L14:L17)</f>
        <v>0.13561241305155938</v>
      </c>
      <c r="X14">
        <f>_xlfn.STDEV.S(M14:M17)</f>
        <v>1.0139063379908362</v>
      </c>
      <c r="AF14">
        <f t="shared" si="1"/>
        <v>3.2396629999999993</v>
      </c>
      <c r="AG14">
        <f t="shared" ref="AG14" si="11">AVERAGE(AF14:AF17)</f>
        <v>4.1431252499999998</v>
      </c>
      <c r="AH14">
        <f t="shared" ref="AH14" si="12">_xlfn.STDEV.S(AF14:AF17)</f>
        <v>1.076296319346544</v>
      </c>
    </row>
    <row r="15" spans="1:37" x14ac:dyDescent="0.3">
      <c r="A15" s="61" t="s">
        <v>37</v>
      </c>
      <c r="B15" t="s">
        <v>15</v>
      </c>
      <c r="C15" t="s">
        <v>19</v>
      </c>
      <c r="D15" t="s">
        <v>37</v>
      </c>
      <c r="E15" t="s">
        <v>33</v>
      </c>
      <c r="F15">
        <v>3.99</v>
      </c>
      <c r="G15">
        <v>2.81</v>
      </c>
      <c r="H15">
        <v>4.9000000000000004</v>
      </c>
      <c r="I15" s="7">
        <v>7.27</v>
      </c>
      <c r="J15" s="61">
        <f>0.9847*(F15)+0.019</f>
        <v>3.9479530000000005</v>
      </c>
      <c r="K15" s="172">
        <f>0.9847*(G15)+0.019</f>
        <v>2.7860070000000001</v>
      </c>
      <c r="L15" s="172">
        <f>0.9847*(H15)+0.019</f>
        <v>4.8440300000000009</v>
      </c>
      <c r="M15" s="7">
        <f>0.9847*(I15)+0.019</f>
        <v>7.1777689999999996</v>
      </c>
      <c r="AF15">
        <f t="shared" si="1"/>
        <v>3.2298159999999991</v>
      </c>
    </row>
    <row r="16" spans="1:37" x14ac:dyDescent="0.3">
      <c r="A16" s="61" t="s">
        <v>37</v>
      </c>
      <c r="B16" t="s">
        <v>15</v>
      </c>
      <c r="C16" t="s">
        <v>19</v>
      </c>
      <c r="D16" t="s">
        <v>37</v>
      </c>
      <c r="E16" t="s">
        <v>34</v>
      </c>
      <c r="F16">
        <v>3.64</v>
      </c>
      <c r="G16">
        <v>3.2</v>
      </c>
      <c r="H16">
        <v>4.87</v>
      </c>
      <c r="I16" s="7">
        <v>9.07</v>
      </c>
      <c r="J16" s="61">
        <f>0.9847*(F16)+0.019</f>
        <v>3.6033080000000002</v>
      </c>
      <c r="K16" s="172">
        <f>0.9847*(G16)+0.019</f>
        <v>3.1700400000000002</v>
      </c>
      <c r="L16" s="172">
        <f>0.9847*(H16)+0.019</f>
        <v>4.814489</v>
      </c>
      <c r="M16" s="7">
        <f>0.9847*(I16)+0.019</f>
        <v>8.9502290000000002</v>
      </c>
      <c r="AF16">
        <f t="shared" si="1"/>
        <v>5.346921</v>
      </c>
    </row>
    <row r="17" spans="1:40" ht="15" thickBot="1" x14ac:dyDescent="0.35">
      <c r="A17" s="62" t="s">
        <v>37</v>
      </c>
      <c r="B17" s="9" t="s">
        <v>15</v>
      </c>
      <c r="C17" s="9" t="s">
        <v>19</v>
      </c>
      <c r="D17" s="9" t="s">
        <v>37</v>
      </c>
      <c r="E17" s="9" t="s">
        <v>35</v>
      </c>
      <c r="F17" s="9">
        <v>3.43</v>
      </c>
      <c r="G17" s="9">
        <v>2.96</v>
      </c>
      <c r="H17" s="9">
        <v>4.62</v>
      </c>
      <c r="I17" s="10">
        <v>8.26</v>
      </c>
      <c r="J17" s="62">
        <f>0.9847*(F17)+0.019</f>
        <v>3.3965210000000003</v>
      </c>
      <c r="K17" s="9">
        <f>0.9847*(G17)+0.019</f>
        <v>2.9337120000000003</v>
      </c>
      <c r="L17" s="9">
        <f>0.9847*(H17)+0.019</f>
        <v>4.568314</v>
      </c>
      <c r="M17" s="10">
        <f>0.9847*(I17)+0.019</f>
        <v>8.1526220000000009</v>
      </c>
      <c r="AF17">
        <f t="shared" si="1"/>
        <v>4.756101000000001</v>
      </c>
    </row>
    <row r="18" spans="1:40" x14ac:dyDescent="0.3">
      <c r="A18" s="63" t="s">
        <v>41</v>
      </c>
      <c r="B18" s="64" t="s">
        <v>21</v>
      </c>
      <c r="C18" s="64" t="s">
        <v>15</v>
      </c>
      <c r="D18" s="64" t="str">
        <f>A18&amp;B18</f>
        <v>Carblow</v>
      </c>
      <c r="E18" s="64" t="s">
        <v>32</v>
      </c>
      <c r="F18" s="64">
        <v>3.89</v>
      </c>
      <c r="G18" s="64">
        <v>2.83</v>
      </c>
      <c r="H18" s="64">
        <v>3.01</v>
      </c>
      <c r="I18" s="65">
        <v>2.8</v>
      </c>
      <c r="J18" s="173">
        <f>0.9847*(F18)+0.019</f>
        <v>3.8494830000000002</v>
      </c>
      <c r="K18" s="12">
        <f>0.9847*(G18)+0.019</f>
        <v>2.8057010000000004</v>
      </c>
      <c r="L18" s="12">
        <f>0.9847*(H18)+0.019</f>
        <v>2.9829469999999998</v>
      </c>
      <c r="M18" s="13">
        <f>0.9847*(I18)+0.019</f>
        <v>2.77616</v>
      </c>
      <c r="Q18">
        <f>AVERAGE(J18:J21)</f>
        <v>3.8814857500000004</v>
      </c>
      <c r="R18">
        <f t="shared" ref="R18" si="13">AVERAGE(K18:K21)</f>
        <v>2.5398320000000005</v>
      </c>
      <c r="S18">
        <f t="shared" ref="S18" si="14">AVERAGE(L18:L21)</f>
        <v>3.0371055</v>
      </c>
      <c r="T18">
        <f>AVERAGE(M18:M21)</f>
        <v>3.3866740000000002</v>
      </c>
      <c r="U18">
        <f>_xlfn.STDEV.S(J18:J21)</f>
        <v>0.17418802120960189</v>
      </c>
      <c r="V18">
        <f>_xlfn.STDEV.S(K18:K21)</f>
        <v>0.36126548204055831</v>
      </c>
      <c r="W18">
        <f>_xlfn.STDEV.S(L18:L21)</f>
        <v>0.29183247632560255</v>
      </c>
      <c r="X18">
        <f>_xlfn.STDEV.S(M18:M21)</f>
        <v>0.68150915555845459</v>
      </c>
      <c r="Y18">
        <f>((M18-T$6)/T$6)*100</f>
        <v>-11.531961578849966</v>
      </c>
      <c r="Z18">
        <f>AVERAGE(Y18:Y21)</f>
        <v>7.9233205405703906</v>
      </c>
      <c r="AA18">
        <f>_xlfn.STDEV.S(Y18:Y21)</f>
        <v>21.717688518785309</v>
      </c>
      <c r="AB18">
        <f>((M18-$T$2)/$T$2)*100</f>
        <v>-13.896120229570233</v>
      </c>
      <c r="AC18">
        <f>AVERAGE(AB18:AB21)</f>
        <v>5.0392523909430569</v>
      </c>
      <c r="AD18">
        <f>_xlfn.STDEV.S(AB18:AB21)</f>
        <v>21.137320036544157</v>
      </c>
      <c r="AF18">
        <f t="shared" si="1"/>
        <v>-1.0733230000000002</v>
      </c>
      <c r="AG18">
        <f t="shared" ref="AG18" si="15">AVERAGE(AF18:AF21)</f>
        <v>-0.49481175000000033</v>
      </c>
      <c r="AH18">
        <f t="shared" ref="AH18" si="16">_xlfn.STDEV.S(AF18:AF21)</f>
        <v>0.5987200036652498</v>
      </c>
      <c r="AI18">
        <f>((AF18-$AG$6)/$AG$6)*100</f>
        <v>-8.4033613445378172</v>
      </c>
      <c r="AJ18">
        <f>AVERAGE(AI18:AI21)</f>
        <v>-57.773109243697462</v>
      </c>
      <c r="AK18">
        <f>_xlfn.STDEV.S(AI18:AI21)</f>
        <v>51.094348888007502</v>
      </c>
      <c r="AL18">
        <f>((AF18-$AG$2)/$AG$2)*100</f>
        <v>37.10691823899375</v>
      </c>
      <c r="AM18">
        <v>41.095890410958901</v>
      </c>
      <c r="AN18">
        <v>39.859639895516338</v>
      </c>
    </row>
    <row r="19" spans="1:40" x14ac:dyDescent="0.3">
      <c r="A19" s="63" t="s">
        <v>41</v>
      </c>
      <c r="B19" s="64" t="s">
        <v>21</v>
      </c>
      <c r="C19" s="64" t="s">
        <v>15</v>
      </c>
      <c r="D19" s="64" t="str">
        <f t="shared" ref="D19:D49" si="17">A19&amp;B19</f>
        <v>Carblow</v>
      </c>
      <c r="E19" s="64" t="s">
        <v>33</v>
      </c>
      <c r="F19" s="64">
        <v>4.1500000000000004</v>
      </c>
      <c r="G19" s="64">
        <v>2.78</v>
      </c>
      <c r="H19" s="64">
        <v>3.45</v>
      </c>
      <c r="I19" s="65">
        <v>3.76</v>
      </c>
      <c r="J19" s="63">
        <f>0.9847*(F19)+0.019</f>
        <v>4.1055050000000008</v>
      </c>
      <c r="K19" s="174">
        <f>0.9847*(G19)+0.019</f>
        <v>2.7564660000000001</v>
      </c>
      <c r="L19" s="174">
        <f>0.9847*(H19)+0.019</f>
        <v>3.4162150000000002</v>
      </c>
      <c r="M19" s="65">
        <f>0.9847*(I19)+0.019</f>
        <v>3.7214719999999999</v>
      </c>
      <c r="Y19">
        <f t="shared" ref="Y19:Y48" si="18">((M19-T$6)/T$6)*100</f>
        <v>18.592346218962184</v>
      </c>
      <c r="AB19">
        <f t="shared" ref="AB19:AB49" si="19">((M19-$T$2)/$T$2)*100</f>
        <v>15.423166408643882</v>
      </c>
      <c r="AF19">
        <f t="shared" si="1"/>
        <v>-0.38403300000000096</v>
      </c>
      <c r="AI19">
        <f t="shared" ref="AI19:AI49" si="20">((AF19-$AG$6)/$AG$6)*100</f>
        <v>-67.226890756302453</v>
      </c>
      <c r="AL19">
        <f t="shared" ref="AL19:AL49" si="21">((AF19-$AG$2)/$AG$2)*100</f>
        <v>-50.943396226414976</v>
      </c>
    </row>
    <row r="20" spans="1:40" x14ac:dyDescent="0.3">
      <c r="A20" s="63" t="s">
        <v>41</v>
      </c>
      <c r="B20" s="64" t="s">
        <v>21</v>
      </c>
      <c r="C20" s="64" t="s">
        <v>15</v>
      </c>
      <c r="D20" s="64" t="str">
        <f t="shared" si="17"/>
        <v>Carblow</v>
      </c>
      <c r="E20" s="64" t="s">
        <v>34</v>
      </c>
      <c r="F20" s="64">
        <v>3.72</v>
      </c>
      <c r="G20" s="64">
        <v>2.6</v>
      </c>
      <c r="H20" s="64">
        <v>3.07</v>
      </c>
      <c r="I20" s="65">
        <v>2.89</v>
      </c>
      <c r="J20" s="63">
        <f>0.9847*(F20)+0.019</f>
        <v>3.6820840000000006</v>
      </c>
      <c r="K20" s="174">
        <f>0.9847*(G20)+0.019</f>
        <v>2.5792200000000003</v>
      </c>
      <c r="L20" s="174">
        <f>0.9847*(H20)+0.019</f>
        <v>3.0420289999999999</v>
      </c>
      <c r="M20" s="65">
        <f>0.9847*(I20)+0.019</f>
        <v>2.8647830000000005</v>
      </c>
      <c r="Y20">
        <f t="shared" si="18"/>
        <v>-8.7078077228050574</v>
      </c>
      <c r="AB20">
        <f t="shared" si="19"/>
        <v>-11.147437107237643</v>
      </c>
      <c r="AF20">
        <f t="shared" si="1"/>
        <v>-0.81730100000000006</v>
      </c>
      <c r="AI20">
        <f t="shared" si="20"/>
        <v>-30.252100840336148</v>
      </c>
      <c r="AL20">
        <f>((AF20-$AG$2)/$AG$2)*100</f>
        <v>4.4025157232704561</v>
      </c>
    </row>
    <row r="21" spans="1:40" ht="15" thickBot="1" x14ac:dyDescent="0.35">
      <c r="A21" s="136" t="s">
        <v>41</v>
      </c>
      <c r="B21" s="67" t="s">
        <v>21</v>
      </c>
      <c r="C21" s="67" t="s">
        <v>15</v>
      </c>
      <c r="D21" s="67" t="str">
        <f t="shared" si="17"/>
        <v>Carblow</v>
      </c>
      <c r="E21" s="67" t="s">
        <v>35</v>
      </c>
      <c r="F21" s="67">
        <v>3.93</v>
      </c>
      <c r="G21" s="67">
        <v>2.0299999999999998</v>
      </c>
      <c r="H21" s="67">
        <v>2.73</v>
      </c>
      <c r="I21" s="68">
        <v>4.2300000000000004</v>
      </c>
      <c r="J21" s="136">
        <f>0.9847*(F21)+0.019</f>
        <v>3.8888710000000004</v>
      </c>
      <c r="K21" s="67">
        <f>0.9847*(G21)+0.019</f>
        <v>2.017941</v>
      </c>
      <c r="L21" s="67">
        <f>0.9847*(H21)+0.019</f>
        <v>2.7072310000000002</v>
      </c>
      <c r="M21" s="68">
        <f>0.9847*(I21)+0.019</f>
        <v>4.1842810000000004</v>
      </c>
      <c r="Y21">
        <f t="shared" si="18"/>
        <v>33.340705244974401</v>
      </c>
      <c r="AB21">
        <f t="shared" si="19"/>
        <v>29.777400491936223</v>
      </c>
      <c r="AF21">
        <f t="shared" si="1"/>
        <v>0.29540999999999995</v>
      </c>
      <c r="AI21">
        <f t="shared" si="20"/>
        <v>-125.21008403361344</v>
      </c>
      <c r="AL21">
        <f t="shared" si="21"/>
        <v>-137.73584905660377</v>
      </c>
    </row>
    <row r="22" spans="1:40" x14ac:dyDescent="0.3">
      <c r="A22" s="69" t="s">
        <v>41</v>
      </c>
      <c r="B22" s="15" t="s">
        <v>22</v>
      </c>
      <c r="C22" s="15" t="s">
        <v>15</v>
      </c>
      <c r="D22" s="15" t="str">
        <f t="shared" si="17"/>
        <v>Carbhigh</v>
      </c>
      <c r="E22" s="15" t="s">
        <v>32</v>
      </c>
      <c r="F22" s="15">
        <v>3.65</v>
      </c>
      <c r="G22" s="15">
        <v>1.95</v>
      </c>
      <c r="H22" s="15">
        <v>2.82</v>
      </c>
      <c r="I22" s="16">
        <v>2.5</v>
      </c>
      <c r="J22" s="175">
        <f>0.9847*(F22)+0.019</f>
        <v>3.6131549999999999</v>
      </c>
      <c r="K22" s="176">
        <f>0.9847*(G22)+0.019</f>
        <v>1.9391649999999998</v>
      </c>
      <c r="L22" s="176">
        <f>0.9847*(H22)+0.019</f>
        <v>2.7958539999999998</v>
      </c>
      <c r="M22" s="177">
        <f>0.9847*(I22)+0.019</f>
        <v>2.48075</v>
      </c>
      <c r="Q22">
        <f>AVERAGE(J22:J25)</f>
        <v>3.8051715000000002</v>
      </c>
      <c r="R22">
        <f t="shared" ref="R22" si="22">AVERAGE(K22:K25)</f>
        <v>1.8874682499999997</v>
      </c>
      <c r="S22">
        <f t="shared" ref="S22" si="23">AVERAGE(L22:L25)</f>
        <v>2.2911952500000003</v>
      </c>
      <c r="T22">
        <f>AVERAGE(M22:M25)</f>
        <v>2.68999875</v>
      </c>
      <c r="U22">
        <f>_xlfn.STDEV.S(J22:J25)</f>
        <v>0.16408384005034346</v>
      </c>
      <c r="V22">
        <f>_xlfn.STDEV.S(K22:K25)</f>
        <v>0.16967631593394722</v>
      </c>
      <c r="W22">
        <f>_xlfn.STDEV.S(L22:L25)</f>
        <v>0.38427489070054405</v>
      </c>
      <c r="X22">
        <f>_xlfn.STDEV.S(M22:M25)</f>
        <v>0.63079111369421204</v>
      </c>
      <c r="Y22">
        <f t="shared" si="18"/>
        <v>-20.94580776566626</v>
      </c>
      <c r="Z22">
        <f>AVERAGE(Y22:Y25)</f>
        <v>-14.277666716671376</v>
      </c>
      <c r="AA22">
        <f>_xlfn.STDEV.S(Y22:Y25)</f>
        <v>20.101453980325161</v>
      </c>
      <c r="AB22">
        <f t="shared" si="19"/>
        <v>-23.058397304012143</v>
      </c>
      <c r="AC22">
        <f>AVERAGE(AB22:AB25)</f>
        <v>-16.568451042949118</v>
      </c>
      <c r="AD22">
        <f>_xlfn.STDEV.S(AB22:AB25)</f>
        <v>19.564276631671756</v>
      </c>
      <c r="AF22">
        <f t="shared" si="1"/>
        <v>-1.1324049999999999</v>
      </c>
      <c r="AG22">
        <f t="shared" ref="AG22" si="24">AVERAGE(AF22:AF25)</f>
        <v>-1.1151727499999999</v>
      </c>
      <c r="AH22">
        <f t="shared" ref="AH22" si="25">_xlfn.STDEV.S(AF22:AF25)</f>
        <v>0.66903463049101541</v>
      </c>
      <c r="AI22">
        <f t="shared" si="20"/>
        <v>-3.3613445378151612</v>
      </c>
      <c r="AJ22">
        <f t="shared" ref="AJ22" si="26">AVERAGE(AI22:AI25)</f>
        <v>-4.8319327731092869</v>
      </c>
      <c r="AK22">
        <f t="shared" ref="AK22" si="27">_xlfn.STDEV.S(AI22:AI25)</f>
        <v>57.094950259219459</v>
      </c>
      <c r="AL22">
        <f t="shared" si="21"/>
        <v>44.654088050314463</v>
      </c>
      <c r="AM22">
        <v>87.671232876712338</v>
      </c>
      <c r="AN22">
        <v>58.814959733670449</v>
      </c>
    </row>
    <row r="23" spans="1:40" x14ac:dyDescent="0.3">
      <c r="A23" s="69" t="s">
        <v>41</v>
      </c>
      <c r="B23" s="15" t="s">
        <v>22</v>
      </c>
      <c r="C23" s="15" t="s">
        <v>15</v>
      </c>
      <c r="D23" s="15" t="str">
        <f t="shared" si="17"/>
        <v>Carbhigh</v>
      </c>
      <c r="E23" s="15" t="s">
        <v>33</v>
      </c>
      <c r="F23" s="15">
        <v>3.88</v>
      </c>
      <c r="G23" s="15">
        <v>1.94</v>
      </c>
      <c r="H23" s="15">
        <v>2.27</v>
      </c>
      <c r="I23" s="16">
        <v>2.1</v>
      </c>
      <c r="J23" s="69">
        <f>0.9847*(F23)+0.019</f>
        <v>3.839636</v>
      </c>
      <c r="K23" s="178">
        <f>0.9847*(G23)+0.019</f>
        <v>1.9293179999999999</v>
      </c>
      <c r="L23" s="178">
        <f>0.9847*(H23)+0.019</f>
        <v>2.2542690000000003</v>
      </c>
      <c r="M23" s="16">
        <f>0.9847*(I23)+0.019</f>
        <v>2.0868700000000002</v>
      </c>
      <c r="Y23">
        <f t="shared" si="18"/>
        <v>-33.49760268142132</v>
      </c>
      <c r="AB23">
        <f t="shared" si="19"/>
        <v>-35.274766736601357</v>
      </c>
      <c r="AF23">
        <f t="shared" si="1"/>
        <v>-1.7527659999999998</v>
      </c>
      <c r="AI23">
        <f>((AF23-$AG$6)/$AG$6)*100</f>
        <v>49.579831932773054</v>
      </c>
      <c r="AL23">
        <f t="shared" si="21"/>
        <v>123.89937106918238</v>
      </c>
    </row>
    <row r="24" spans="1:40" x14ac:dyDescent="0.3">
      <c r="A24" s="69" t="s">
        <v>41</v>
      </c>
      <c r="B24" s="15" t="s">
        <v>22</v>
      </c>
      <c r="C24" s="15" t="s">
        <v>15</v>
      </c>
      <c r="D24" s="15" t="str">
        <f t="shared" si="17"/>
        <v>Carbhigh</v>
      </c>
      <c r="E24" s="15" t="s">
        <v>34</v>
      </c>
      <c r="F24" s="15">
        <v>4.05</v>
      </c>
      <c r="G24" s="15">
        <v>1.65</v>
      </c>
      <c r="H24" s="15">
        <v>1.87</v>
      </c>
      <c r="I24" s="16">
        <v>2.64</v>
      </c>
      <c r="J24" s="69">
        <f>0.9847*(F24)+0.019</f>
        <v>4.0070350000000001</v>
      </c>
      <c r="K24" s="178">
        <f>0.9847*(G24)+0.019</f>
        <v>1.6437549999999999</v>
      </c>
      <c r="L24" s="178">
        <f>0.9847*(H24)+0.019</f>
        <v>1.8603890000000001</v>
      </c>
      <c r="M24" s="16">
        <f>0.9847*(I24)+0.019</f>
        <v>2.6186080000000005</v>
      </c>
      <c r="Y24">
        <f t="shared" si="18"/>
        <v>-16.552679545151975</v>
      </c>
      <c r="AB24">
        <f t="shared" si="19"/>
        <v>-18.782668002605902</v>
      </c>
      <c r="AF24">
        <f t="shared" si="1"/>
        <v>-1.3884269999999996</v>
      </c>
      <c r="AI24">
        <f t="shared" si="20"/>
        <v>18.487394957983131</v>
      </c>
      <c r="AL24">
        <f t="shared" si="21"/>
        <v>77.358490566037702</v>
      </c>
    </row>
    <row r="25" spans="1:40" ht="15" thickBot="1" x14ac:dyDescent="0.35">
      <c r="A25" s="137" t="s">
        <v>41</v>
      </c>
      <c r="B25" s="71" t="s">
        <v>22</v>
      </c>
      <c r="C25" s="71" t="s">
        <v>15</v>
      </c>
      <c r="D25" s="71" t="str">
        <f t="shared" si="17"/>
        <v>Carbhigh</v>
      </c>
      <c r="E25" s="71" t="s">
        <v>35</v>
      </c>
      <c r="F25" s="71">
        <v>3.8</v>
      </c>
      <c r="G25" s="71">
        <v>2.0499999999999998</v>
      </c>
      <c r="H25" s="71">
        <v>2.27</v>
      </c>
      <c r="I25" s="72">
        <v>3.61</v>
      </c>
      <c r="J25" s="137">
        <f>0.9847*(F25)+0.019</f>
        <v>3.7608600000000001</v>
      </c>
      <c r="K25" s="71">
        <f>0.9847*(G25)+0.019</f>
        <v>2.0376349999999999</v>
      </c>
      <c r="L25" s="71">
        <f>0.9847*(H25)+0.019</f>
        <v>2.2542690000000003</v>
      </c>
      <c r="M25" s="72">
        <f>0.9847*(I25)+0.019</f>
        <v>3.5737670000000001</v>
      </c>
      <c r="Y25">
        <f t="shared" si="18"/>
        <v>13.885423125554041</v>
      </c>
      <c r="AB25">
        <f t="shared" si="19"/>
        <v>10.842027871422934</v>
      </c>
      <c r="AF25">
        <f t="shared" si="1"/>
        <v>-0.18709299999999995</v>
      </c>
      <c r="AI25">
        <f t="shared" si="20"/>
        <v>-84.033613445378165</v>
      </c>
      <c r="AL25">
        <f t="shared" si="21"/>
        <v>-76.100628930817621</v>
      </c>
    </row>
    <row r="26" spans="1:40" x14ac:dyDescent="0.3">
      <c r="A26" s="73" t="s">
        <v>42</v>
      </c>
      <c r="B26" s="18" t="s">
        <v>21</v>
      </c>
      <c r="C26" s="18" t="s">
        <v>15</v>
      </c>
      <c r="D26" s="18" t="str">
        <f t="shared" si="17"/>
        <v>Carb+Diclow</v>
      </c>
      <c r="E26" s="18" t="s">
        <v>32</v>
      </c>
      <c r="F26" s="18">
        <v>3.89</v>
      </c>
      <c r="G26" s="18">
        <v>2.1800000000000002</v>
      </c>
      <c r="H26" s="18">
        <v>2.81</v>
      </c>
      <c r="I26" s="19">
        <v>2.98</v>
      </c>
      <c r="J26" s="179">
        <f>0.9847*(F26)+0.019</f>
        <v>3.8494830000000002</v>
      </c>
      <c r="K26" s="180">
        <f>0.9847*(G26)+0.019</f>
        <v>2.1656460000000002</v>
      </c>
      <c r="L26" s="180">
        <f>0.9847*(H26)+0.019</f>
        <v>2.7860070000000001</v>
      </c>
      <c r="M26" s="181">
        <f>0.9847*(I26)+0.019</f>
        <v>2.9534060000000002</v>
      </c>
      <c r="Q26">
        <f>AVERAGE(J26:J29)</f>
        <v>3.8002479999999998</v>
      </c>
      <c r="R26">
        <f t="shared" ref="R26" si="28">AVERAGE(K26:K29)</f>
        <v>2.3601242500000001</v>
      </c>
      <c r="S26">
        <f t="shared" ref="S26" si="29">AVERAGE(L26:L29)</f>
        <v>2.9829470000000002</v>
      </c>
      <c r="T26">
        <f>AVERAGE(M26:M29)</f>
        <v>3.2266602500000001</v>
      </c>
      <c r="U26">
        <f>_xlfn.STDEV.S(J26:J29)</f>
        <v>7.4992517773441958E-2</v>
      </c>
      <c r="V26">
        <f>_xlfn.STDEV.S(K26:K29)</f>
        <v>0.17694943012882702</v>
      </c>
      <c r="W26">
        <f>_xlfn.STDEV.S(L26:L29)</f>
        <v>0.31170071513873693</v>
      </c>
      <c r="X26">
        <f>_xlfn.STDEV.S(M26:M29)</f>
        <v>0.35652622472255352</v>
      </c>
      <c r="Y26">
        <f t="shared" si="18"/>
        <v>-5.883653866760179</v>
      </c>
      <c r="Z26">
        <f>AVERAGE(Y26:Y29)</f>
        <v>2.8241538560448971</v>
      </c>
      <c r="AA26">
        <f>_xlfn.STDEV.S(Y26:Y29)</f>
        <v>11.361440171640842</v>
      </c>
      <c r="AB26">
        <f t="shared" si="19"/>
        <v>-8.3987539849050794</v>
      </c>
      <c r="AC26">
        <f>AVERAGE(AB26:AB29)</f>
        <v>7.6352308953690162E-2</v>
      </c>
      <c r="AD26">
        <f>_xlfn.STDEV.S(AB26:AB29)</f>
        <v>11.057824905090476</v>
      </c>
      <c r="AF26">
        <f t="shared" si="1"/>
        <v>-0.89607700000000001</v>
      </c>
      <c r="AG26">
        <f>AVERAGE(AF26:AF29)</f>
        <v>-0.57358774999999995</v>
      </c>
      <c r="AH26">
        <f t="shared" ref="AH26" si="30">_xlfn.STDEV.S(AF26:AF29)</f>
        <v>0.41030807800511337</v>
      </c>
      <c r="AI26">
        <f t="shared" si="20"/>
        <v>-23.529411764705902</v>
      </c>
      <c r="AJ26">
        <f t="shared" ref="AJ26" si="31">AVERAGE(AI26:AI29)</f>
        <v>-51.050420168067241</v>
      </c>
      <c r="AK26">
        <f t="shared" ref="AK26" si="32">_xlfn.STDEV.S(AI26:AI29)</f>
        <v>35.015406134454899</v>
      </c>
      <c r="AL26">
        <f t="shared" si="21"/>
        <v>14.465408805031457</v>
      </c>
      <c r="AM26">
        <v>28.767123287671268</v>
      </c>
      <c r="AN26">
        <v>35.212161317312017</v>
      </c>
    </row>
    <row r="27" spans="1:40" x14ac:dyDescent="0.3">
      <c r="A27" s="73" t="s">
        <v>42</v>
      </c>
      <c r="B27" s="18" t="s">
        <v>21</v>
      </c>
      <c r="C27" s="18" t="s">
        <v>15</v>
      </c>
      <c r="D27" s="18" t="str">
        <f t="shared" si="17"/>
        <v>Carb+Diclow</v>
      </c>
      <c r="E27" s="18" t="s">
        <v>33</v>
      </c>
      <c r="F27" s="18">
        <v>3.78</v>
      </c>
      <c r="G27" s="18">
        <v>2.3199999999999998</v>
      </c>
      <c r="H27" s="18">
        <v>3.35</v>
      </c>
      <c r="I27" s="19">
        <v>3.14</v>
      </c>
      <c r="J27" s="182">
        <f>0.9847*(F27)+0.019</f>
        <v>3.7411660000000002</v>
      </c>
      <c r="K27" s="183">
        <f>0.9847*(G27)+0.019</f>
        <v>2.3035040000000002</v>
      </c>
      <c r="L27" s="183">
        <f>0.9847*(H27)+0.019</f>
        <v>3.3177450000000004</v>
      </c>
      <c r="M27" s="184">
        <f>0.9847*(I27)+0.019</f>
        <v>3.1109580000000001</v>
      </c>
      <c r="Y27">
        <f t="shared" si="18"/>
        <v>-0.86293590045815705</v>
      </c>
      <c r="AB27">
        <f t="shared" si="19"/>
        <v>-3.5122062118693953</v>
      </c>
      <c r="AF27">
        <f t="shared" si="1"/>
        <v>-0.6302080000000001</v>
      </c>
      <c r="AI27">
        <f t="shared" si="20"/>
        <v>-46.21848739495799</v>
      </c>
      <c r="AL27">
        <f t="shared" si="21"/>
        <v>-19.496855345911928</v>
      </c>
    </row>
    <row r="28" spans="1:40" x14ac:dyDescent="0.3">
      <c r="A28" s="73" t="s">
        <v>42</v>
      </c>
      <c r="B28" s="18" t="s">
        <v>21</v>
      </c>
      <c r="C28" s="18" t="s">
        <v>15</v>
      </c>
      <c r="D28" s="18" t="str">
        <f t="shared" si="17"/>
        <v>Carb+Diclow</v>
      </c>
      <c r="E28" s="18" t="s">
        <v>34</v>
      </c>
      <c r="F28" s="18">
        <v>3.92</v>
      </c>
      <c r="G28" s="18">
        <v>2.4</v>
      </c>
      <c r="H28" s="18">
        <v>3.2</v>
      </c>
      <c r="I28" s="19">
        <v>3.12</v>
      </c>
      <c r="J28" s="182">
        <f>0.9847*(F28)+0.019</f>
        <v>3.8790240000000002</v>
      </c>
      <c r="K28" s="183">
        <f>0.9847*(G28)+0.019</f>
        <v>2.3822800000000002</v>
      </c>
      <c r="L28" s="183">
        <f>0.9847*(H28)+0.019</f>
        <v>3.1700400000000002</v>
      </c>
      <c r="M28" s="184">
        <f>0.9847*(I28)+0.019</f>
        <v>3.0912640000000002</v>
      </c>
      <c r="Y28">
        <f t="shared" si="18"/>
        <v>-1.4905256462459062</v>
      </c>
      <c r="AB28">
        <f t="shared" si="19"/>
        <v>-4.1230246834988522</v>
      </c>
      <c r="AF28">
        <f t="shared" si="1"/>
        <v>-0.78776000000000002</v>
      </c>
      <c r="AI28">
        <f t="shared" si="20"/>
        <v>-32.773109243697498</v>
      </c>
      <c r="AL28">
        <f>((AF28-$AG$2)/$AG$2)*100</f>
        <v>0.6289308176100733</v>
      </c>
    </row>
    <row r="29" spans="1:40" ht="15" thickBot="1" x14ac:dyDescent="0.35">
      <c r="A29" s="138" t="s">
        <v>42</v>
      </c>
      <c r="B29" s="75" t="s">
        <v>21</v>
      </c>
      <c r="C29" s="75" t="s">
        <v>15</v>
      </c>
      <c r="D29" s="75" t="str">
        <f t="shared" si="17"/>
        <v>Carb+Diclow</v>
      </c>
      <c r="E29" s="75" t="s">
        <v>35</v>
      </c>
      <c r="F29" s="75">
        <v>3.77</v>
      </c>
      <c r="G29" s="75">
        <v>2.61</v>
      </c>
      <c r="H29" s="75">
        <v>2.68</v>
      </c>
      <c r="I29" s="76">
        <v>3.79</v>
      </c>
      <c r="J29" s="185">
        <f>0.9847*(F29)+0.019</f>
        <v>3.7313190000000001</v>
      </c>
      <c r="K29" s="186">
        <f>0.9847*(G29)+0.019</f>
        <v>2.589067</v>
      </c>
      <c r="L29" s="186">
        <f>0.9847*(H29)+0.019</f>
        <v>2.6579960000000002</v>
      </c>
      <c r="M29" s="187">
        <f>0.9847*(I29)+0.019</f>
        <v>3.7510130000000004</v>
      </c>
      <c r="Y29">
        <f t="shared" si="18"/>
        <v>19.53373083764383</v>
      </c>
      <c r="AB29">
        <f t="shared" si="19"/>
        <v>16.339394116088087</v>
      </c>
      <c r="AF29">
        <f t="shared" si="1"/>
        <v>1.9694000000000322E-2</v>
      </c>
      <c r="AI29">
        <f t="shared" si="20"/>
        <v>-101.68067226890759</v>
      </c>
      <c r="AL29">
        <f t="shared" si="21"/>
        <v>-102.51572327044029</v>
      </c>
    </row>
    <row r="30" spans="1:40" x14ac:dyDescent="0.3">
      <c r="A30" s="77" t="s">
        <v>42</v>
      </c>
      <c r="B30" s="21" t="s">
        <v>22</v>
      </c>
      <c r="C30" s="21" t="s">
        <v>15</v>
      </c>
      <c r="D30" s="21" t="str">
        <f t="shared" si="17"/>
        <v>Carb+Dichigh</v>
      </c>
      <c r="E30" s="21" t="s">
        <v>32</v>
      </c>
      <c r="F30" s="21">
        <v>4.01</v>
      </c>
      <c r="G30" s="21">
        <v>2.57</v>
      </c>
      <c r="H30" s="21">
        <v>3.92</v>
      </c>
      <c r="I30" s="22">
        <v>2.65</v>
      </c>
      <c r="J30" s="188">
        <f>0.9847*(F30)+0.019</f>
        <v>3.9676469999999999</v>
      </c>
      <c r="K30" s="189">
        <f>0.9847*(G30)+0.019</f>
        <v>2.5496789999999998</v>
      </c>
      <c r="L30" s="189">
        <f>0.9847*(H30)+0.019</f>
        <v>3.8790240000000002</v>
      </c>
      <c r="M30" s="190">
        <f>0.9847*(I30)+0.019</f>
        <v>2.6284550000000002</v>
      </c>
      <c r="Q30">
        <f>AVERAGE(J30:J33)</f>
        <v>3.8642534999999998</v>
      </c>
      <c r="R30">
        <f t="shared" ref="R30" si="33">AVERAGE(K30:K33)</f>
        <v>2.3847417500000003</v>
      </c>
      <c r="S30">
        <f t="shared" ref="S30" si="34">AVERAGE(L30:L33)</f>
        <v>3.6574665000000004</v>
      </c>
      <c r="T30">
        <f>AVERAGE(M30:M33)</f>
        <v>2.5102910000000001</v>
      </c>
      <c r="U30">
        <f>_xlfn.STDEV.S(J30:J33)</f>
        <v>9.3934393163526558E-2</v>
      </c>
      <c r="V30">
        <f>_xlfn.STDEV.S(K30:K33)</f>
        <v>0.26131682071433893</v>
      </c>
      <c r="W30">
        <f>_xlfn.STDEV.S(L30:L33)</f>
        <v>0.18570582238493955</v>
      </c>
      <c r="X30">
        <f>_xlfn.STDEV.S(M30:M33)</f>
        <v>0.16998557551157115</v>
      </c>
      <c r="Y30">
        <f t="shared" si="18"/>
        <v>-16.238884672258106</v>
      </c>
      <c r="Z30">
        <f>AVERAGE(Y30:Y33)</f>
        <v>-20.004423146984621</v>
      </c>
      <c r="AA30">
        <f>_xlfn.STDEV.S(Y30:Y33)</f>
        <v>5.4169393786377524</v>
      </c>
      <c r="AB30">
        <f t="shared" si="19"/>
        <v>-18.477258766791181</v>
      </c>
      <c r="AC30">
        <f>AVERAGE(AB30:AB33)</f>
        <v>-22.142169596567943</v>
      </c>
      <c r="AD30">
        <f>_xlfn.STDEV.S(AB30:AB33)</f>
        <v>5.272180838480363</v>
      </c>
      <c r="AF30">
        <f t="shared" si="1"/>
        <v>-1.3391919999999997</v>
      </c>
      <c r="AG30">
        <f t="shared" ref="AG30" si="35">AVERAGE(AF30:AF33)</f>
        <v>-1.3539624999999997</v>
      </c>
      <c r="AH30">
        <f t="shared" ref="AH30" si="36">_xlfn.STDEV.S(AF30:AF33)</f>
        <v>0.19321209192232253</v>
      </c>
      <c r="AI30">
        <f t="shared" si="20"/>
        <v>14.285714285714231</v>
      </c>
      <c r="AJ30">
        <f t="shared" ref="AJ30" si="37">AVERAGE(AI30:AI33)</f>
        <v>15.546218487394906</v>
      </c>
      <c r="AK30">
        <f t="shared" ref="AK30" si="38">_xlfn.STDEV.S(AI30:AI33)</f>
        <v>16.488585605334961</v>
      </c>
      <c r="AL30">
        <f t="shared" si="21"/>
        <v>71.069182389937083</v>
      </c>
      <c r="AM30">
        <v>-25.114155251141561</v>
      </c>
      <c r="AN30">
        <v>60.338510718087548</v>
      </c>
    </row>
    <row r="31" spans="1:40" x14ac:dyDescent="0.3">
      <c r="A31" s="77" t="s">
        <v>42</v>
      </c>
      <c r="B31" s="21" t="s">
        <v>22</v>
      </c>
      <c r="C31" s="21" t="s">
        <v>15</v>
      </c>
      <c r="D31" s="21" t="str">
        <f t="shared" si="17"/>
        <v>Carb+Dichigh</v>
      </c>
      <c r="E31" s="21" t="s">
        <v>33</v>
      </c>
      <c r="F31" s="21">
        <v>3.96</v>
      </c>
      <c r="G31" s="21">
        <v>2.68</v>
      </c>
      <c r="H31" s="21">
        <v>3.68</v>
      </c>
      <c r="I31" s="22">
        <v>2.34</v>
      </c>
      <c r="J31" s="77">
        <f>0.9847*(F31)+0.019</f>
        <v>3.918412</v>
      </c>
      <c r="K31" s="191">
        <f>0.9847*(G31)+0.019</f>
        <v>2.6579960000000002</v>
      </c>
      <c r="L31" s="191">
        <f>0.9847*(H31)+0.019</f>
        <v>3.6426960000000004</v>
      </c>
      <c r="M31" s="22">
        <f>0.9847*(I31)+0.019</f>
        <v>2.3231980000000001</v>
      </c>
      <c r="Y31">
        <f t="shared" si="18"/>
        <v>-25.966525731968282</v>
      </c>
      <c r="AB31">
        <f t="shared" si="19"/>
        <v>-27.944945077047826</v>
      </c>
      <c r="AF31">
        <f t="shared" si="1"/>
        <v>-1.5952139999999999</v>
      </c>
      <c r="AI31">
        <f t="shared" si="20"/>
        <v>36.134453781512562</v>
      </c>
      <c r="AL31">
        <f t="shared" si="21"/>
        <v>103.77358490566037</v>
      </c>
    </row>
    <row r="32" spans="1:40" x14ac:dyDescent="0.3">
      <c r="A32" s="77" t="s">
        <v>42</v>
      </c>
      <c r="B32" s="21" t="s">
        <v>22</v>
      </c>
      <c r="C32" s="21" t="s">
        <v>15</v>
      </c>
      <c r="D32" s="21" t="str">
        <f t="shared" si="17"/>
        <v>Carb+Dichigh</v>
      </c>
      <c r="E32" s="21" t="s">
        <v>34</v>
      </c>
      <c r="F32" s="21">
        <v>3.81</v>
      </c>
      <c r="G32" s="21">
        <v>2.12</v>
      </c>
      <c r="H32" s="21">
        <v>3.72</v>
      </c>
      <c r="I32" s="22">
        <v>2.4300000000000002</v>
      </c>
      <c r="J32" s="77">
        <f>0.9847*(F32)+0.019</f>
        <v>3.7707070000000003</v>
      </c>
      <c r="K32" s="191">
        <f>0.9847*(G32)+0.019</f>
        <v>2.1065640000000001</v>
      </c>
      <c r="L32" s="191">
        <f>0.9847*(H32)+0.019</f>
        <v>3.6820840000000006</v>
      </c>
      <c r="M32" s="22">
        <f>0.9847*(I32)+0.019</f>
        <v>2.4118210000000002</v>
      </c>
      <c r="Y32">
        <f t="shared" si="18"/>
        <v>-23.142371875923391</v>
      </c>
      <c r="AB32">
        <f t="shared" si="19"/>
        <v>-25.196261954715247</v>
      </c>
      <c r="AF32">
        <f t="shared" si="1"/>
        <v>-1.358886</v>
      </c>
      <c r="AI32">
        <f t="shared" si="20"/>
        <v>15.966386554621822</v>
      </c>
      <c r="AL32">
        <f t="shared" si="21"/>
        <v>73.584905660377373</v>
      </c>
    </row>
    <row r="33" spans="1:40" ht="15" thickBot="1" x14ac:dyDescent="0.35">
      <c r="A33" s="139" t="s">
        <v>42</v>
      </c>
      <c r="B33" s="79" t="s">
        <v>22</v>
      </c>
      <c r="C33" s="79" t="s">
        <v>15</v>
      </c>
      <c r="D33" s="79" t="str">
        <f t="shared" si="17"/>
        <v>Carb+Dichigh</v>
      </c>
      <c r="E33" s="79" t="s">
        <v>35</v>
      </c>
      <c r="F33" s="79">
        <v>3.84</v>
      </c>
      <c r="G33" s="79">
        <v>2.2400000000000002</v>
      </c>
      <c r="H33" s="79">
        <v>3.46</v>
      </c>
      <c r="I33" s="80">
        <v>2.7</v>
      </c>
      <c r="J33" s="139">
        <f>0.9847*(F33)+0.019</f>
        <v>3.8002479999999998</v>
      </c>
      <c r="K33" s="79">
        <f>0.9847*(G33)+0.019</f>
        <v>2.2247280000000003</v>
      </c>
      <c r="L33" s="79">
        <f>0.9847*(H33)+0.019</f>
        <v>3.4260619999999999</v>
      </c>
      <c r="M33" s="80">
        <f>0.9847*(I33)+0.019</f>
        <v>2.6776900000000006</v>
      </c>
      <c r="Y33">
        <f t="shared" si="18"/>
        <v>-14.669910307788712</v>
      </c>
      <c r="AB33">
        <f t="shared" si="19"/>
        <v>-16.950212587717516</v>
      </c>
      <c r="AF33">
        <f t="shared" si="1"/>
        <v>-1.1225579999999993</v>
      </c>
      <c r="AI33">
        <f t="shared" si="20"/>
        <v>-4.2016806722689939</v>
      </c>
      <c r="AL33">
        <f t="shared" si="21"/>
        <v>43.396226415094254</v>
      </c>
    </row>
    <row r="34" spans="1:40" x14ac:dyDescent="0.3">
      <c r="A34" s="81" t="s">
        <v>44</v>
      </c>
      <c r="B34" s="24" t="s">
        <v>21</v>
      </c>
      <c r="C34" s="24" t="s">
        <v>15</v>
      </c>
      <c r="D34" s="24" t="str">
        <f t="shared" si="17"/>
        <v>Carb+PFOSlow</v>
      </c>
      <c r="E34" s="24" t="s">
        <v>32</v>
      </c>
      <c r="F34" s="24">
        <v>3.89</v>
      </c>
      <c r="G34" s="24">
        <v>2.3199999999999998</v>
      </c>
      <c r="H34" s="24">
        <v>2.81</v>
      </c>
      <c r="I34" s="25">
        <v>2.23</v>
      </c>
      <c r="J34" s="192">
        <f>0.9847*(F34)+0.019</f>
        <v>3.8494830000000002</v>
      </c>
      <c r="K34" s="193">
        <f>0.9847*(G34)+0.019</f>
        <v>2.3035040000000002</v>
      </c>
      <c r="L34" s="193">
        <f>0.9847*(H34)+0.019</f>
        <v>2.7860070000000001</v>
      </c>
      <c r="M34" s="194">
        <f>0.9847*(I34)+0.019</f>
        <v>2.2148810000000001</v>
      </c>
      <c r="Q34">
        <f>AVERAGE(J34:J37)</f>
        <v>3.8839474999999997</v>
      </c>
      <c r="R34">
        <f t="shared" ref="R34" si="39">AVERAGE(K34:K37)</f>
        <v>2.1508755000000002</v>
      </c>
      <c r="S34">
        <f t="shared" ref="S34" si="40">AVERAGE(L34:L37)</f>
        <v>3.1257285000000001</v>
      </c>
      <c r="T34">
        <f>AVERAGE(M34:M37)</f>
        <v>2.2887335000000002</v>
      </c>
      <c r="U34">
        <f>_xlfn.STDEV.S(J34:J37)</f>
        <v>0.17806469257828766</v>
      </c>
      <c r="V34">
        <f>_xlfn.STDEV.S(K34:K37)</f>
        <v>0.10920851297861355</v>
      </c>
      <c r="W34">
        <f>_xlfn.STDEV.S(L34:L37)</f>
        <v>0.25884689609690126</v>
      </c>
      <c r="X34">
        <f>_xlfn.STDEV.S(M34:M37)</f>
        <v>0.16170281164428374</v>
      </c>
      <c r="Y34">
        <f t="shared" si="18"/>
        <v>-29.418269333800929</v>
      </c>
      <c r="Z34">
        <f>AVERAGE(Y34:Y37)</f>
        <v>-27.064807787096854</v>
      </c>
      <c r="AA34">
        <f>_xlfn.STDEV.S(Y34:Y37)</f>
        <v>5.1529921018076958</v>
      </c>
      <c r="AB34">
        <f t="shared" si="19"/>
        <v>-31.30444667100986</v>
      </c>
      <c r="AC34">
        <f>AVERAGE(AB34:AB37)</f>
        <v>-29.01387740239938</v>
      </c>
      <c r="AD34">
        <f>_xlfn.STDEV.S(AB34:AB37)</f>
        <v>5.0152871060601152</v>
      </c>
      <c r="AF34">
        <f t="shared" si="1"/>
        <v>-1.6346020000000001</v>
      </c>
      <c r="AG34">
        <f t="shared" ref="AG34" si="41">AVERAGE(AF34:AF37)</f>
        <v>-1.5952139999999999</v>
      </c>
      <c r="AH34">
        <f t="shared" ref="AH34" si="42">_xlfn.STDEV.S(AF34:AF37)</f>
        <v>0.160196698619749</v>
      </c>
      <c r="AI34">
        <f t="shared" si="20"/>
        <v>39.495798319327704</v>
      </c>
      <c r="AJ34">
        <f t="shared" ref="AJ34" si="43">AVERAGE(AI34:AI37)</f>
        <v>36.134453781512583</v>
      </c>
      <c r="AK34">
        <f t="shared" ref="AK34" si="44">_xlfn.STDEV.S(AI34:AI37)</f>
        <v>13.671074892899082</v>
      </c>
      <c r="AL34">
        <f t="shared" si="21"/>
        <v>108.80503144654092</v>
      </c>
      <c r="AM34">
        <v>30.13698630136987</v>
      </c>
      <c r="AN34">
        <v>67.198313820481786</v>
      </c>
    </row>
    <row r="35" spans="1:40" x14ac:dyDescent="0.3">
      <c r="A35" s="81" t="s">
        <v>44</v>
      </c>
      <c r="B35" s="24" t="s">
        <v>21</v>
      </c>
      <c r="C35" s="24" t="s">
        <v>15</v>
      </c>
      <c r="D35" s="24" t="str">
        <f t="shared" si="17"/>
        <v>Carb+PFOSlow</v>
      </c>
      <c r="E35" s="24" t="s">
        <v>33</v>
      </c>
      <c r="F35" s="24">
        <v>3.82</v>
      </c>
      <c r="G35" s="24">
        <v>2.08</v>
      </c>
      <c r="H35" s="24">
        <v>3.09</v>
      </c>
      <c r="I35" s="25">
        <v>2.11</v>
      </c>
      <c r="J35" s="81">
        <f>0.9847*(F35)+0.019</f>
        <v>3.780554</v>
      </c>
      <c r="K35" s="195">
        <f>0.9847*(G35)+0.019</f>
        <v>2.0671760000000003</v>
      </c>
      <c r="L35" s="195">
        <f>0.9847*(H35)+0.019</f>
        <v>3.0617230000000002</v>
      </c>
      <c r="M35" s="25">
        <f>0.9847*(I35)+0.019</f>
        <v>2.0967169999999999</v>
      </c>
      <c r="Y35">
        <f t="shared" si="18"/>
        <v>-33.183807808527447</v>
      </c>
      <c r="AB35">
        <f t="shared" si="19"/>
        <v>-34.969357500786629</v>
      </c>
      <c r="AF35">
        <f t="shared" si="1"/>
        <v>-1.683837</v>
      </c>
      <c r="AI35">
        <f t="shared" si="20"/>
        <v>43.697478991596604</v>
      </c>
      <c r="AL35">
        <f t="shared" si="21"/>
        <v>115.09433962264153</v>
      </c>
    </row>
    <row r="36" spans="1:40" x14ac:dyDescent="0.3">
      <c r="A36" s="81" t="s">
        <v>44</v>
      </c>
      <c r="B36" s="24" t="s">
        <v>21</v>
      </c>
      <c r="C36" s="24" t="s">
        <v>15</v>
      </c>
      <c r="D36" s="24" t="str">
        <f t="shared" si="17"/>
        <v>Carb+PFOSlow</v>
      </c>
      <c r="E36" s="24" t="s">
        <v>34</v>
      </c>
      <c r="F36" s="24">
        <v>3.8</v>
      </c>
      <c r="G36" s="24">
        <v>2.09</v>
      </c>
      <c r="H36" s="24">
        <v>3.36</v>
      </c>
      <c r="I36" s="25">
        <v>2.42</v>
      </c>
      <c r="J36" s="81">
        <f>0.9847*(F36)+0.019</f>
        <v>3.7608600000000001</v>
      </c>
      <c r="K36" s="195">
        <f>0.9847*(G36)+0.019</f>
        <v>2.0770230000000001</v>
      </c>
      <c r="L36" s="195">
        <f>0.9847*(H36)+0.019</f>
        <v>3.3275920000000001</v>
      </c>
      <c r="M36" s="25">
        <f>0.9847*(I36)+0.019</f>
        <v>2.4019740000000001</v>
      </c>
      <c r="Y36">
        <f t="shared" si="18"/>
        <v>-23.456166748817271</v>
      </c>
      <c r="AB36">
        <f t="shared" si="19"/>
        <v>-25.501671190529983</v>
      </c>
      <c r="AF36">
        <f t="shared" si="1"/>
        <v>-1.358886</v>
      </c>
      <c r="AI36">
        <f t="shared" si="20"/>
        <v>15.966386554621822</v>
      </c>
      <c r="AL36">
        <f t="shared" si="21"/>
        <v>73.584905660377373</v>
      </c>
    </row>
    <row r="37" spans="1:40" ht="15" thickBot="1" x14ac:dyDescent="0.35">
      <c r="A37" s="140" t="s">
        <v>44</v>
      </c>
      <c r="B37" s="83" t="s">
        <v>21</v>
      </c>
      <c r="C37" s="83" t="s">
        <v>15</v>
      </c>
      <c r="D37" s="83" t="str">
        <f t="shared" si="17"/>
        <v>Carb+PFOSlow</v>
      </c>
      <c r="E37" s="83" t="s">
        <v>35</v>
      </c>
      <c r="F37" s="83">
        <v>4.1900000000000004</v>
      </c>
      <c r="G37" s="83">
        <v>2.17</v>
      </c>
      <c r="H37" s="83">
        <v>3.36</v>
      </c>
      <c r="I37" s="84">
        <v>2.46</v>
      </c>
      <c r="J37" s="140">
        <f>0.9847*(F37)+0.019</f>
        <v>4.1448930000000006</v>
      </c>
      <c r="K37" s="83">
        <f>0.9847*(G37)+0.019</f>
        <v>2.155799</v>
      </c>
      <c r="L37" s="83">
        <f>0.9847*(H37)+0.019</f>
        <v>3.3275920000000001</v>
      </c>
      <c r="M37" s="84">
        <f>0.9847*(I37)+0.019</f>
        <v>2.4413620000000003</v>
      </c>
      <c r="Y37">
        <f t="shared" si="18"/>
        <v>-22.20098725724176</v>
      </c>
      <c r="AB37">
        <f t="shared" si="19"/>
        <v>-24.280034247271058</v>
      </c>
      <c r="AF37">
        <f t="shared" si="1"/>
        <v>-1.7035310000000004</v>
      </c>
      <c r="AI37">
        <f t="shared" si="20"/>
        <v>45.378151260504197</v>
      </c>
      <c r="AL37">
        <f t="shared" si="21"/>
        <v>117.61006289308182</v>
      </c>
    </row>
    <row r="38" spans="1:40" x14ac:dyDescent="0.3">
      <c r="A38" s="85" t="s">
        <v>44</v>
      </c>
      <c r="B38" s="27" t="s">
        <v>22</v>
      </c>
      <c r="C38" s="27" t="s">
        <v>15</v>
      </c>
      <c r="D38" s="27" t="str">
        <f t="shared" si="17"/>
        <v>Carb+PFOShigh</v>
      </c>
      <c r="E38" s="27" t="s">
        <v>32</v>
      </c>
      <c r="F38" s="27">
        <v>3.58</v>
      </c>
      <c r="G38" s="27">
        <v>2.33</v>
      </c>
      <c r="H38" s="27">
        <v>2.93</v>
      </c>
      <c r="I38" s="28">
        <v>2.4900000000000002</v>
      </c>
      <c r="J38" s="196">
        <f>0.9847*(F38)+0.019</f>
        <v>3.5442260000000001</v>
      </c>
      <c r="K38" s="197">
        <f>0.9847*(G38)+0.019</f>
        <v>2.3133510000000004</v>
      </c>
      <c r="L38" s="197">
        <f>0.9847*(H38)+0.019</f>
        <v>2.9041710000000003</v>
      </c>
      <c r="M38" s="198">
        <f>0.9847*(I38)+0.019</f>
        <v>2.4709030000000003</v>
      </c>
      <c r="Q38">
        <f>AVERAGE(J38:J41)</f>
        <v>3.5786905000000004</v>
      </c>
      <c r="R38">
        <f t="shared" ref="R38" si="45">AVERAGE(K38:K41)</f>
        <v>2.3699712500000003</v>
      </c>
      <c r="S38">
        <f t="shared" ref="S38" si="46">AVERAGE(L38:L41)</f>
        <v>3.101111</v>
      </c>
      <c r="T38">
        <f>AVERAGE(M38:M41)</f>
        <v>2.6653812500000003</v>
      </c>
      <c r="U38">
        <f>_xlfn.STDEV.S(J38:J41)</f>
        <v>0.12494442304080645</v>
      </c>
      <c r="V38">
        <f>_xlfn.STDEV.S(K38:K41)</f>
        <v>5.3558387294459588E-2</v>
      </c>
      <c r="W38">
        <f>_xlfn.STDEV.S(L38:L41)</f>
        <v>0.47924314787450939</v>
      </c>
      <c r="X38">
        <f>_xlfn.STDEV.S(M38:M41)</f>
        <v>0.17194696700121426</v>
      </c>
      <c r="Y38">
        <f t="shared" si="18"/>
        <v>-21.259602638560128</v>
      </c>
      <c r="Z38">
        <f>AVERAGE(Y38:Y41)</f>
        <v>-15.062153898906068</v>
      </c>
      <c r="AA38">
        <f>_xlfn.STDEV.S(Y38:Y41)</f>
        <v>5.4794431455909027</v>
      </c>
      <c r="AB38">
        <f t="shared" si="19"/>
        <v>-23.363806539826864</v>
      </c>
      <c r="AC38">
        <f>AVERAGE(AB38:AB41)</f>
        <v>-17.331974132485939</v>
      </c>
      <c r="AD38">
        <f>_xlfn.STDEV.S(AB38:AB41)</f>
        <v>5.3330142980097017</v>
      </c>
      <c r="AF38">
        <f t="shared" si="1"/>
        <v>-1.0733229999999998</v>
      </c>
      <c r="AG38">
        <f t="shared" ref="AG38" si="47">AVERAGE(AF38:AF41)</f>
        <v>-0.91330924999999985</v>
      </c>
      <c r="AH38">
        <f>_xlfn.STDEV.S(AF38:AF41)</f>
        <v>0.1511388868014556</v>
      </c>
      <c r="AI38">
        <f t="shared" si="20"/>
        <v>-8.4033613445378563</v>
      </c>
      <c r="AJ38">
        <f t="shared" ref="AJ38" si="48">AVERAGE(AI38:AI41)</f>
        <v>-22.058823529411796</v>
      </c>
      <c r="AK38">
        <f t="shared" ref="AK38" si="49">_xlfn.STDEV.S(AI38:AI41)</f>
        <v>12.898087529235607</v>
      </c>
      <c r="AL38">
        <f t="shared" si="21"/>
        <v>37.1069182389937</v>
      </c>
      <c r="AM38">
        <v>-34.703196347031977</v>
      </c>
      <c r="AN38">
        <v>24.110280881176415</v>
      </c>
    </row>
    <row r="39" spans="1:40" x14ac:dyDescent="0.3">
      <c r="A39" s="85" t="s">
        <v>44</v>
      </c>
      <c r="B39" s="27" t="s">
        <v>22</v>
      </c>
      <c r="C39" s="27" t="s">
        <v>15</v>
      </c>
      <c r="D39" s="27" t="str">
        <f t="shared" si="17"/>
        <v>Carb+PFOShigh</v>
      </c>
      <c r="E39" s="27" t="s">
        <v>33</v>
      </c>
      <c r="F39" s="27">
        <v>3.46</v>
      </c>
      <c r="G39" s="27">
        <v>2.39</v>
      </c>
      <c r="H39" s="27">
        <v>3.01</v>
      </c>
      <c r="I39" s="28">
        <v>2.62</v>
      </c>
      <c r="J39" s="199">
        <f>0.9847*(F39)+0.019</f>
        <v>3.4260619999999999</v>
      </c>
      <c r="K39" s="200">
        <f>0.9847*(G39)+0.019</f>
        <v>2.3724330000000005</v>
      </c>
      <c r="L39" s="200">
        <f>0.9847*(H39)+0.019</f>
        <v>2.9829469999999998</v>
      </c>
      <c r="M39" s="201">
        <f>0.9847*(I39)+0.019</f>
        <v>2.5989140000000002</v>
      </c>
      <c r="Y39">
        <f>((M39-T$6)/T$6)*100</f>
        <v>-17.180269290939737</v>
      </c>
      <c r="AB39">
        <f t="shared" si="19"/>
        <v>-19.393486474235374</v>
      </c>
      <c r="AF39">
        <f t="shared" si="1"/>
        <v>-0.82714799999999977</v>
      </c>
      <c r="AI39">
        <f t="shared" si="20"/>
        <v>-29.411764705882394</v>
      </c>
      <c r="AL39">
        <f t="shared" si="21"/>
        <v>5.6603773584905461</v>
      </c>
    </row>
    <row r="40" spans="1:40" x14ac:dyDescent="0.3">
      <c r="A40" s="85" t="s">
        <v>44</v>
      </c>
      <c r="B40" s="27" t="s">
        <v>22</v>
      </c>
      <c r="C40" s="27" t="s">
        <v>15</v>
      </c>
      <c r="D40" s="27" t="str">
        <f t="shared" si="17"/>
        <v>Carb+PFOShigh</v>
      </c>
      <c r="E40" s="27" t="s">
        <v>34</v>
      </c>
      <c r="F40" s="27">
        <v>3.76</v>
      </c>
      <c r="G40" s="27">
        <v>2.37</v>
      </c>
      <c r="H40" s="27">
        <v>2.74</v>
      </c>
      <c r="I40" s="28">
        <v>2.74</v>
      </c>
      <c r="J40" s="199">
        <f>0.9847*(F40)+0.019</f>
        <v>3.7214719999999999</v>
      </c>
      <c r="K40" s="200">
        <f>0.9847*(G40)+0.019</f>
        <v>2.3527390000000001</v>
      </c>
      <c r="L40" s="200">
        <f>0.9847*(H40)+0.019</f>
        <v>2.7170780000000003</v>
      </c>
      <c r="M40" s="201">
        <f>0.9847*(I40)+0.019</f>
        <v>2.7170780000000003</v>
      </c>
      <c r="Y40">
        <f t="shared" si="18"/>
        <v>-13.414730816213213</v>
      </c>
      <c r="AB40">
        <f t="shared" si="19"/>
        <v>-15.728575644458603</v>
      </c>
      <c r="AF40">
        <f t="shared" si="1"/>
        <v>-1.0043939999999996</v>
      </c>
      <c r="AI40">
        <f t="shared" si="20"/>
        <v>-14.285714285714345</v>
      </c>
      <c r="AL40">
        <f t="shared" si="21"/>
        <v>28.301886792452784</v>
      </c>
    </row>
    <row r="41" spans="1:40" ht="15" thickBot="1" x14ac:dyDescent="0.35">
      <c r="A41" s="141" t="s">
        <v>44</v>
      </c>
      <c r="B41" s="87" t="s">
        <v>22</v>
      </c>
      <c r="C41" s="87" t="s">
        <v>15</v>
      </c>
      <c r="D41" s="87" t="str">
        <f t="shared" si="17"/>
        <v>Carb+PFOShigh</v>
      </c>
      <c r="E41" s="87" t="s">
        <v>35</v>
      </c>
      <c r="F41" s="87">
        <v>3.66</v>
      </c>
      <c r="G41" s="87">
        <v>2.46</v>
      </c>
      <c r="H41" s="87">
        <v>3.84</v>
      </c>
      <c r="I41" s="88">
        <v>2.9</v>
      </c>
      <c r="J41" s="202">
        <f>0.9847*(F41)+0.019</f>
        <v>3.6230020000000005</v>
      </c>
      <c r="K41" s="203">
        <f>0.9847*(G41)+0.019</f>
        <v>2.4413620000000003</v>
      </c>
      <c r="L41" s="203">
        <f>0.9847*(H41)+0.019</f>
        <v>3.8002479999999998</v>
      </c>
      <c r="M41" s="204">
        <f>0.9847*(I41)+0.019</f>
        <v>2.8746300000000002</v>
      </c>
      <c r="Y41">
        <f t="shared" si="18"/>
        <v>-8.3940128499111903</v>
      </c>
      <c r="AB41">
        <f t="shared" si="19"/>
        <v>-10.842027871422919</v>
      </c>
      <c r="AF41">
        <f t="shared" si="1"/>
        <v>-0.74837200000000026</v>
      </c>
      <c r="AI41">
        <f t="shared" si="20"/>
        <v>-36.134453781512597</v>
      </c>
      <c r="AL41">
        <f t="shared" si="21"/>
        <v>-4.4025157232703993</v>
      </c>
    </row>
    <row r="42" spans="1:40" x14ac:dyDescent="0.3">
      <c r="A42" s="89" t="s">
        <v>46</v>
      </c>
      <c r="B42" s="30" t="s">
        <v>21</v>
      </c>
      <c r="C42" s="30" t="s">
        <v>15</v>
      </c>
      <c r="D42" s="30" t="str">
        <f t="shared" si="17"/>
        <v>Carb+6ppdqlow</v>
      </c>
      <c r="E42" s="30" t="s">
        <v>32</v>
      </c>
      <c r="F42" s="30">
        <v>3.76</v>
      </c>
      <c r="G42" s="30">
        <v>2.11</v>
      </c>
      <c r="H42" s="30">
        <v>2.73</v>
      </c>
      <c r="I42" s="31">
        <v>3.38</v>
      </c>
      <c r="J42" s="1">
        <f>0.9847*(F42)+0.019</f>
        <v>3.7214719999999999</v>
      </c>
      <c r="K42" s="2">
        <f>0.9847*(G42)+0.019</f>
        <v>2.0967169999999999</v>
      </c>
      <c r="L42" s="2">
        <f>0.9847*(H42)+0.019</f>
        <v>2.7072310000000002</v>
      </c>
      <c r="M42" s="4">
        <f>0.9847*(I42)+0.019</f>
        <v>3.347286</v>
      </c>
      <c r="Q42">
        <f>AVERAGE(J42:J45)</f>
        <v>3.8642535000000002</v>
      </c>
      <c r="R42">
        <f t="shared" ref="R42" si="50">AVERAGE(K42:K45)</f>
        <v>2.3305832500000001</v>
      </c>
      <c r="S42">
        <f t="shared" ref="S42" si="51">AVERAGE(L42:L45)</f>
        <v>2.9854087500000004</v>
      </c>
      <c r="T42">
        <f>AVERAGE(M42:M45)</f>
        <v>3.3792887500000002</v>
      </c>
      <c r="U42">
        <f>_xlfn.STDEV.S(J42:J45)</f>
        <v>0.2353000351444936</v>
      </c>
      <c r="V42">
        <f>_xlfn.STDEV.S(K42:K45)</f>
        <v>0.21063912243831467</v>
      </c>
      <c r="W42">
        <f>_xlfn.STDEV.S(L42:L45)</f>
        <v>0.20925357690511143</v>
      </c>
      <c r="X42">
        <f>_xlfn.STDEV.S(M42:M45)</f>
        <v>0.50794837440916962</v>
      </c>
      <c r="Y42">
        <f t="shared" si="18"/>
        <v>6.6681410489948769</v>
      </c>
      <c r="Z42">
        <f>AVERAGE(Y42:Y45)</f>
        <v>7.6879743858999809</v>
      </c>
      <c r="AA42">
        <f>_xlfn.STDEV.S(Y42:Y45)</f>
        <v>16.186817871877345</v>
      </c>
      <c r="AB42">
        <f t="shared" si="19"/>
        <v>3.8176154476841306</v>
      </c>
      <c r="AC42">
        <f>AVERAGE(AB42:AB45)</f>
        <v>4.8101954640820104</v>
      </c>
      <c r="AD42">
        <f>_xlfn.STDEV.S(AB42:AB45)</f>
        <v>15.754252550181649</v>
      </c>
      <c r="AF42">
        <f t="shared" si="1"/>
        <v>-0.37418599999999991</v>
      </c>
      <c r="AG42">
        <f t="shared" ref="AG42" si="52">AVERAGE(AF42:AF45)</f>
        <v>-0.48496474999999983</v>
      </c>
      <c r="AH42">
        <f t="shared" ref="AH42" si="53">_xlfn.STDEV.S(AF42:AF45)</f>
        <v>0.30333182302046185</v>
      </c>
      <c r="AI42">
        <f t="shared" si="20"/>
        <v>-68.067226890756316</v>
      </c>
      <c r="AJ42">
        <f t="shared" ref="AJ42" si="54">AVERAGE(AI42:AI45)</f>
        <v>-58.61344537815129</v>
      </c>
      <c r="AK42">
        <f t="shared" ref="AK42" si="55">_xlfn.STDEV.S(AI42:AI45)</f>
        <v>25.886126902999226</v>
      </c>
      <c r="AL42">
        <f t="shared" si="21"/>
        <v>-52.201257861635227</v>
      </c>
      <c r="AM42">
        <v>-166.21004566210041</v>
      </c>
      <c r="AN42">
        <v>85.101546612814602</v>
      </c>
    </row>
    <row r="43" spans="1:40" x14ac:dyDescent="0.3">
      <c r="A43" s="89" t="s">
        <v>46</v>
      </c>
      <c r="B43" s="30" t="s">
        <v>21</v>
      </c>
      <c r="C43" s="30" t="s">
        <v>15</v>
      </c>
      <c r="D43" s="30" t="str">
        <f t="shared" si="17"/>
        <v>Carb+6ppdqlow</v>
      </c>
      <c r="E43" s="30" t="s">
        <v>33</v>
      </c>
      <c r="F43" s="30">
        <v>3.88</v>
      </c>
      <c r="G43" s="30">
        <v>2.3199999999999998</v>
      </c>
      <c r="H43" s="30">
        <v>3.22</v>
      </c>
      <c r="I43" s="31">
        <v>3.18</v>
      </c>
      <c r="J43" s="61">
        <f>0.9847*(F43)+0.019</f>
        <v>3.839636</v>
      </c>
      <c r="K43" s="172">
        <f>0.9847*(G43)+0.019</f>
        <v>2.3035040000000002</v>
      </c>
      <c r="L43" s="172">
        <f>0.9847*(H43)+0.019</f>
        <v>3.1897340000000005</v>
      </c>
      <c r="M43" s="7">
        <f>0.9847*(I43)+0.019</f>
        <v>3.1503460000000003</v>
      </c>
      <c r="Y43">
        <f t="shared" si="18"/>
        <v>0.39224359111735568</v>
      </c>
      <c r="AB43">
        <f t="shared" si="19"/>
        <v>-2.2905692686104673</v>
      </c>
      <c r="AF43">
        <f t="shared" si="1"/>
        <v>-0.68928999999999974</v>
      </c>
      <c r="AI43">
        <f t="shared" si="20"/>
        <v>-41.176470588235333</v>
      </c>
      <c r="AL43">
        <f t="shared" si="21"/>
        <v>-11.949685534591222</v>
      </c>
    </row>
    <row r="44" spans="1:40" x14ac:dyDescent="0.3">
      <c r="A44" s="89" t="s">
        <v>46</v>
      </c>
      <c r="B44" s="30" t="s">
        <v>21</v>
      </c>
      <c r="C44" s="30" t="s">
        <v>15</v>
      </c>
      <c r="D44" s="30" t="str">
        <f t="shared" si="17"/>
        <v>Carb+6ppdqlow</v>
      </c>
      <c r="E44" s="30" t="s">
        <v>34</v>
      </c>
      <c r="F44" s="30">
        <v>3.73</v>
      </c>
      <c r="G44" s="30">
        <v>2.63</v>
      </c>
      <c r="H44" s="30">
        <v>3.12</v>
      </c>
      <c r="I44" s="31">
        <v>2.95</v>
      </c>
      <c r="J44" s="61">
        <f>0.9847*(F44)+0.019</f>
        <v>3.6919310000000003</v>
      </c>
      <c r="K44" s="172">
        <f>0.9847*(G44)+0.019</f>
        <v>2.6087609999999999</v>
      </c>
      <c r="L44" s="172">
        <f>0.9847*(H44)+0.019</f>
        <v>3.0912640000000002</v>
      </c>
      <c r="M44" s="7">
        <f>0.9847*(I44)+0.019</f>
        <v>2.9238650000000002</v>
      </c>
      <c r="Y44">
        <f t="shared" si="18"/>
        <v>-6.8250384854418105</v>
      </c>
      <c r="AB44">
        <f t="shared" si="19"/>
        <v>-9.3149816923492708</v>
      </c>
      <c r="AF44">
        <f t="shared" si="1"/>
        <v>-0.76806600000000014</v>
      </c>
      <c r="AI44">
        <f t="shared" si="20"/>
        <v>-34.453781512605048</v>
      </c>
      <c r="AL44">
        <f t="shared" si="21"/>
        <v>-1.8867924528301629</v>
      </c>
    </row>
    <row r="45" spans="1:40" ht="15" thickBot="1" x14ac:dyDescent="0.35">
      <c r="A45" s="142" t="s">
        <v>46</v>
      </c>
      <c r="B45" s="91" t="s">
        <v>21</v>
      </c>
      <c r="C45" s="91" t="s">
        <v>15</v>
      </c>
      <c r="D45" s="91" t="str">
        <f t="shared" si="17"/>
        <v>Carb+6ppdqlow</v>
      </c>
      <c r="E45" s="91" t="s">
        <v>35</v>
      </c>
      <c r="F45" s="91">
        <v>4.25</v>
      </c>
      <c r="G45" s="91">
        <v>2.33</v>
      </c>
      <c r="H45" s="91">
        <v>2.98</v>
      </c>
      <c r="I45" s="92">
        <v>4.1399999999999997</v>
      </c>
      <c r="J45" s="62">
        <f>0.9847*(F45)+0.019</f>
        <v>4.2039749999999998</v>
      </c>
      <c r="K45" s="9">
        <f>0.9847*(G45)+0.019</f>
        <v>2.3133510000000004</v>
      </c>
      <c r="L45" s="9">
        <f>0.9847*(H45)+0.019</f>
        <v>2.9534060000000002</v>
      </c>
      <c r="M45" s="10">
        <f>0.9847*(I45)+0.019</f>
        <v>4.0956580000000002</v>
      </c>
      <c r="Y45">
        <f t="shared" si="18"/>
        <v>30.516551388929503</v>
      </c>
      <c r="AB45">
        <f t="shared" si="19"/>
        <v>27.028717369603651</v>
      </c>
      <c r="AF45">
        <f t="shared" si="1"/>
        <v>-0.10831699999999955</v>
      </c>
      <c r="AI45">
        <f t="shared" si="20"/>
        <v>-90.75630252100845</v>
      </c>
      <c r="AL45">
        <f t="shared" si="21"/>
        <v>-86.163522012578682</v>
      </c>
    </row>
    <row r="46" spans="1:40" x14ac:dyDescent="0.3">
      <c r="A46" s="93" t="s">
        <v>46</v>
      </c>
      <c r="B46" s="94" t="s">
        <v>22</v>
      </c>
      <c r="C46" s="94" t="s">
        <v>15</v>
      </c>
      <c r="D46" s="94" t="str">
        <f t="shared" si="17"/>
        <v>Carb+6ppdqhigh</v>
      </c>
      <c r="E46" s="94" t="s">
        <v>32</v>
      </c>
      <c r="F46" s="94">
        <v>3.74</v>
      </c>
      <c r="G46" s="94">
        <v>2</v>
      </c>
      <c r="H46" s="94">
        <v>2.38</v>
      </c>
      <c r="I46" s="95">
        <v>2.5</v>
      </c>
      <c r="J46" s="1">
        <f>0.9847*(F46)+0.019</f>
        <v>3.7017780000000005</v>
      </c>
      <c r="K46" s="2">
        <f>0.9847*(G46)+0.019</f>
        <v>1.9883999999999999</v>
      </c>
      <c r="L46" s="2">
        <f>0.9847*(H46)+0.019</f>
        <v>2.3625859999999999</v>
      </c>
      <c r="M46" s="4">
        <f>0.9847*(I46)+0.019</f>
        <v>2.48075</v>
      </c>
      <c r="Q46">
        <f>AVERAGE(J46:J49)</f>
        <v>3.8125567499999997</v>
      </c>
      <c r="R46">
        <f t="shared" ref="R46" si="56">AVERAGE(K46:K49)</f>
        <v>2.0696377500000001</v>
      </c>
      <c r="S46">
        <f t="shared" ref="S46" si="57">AVERAGE(L46:L49)</f>
        <v>2.5619877500000001</v>
      </c>
      <c r="T46">
        <f>AVERAGE(M46:M49)</f>
        <v>2.6776900000000001</v>
      </c>
      <c r="U46">
        <f>_xlfn.STDEV.S(J46:J49)</f>
        <v>0.18393517732319889</v>
      </c>
      <c r="V46">
        <f>_xlfn.STDEV.S(K46:K49)</f>
        <v>0.11409354783794759</v>
      </c>
      <c r="W46">
        <f>_xlfn.STDEV.S(L46:L49)</f>
        <v>0.44332465503163426</v>
      </c>
      <c r="X46">
        <f>_xlfn.STDEV.S(M46:M49)</f>
        <v>0.67694096561960238</v>
      </c>
      <c r="Y46">
        <f t="shared" si="18"/>
        <v>-20.94580776566626</v>
      </c>
      <c r="Z46">
        <f>AVERAGE(Y46:Y49)</f>
        <v>-14.669910307788724</v>
      </c>
      <c r="AA46">
        <f>_xlfn.STDEV.S(Y46:Y49)</f>
        <v>21.572113766960623</v>
      </c>
      <c r="AB46">
        <f t="shared" si="19"/>
        <v>-23.058397304012143</v>
      </c>
      <c r="AC46">
        <f>AVERAGE(AB46:AB49)</f>
        <v>-16.95021258771753</v>
      </c>
      <c r="AD46">
        <f>_xlfn.STDEV.S(AB46:AB49)</f>
        <v>20.995635523668984</v>
      </c>
      <c r="AF46">
        <f t="shared" si="1"/>
        <v>-1.2210280000000004</v>
      </c>
      <c r="AG46">
        <f t="shared" ref="AG46" si="58">AVERAGE(AF46:AF49)</f>
        <v>-1.1348667499999998</v>
      </c>
      <c r="AH46">
        <f t="shared" ref="AH46" si="59">_xlfn.STDEV.S(AF46:AF49)</f>
        <v>0.52804011482422764</v>
      </c>
      <c r="AI46">
        <f t="shared" si="20"/>
        <v>4.2016806722689184</v>
      </c>
      <c r="AJ46">
        <f t="shared" ref="AJ46" si="60">AVERAGE(AI46:AI49)</f>
        <v>-3.151260504201721</v>
      </c>
      <c r="AK46">
        <f t="shared" ref="AK46" si="61">_xlfn.STDEV.S(AI46:AI49)</f>
        <v>45.062576310340425</v>
      </c>
      <c r="AL46">
        <f t="shared" si="21"/>
        <v>55.974842767295662</v>
      </c>
      <c r="AM46">
        <v>-19.634703196347036</v>
      </c>
      <c r="AN46">
        <v>62.546522234948291</v>
      </c>
    </row>
    <row r="47" spans="1:40" x14ac:dyDescent="0.3">
      <c r="A47" s="93" t="s">
        <v>46</v>
      </c>
      <c r="B47" s="94" t="s">
        <v>22</v>
      </c>
      <c r="C47" s="94" t="s">
        <v>15</v>
      </c>
      <c r="D47" s="94" t="str">
        <f t="shared" si="17"/>
        <v>Carb+6ppdqhigh</v>
      </c>
      <c r="E47" s="94" t="s">
        <v>33</v>
      </c>
      <c r="F47" s="94">
        <v>3.84</v>
      </c>
      <c r="G47" s="94">
        <v>1.97</v>
      </c>
      <c r="H47" s="94">
        <v>2.23</v>
      </c>
      <c r="I47" s="95">
        <v>2.13</v>
      </c>
      <c r="J47" s="61">
        <f>0.9847*(F47)+0.019</f>
        <v>3.8002479999999998</v>
      </c>
      <c r="K47" s="172">
        <f>0.9847*(G47)+0.019</f>
        <v>1.9588589999999999</v>
      </c>
      <c r="L47" s="172">
        <f>0.9847*(H47)+0.019</f>
        <v>2.2148810000000001</v>
      </c>
      <c r="M47" s="7">
        <f>0.9847*(I47)+0.019</f>
        <v>2.1164110000000003</v>
      </c>
      <c r="Y47">
        <f t="shared" si="18"/>
        <v>-32.556218062739688</v>
      </c>
      <c r="AB47">
        <f t="shared" si="19"/>
        <v>-34.358539029157157</v>
      </c>
      <c r="AF47">
        <f t="shared" si="1"/>
        <v>-1.6838369999999996</v>
      </c>
      <c r="AI47">
        <f t="shared" si="20"/>
        <v>43.697478991596569</v>
      </c>
      <c r="AL47">
        <f t="shared" si="21"/>
        <v>115.09433962264148</v>
      </c>
    </row>
    <row r="48" spans="1:40" x14ac:dyDescent="0.3">
      <c r="A48" s="93" t="s">
        <v>46</v>
      </c>
      <c r="B48" s="94" t="s">
        <v>22</v>
      </c>
      <c r="C48" s="94" t="s">
        <v>15</v>
      </c>
      <c r="D48" s="94" t="str">
        <f t="shared" si="17"/>
        <v>Carb+6ppdqhigh</v>
      </c>
      <c r="E48" s="94" t="s">
        <v>34</v>
      </c>
      <c r="F48" s="94">
        <v>3.71</v>
      </c>
      <c r="G48" s="94">
        <v>2.15</v>
      </c>
      <c r="H48" s="94">
        <v>2.48</v>
      </c>
      <c r="I48" s="95">
        <v>2.4700000000000002</v>
      </c>
      <c r="J48" s="61">
        <f>0.9847*(F48)+0.019</f>
        <v>3.672237</v>
      </c>
      <c r="K48" s="172">
        <f>0.9847*(G48)+0.019</f>
        <v>2.1361050000000001</v>
      </c>
      <c r="L48" s="172">
        <f>0.9847*(H48)+0.019</f>
        <v>2.4610560000000001</v>
      </c>
      <c r="M48" s="7">
        <f>0.9847*(I48)+0.019</f>
        <v>2.4512090000000004</v>
      </c>
      <c r="Y48">
        <f t="shared" si="18"/>
        <v>-21.887192384347877</v>
      </c>
      <c r="AB48">
        <f t="shared" si="19"/>
        <v>-23.974625011456322</v>
      </c>
      <c r="AF48">
        <f t="shared" si="1"/>
        <v>-1.2210279999999996</v>
      </c>
      <c r="AI48">
        <f t="shared" si="20"/>
        <v>4.2016806722688429</v>
      </c>
      <c r="AL48">
        <f t="shared" si="21"/>
        <v>55.974842767295549</v>
      </c>
    </row>
    <row r="49" spans="1:40" ht="15" thickBot="1" x14ac:dyDescent="0.35">
      <c r="A49" s="143" t="s">
        <v>46</v>
      </c>
      <c r="B49" s="33" t="s">
        <v>22</v>
      </c>
      <c r="C49" s="33" t="s">
        <v>15</v>
      </c>
      <c r="D49" s="33" t="str">
        <f t="shared" si="17"/>
        <v>Carb+6ppdqhigh</v>
      </c>
      <c r="E49" s="33" t="s">
        <v>35</v>
      </c>
      <c r="F49" s="33">
        <v>4.12</v>
      </c>
      <c r="G49" s="33">
        <v>2.21</v>
      </c>
      <c r="H49" s="33">
        <v>3.24</v>
      </c>
      <c r="I49" s="34">
        <v>3.7</v>
      </c>
      <c r="J49" s="62">
        <f>0.9847*(F49)+0.019</f>
        <v>4.0759639999999999</v>
      </c>
      <c r="K49" s="9">
        <f>0.9847*(G49)+0.019</f>
        <v>2.1951870000000002</v>
      </c>
      <c r="L49" s="9">
        <f>0.9847*(H49)+0.019</f>
        <v>3.2094280000000004</v>
      </c>
      <c r="M49" s="10">
        <f>0.9847*(I49)+0.019</f>
        <v>3.6623900000000003</v>
      </c>
      <c r="Y49">
        <f>((M49-T$6)/T$6)*100</f>
        <v>16.709576981598936</v>
      </c>
      <c r="AB49">
        <f t="shared" si="19"/>
        <v>13.590710993755511</v>
      </c>
      <c r="AF49">
        <f t="shared" si="1"/>
        <v>-0.41357399999999966</v>
      </c>
      <c r="AI49">
        <f t="shared" si="20"/>
        <v>-64.705882352941217</v>
      </c>
      <c r="AL49">
        <f t="shared" si="21"/>
        <v>-47.169811320754754</v>
      </c>
    </row>
    <row r="50" spans="1:40" x14ac:dyDescent="0.3">
      <c r="A50" s="97" t="s">
        <v>41</v>
      </c>
      <c r="B50" s="98" t="s">
        <v>21</v>
      </c>
      <c r="C50" s="98" t="s">
        <v>19</v>
      </c>
      <c r="D50" s="98" t="str">
        <f>A50&amp;B50&amp;C50</f>
        <v>Carblownutrients</v>
      </c>
      <c r="E50" s="98" t="s">
        <v>32</v>
      </c>
      <c r="F50" s="98">
        <v>3.73</v>
      </c>
      <c r="G50" s="98">
        <v>3.36</v>
      </c>
      <c r="H50" s="98">
        <v>5.38</v>
      </c>
      <c r="I50" s="99">
        <v>10.23</v>
      </c>
      <c r="J50" s="1">
        <f>0.9847*(F50)+0.019</f>
        <v>3.6919310000000003</v>
      </c>
      <c r="K50" s="2">
        <f>0.9847*(G50)+0.019</f>
        <v>3.3275920000000001</v>
      </c>
      <c r="L50" s="2">
        <f>0.9847*(H50)+0.019</f>
        <v>5.3166859999999998</v>
      </c>
      <c r="M50" s="4">
        <f>0.9847*(I50)+0.019</f>
        <v>10.092481000000001</v>
      </c>
      <c r="Q50">
        <f>AVERAGE(J50:J53)</f>
        <v>3.7313190000000005</v>
      </c>
      <c r="R50">
        <f t="shared" ref="R50" si="62">AVERAGE(K50:K53)</f>
        <v>3.4654500000000006</v>
      </c>
      <c r="S50">
        <f t="shared" ref="S50" si="63">AVERAGE(L50:L53)</f>
        <v>5.3733062500000006</v>
      </c>
      <c r="T50">
        <f>AVERAGE(M50:M53)</f>
        <v>8.2461684999999996</v>
      </c>
      <c r="U50">
        <f>_xlfn.STDEV.S(J50:J53)</f>
        <v>0.12219805639207201</v>
      </c>
      <c r="V50">
        <f>_xlfn.STDEV.S(K50:K53)</f>
        <v>0.10042009030069644</v>
      </c>
      <c r="W50">
        <f>_xlfn.STDEV.S(L50:L53)</f>
        <v>0.56779860394414217</v>
      </c>
      <c r="X50">
        <f>_xlfn.STDEV.S(M50:M53)</f>
        <v>1.3825482565238096</v>
      </c>
      <c r="Y50">
        <f>((M50-$T$14)/$T$14)*100</f>
        <v>30.40985144426034</v>
      </c>
      <c r="Z50">
        <f>AVERAGE(Y50:Y53)</f>
        <v>6.5527504158134224</v>
      </c>
      <c r="AA50">
        <f>_xlfn.STDEV.S(Y50:Y53)</f>
        <v>17.864577872159483</v>
      </c>
      <c r="AB50">
        <f>((M50-$T$10)/$T$10)*100</f>
        <v>20.095391083032816</v>
      </c>
      <c r="AC50">
        <f>AVERAGE(AB50:AB53)</f>
        <v>-1.8747886724695286</v>
      </c>
      <c r="AD50">
        <f>_xlfn.STDEV.S(AB50:AB53)</f>
        <v>16.451621118572429</v>
      </c>
      <c r="AF50">
        <f t="shared" si="1"/>
        <v>6.4005500000000008</v>
      </c>
      <c r="AG50">
        <f t="shared" ref="AG50" si="64">AVERAGE(AF50:AF53)</f>
        <v>4.5148495000000004</v>
      </c>
      <c r="AH50">
        <f t="shared" ref="AH50" si="65">_xlfn.STDEV.S(AF50:AF53)</f>
        <v>1.4429243359179751</v>
      </c>
      <c r="AI50">
        <f>((AF50-$AG$14)/$AG$14)*100</f>
        <v>54.486036838978045</v>
      </c>
      <c r="AJ50">
        <f t="shared" ref="AJ50" si="66">AVERAGE(AI50:AI53)</f>
        <v>8.972073677956045</v>
      </c>
      <c r="AK50">
        <f t="shared" ref="AK50" si="67">_xlfn.STDEV.S(AI50:AI53)</f>
        <v>34.826954264005821</v>
      </c>
      <c r="AL50">
        <f>((AF50-$AG$10)/$AG$10)*100</f>
        <v>36.482939632545964</v>
      </c>
      <c r="AM50">
        <v>50.125733445096394</v>
      </c>
      <c r="AN50">
        <v>8.4927058921392025</v>
      </c>
    </row>
    <row r="51" spans="1:40" x14ac:dyDescent="0.3">
      <c r="A51" s="97" t="s">
        <v>41</v>
      </c>
      <c r="B51" s="98" t="s">
        <v>21</v>
      </c>
      <c r="C51" s="98" t="s">
        <v>19</v>
      </c>
      <c r="D51" s="98" t="str">
        <f t="shared" ref="D51:D81" si="68">A51&amp;B51&amp;C51</f>
        <v>Carblownutrients</v>
      </c>
      <c r="E51" s="98" t="s">
        <v>33</v>
      </c>
      <c r="F51" s="98">
        <v>3.82</v>
      </c>
      <c r="G51" s="98">
        <v>3.54</v>
      </c>
      <c r="H51" s="98">
        <v>4.71</v>
      </c>
      <c r="I51" s="99">
        <v>6.91</v>
      </c>
      <c r="J51" s="61">
        <f>0.9847*(F51)+0.019</f>
        <v>3.780554</v>
      </c>
      <c r="K51" s="172">
        <f>0.9847*(G51)+0.019</f>
        <v>3.5048380000000003</v>
      </c>
      <c r="L51" s="172">
        <f>0.9847*(H51)+0.019</f>
        <v>4.6569370000000001</v>
      </c>
      <c r="M51" s="7">
        <f>0.9847*(I51)+0.019</f>
        <v>6.823277</v>
      </c>
      <c r="Y51">
        <f t="shared" ref="Y51:Y81" si="69">((M51-$T$14)/$T$14)*100</f>
        <v>-11.833122110109672</v>
      </c>
      <c r="AB51">
        <f t="shared" ref="AB51:AB81" si="70">((M51-$T$10)/$T$10)*100</f>
        <v>-18.806473870710004</v>
      </c>
      <c r="AF51">
        <f t="shared" si="1"/>
        <v>3.0427230000000001</v>
      </c>
      <c r="AI51">
        <f t="shared" ref="AI51:AI81" si="71">((AF51-$AG$14)/$AG$14)*100</f>
        <v>-26.559714795008905</v>
      </c>
      <c r="AL51">
        <f t="shared" ref="AL51:AL81" si="72">((AF51-$AG$10)/$AG$10)*100</f>
        <v>-35.118110236220467</v>
      </c>
    </row>
    <row r="52" spans="1:40" x14ac:dyDescent="0.3">
      <c r="A52" s="97" t="s">
        <v>41</v>
      </c>
      <c r="B52" s="98" t="s">
        <v>21</v>
      </c>
      <c r="C52" s="98" t="s">
        <v>19</v>
      </c>
      <c r="D52" s="98" t="str">
        <f t="shared" si="68"/>
        <v>Carblownutrients</v>
      </c>
      <c r="E52" s="98" t="s">
        <v>34</v>
      </c>
      <c r="F52" s="98">
        <v>3.91</v>
      </c>
      <c r="G52" s="98">
        <v>3.6</v>
      </c>
      <c r="H52" s="98">
        <v>5.55</v>
      </c>
      <c r="I52" s="99">
        <v>7.81</v>
      </c>
      <c r="J52" s="61">
        <f>0.9847*(F52)+0.019</f>
        <v>3.8691770000000005</v>
      </c>
      <c r="K52" s="172">
        <f>0.9847*(G52)+0.019</f>
        <v>3.5639200000000004</v>
      </c>
      <c r="L52" s="172">
        <f>0.9847*(H52)+0.019</f>
        <v>5.4840850000000003</v>
      </c>
      <c r="M52" s="7">
        <f>0.9847*(I52)+0.019</f>
        <v>7.7095070000000003</v>
      </c>
      <c r="Y52">
        <f t="shared" si="69"/>
        <v>-0.38171361645515106</v>
      </c>
      <c r="AB52">
        <f t="shared" si="70"/>
        <v>-8.2607875880688795</v>
      </c>
      <c r="AF52">
        <f t="shared" si="1"/>
        <v>3.8403299999999998</v>
      </c>
      <c r="AI52">
        <f t="shared" si="71"/>
        <v>-7.30837789661319</v>
      </c>
      <c r="AL52">
        <f t="shared" si="72"/>
        <v>-18.110236220472441</v>
      </c>
    </row>
    <row r="53" spans="1:40" ht="15" thickBot="1" x14ac:dyDescent="0.35">
      <c r="A53" s="144" t="s">
        <v>41</v>
      </c>
      <c r="B53" s="101" t="s">
        <v>21</v>
      </c>
      <c r="C53" s="101" t="s">
        <v>19</v>
      </c>
      <c r="D53" s="101" t="str">
        <f t="shared" si="68"/>
        <v>Carblownutrients</v>
      </c>
      <c r="E53" s="101" t="s">
        <v>35</v>
      </c>
      <c r="F53" s="101">
        <v>3.62</v>
      </c>
      <c r="G53" s="101">
        <v>3.5</v>
      </c>
      <c r="H53" s="101">
        <v>6.11</v>
      </c>
      <c r="I53" s="102">
        <v>8.4700000000000006</v>
      </c>
      <c r="J53" s="62">
        <f>0.9847*(F53)+0.019</f>
        <v>3.5836140000000003</v>
      </c>
      <c r="K53" s="9">
        <f>0.9847*(G53)+0.019</f>
        <v>3.4654500000000001</v>
      </c>
      <c r="L53" s="9">
        <f>0.9847*(H53)+0.019</f>
        <v>6.0355170000000005</v>
      </c>
      <c r="M53" s="10">
        <f>0.9847*(I53)+0.019</f>
        <v>8.3594090000000012</v>
      </c>
      <c r="Y53">
        <f t="shared" si="69"/>
        <v>8.0159859455581728</v>
      </c>
      <c r="AB53">
        <f t="shared" si="70"/>
        <v>-0.52728431413204624</v>
      </c>
      <c r="AF53">
        <f t="shared" si="1"/>
        <v>4.7757950000000005</v>
      </c>
      <c r="AI53">
        <f t="shared" si="71"/>
        <v>15.270350564468229</v>
      </c>
      <c r="AL53">
        <f t="shared" si="72"/>
        <v>1.8372703412073674</v>
      </c>
    </row>
    <row r="54" spans="1:40" x14ac:dyDescent="0.3">
      <c r="A54" s="103" t="s">
        <v>41</v>
      </c>
      <c r="B54" s="39" t="s">
        <v>22</v>
      </c>
      <c r="C54" s="39" t="s">
        <v>19</v>
      </c>
      <c r="D54" s="39" t="str">
        <f t="shared" si="68"/>
        <v>Carbhighnutrients</v>
      </c>
      <c r="E54" s="39" t="s">
        <v>32</v>
      </c>
      <c r="F54" s="39">
        <v>3.59</v>
      </c>
      <c r="G54" s="39">
        <v>3.75</v>
      </c>
      <c r="H54" s="39">
        <v>5.05</v>
      </c>
      <c r="I54" s="40">
        <v>6.7</v>
      </c>
      <c r="J54" s="1">
        <f>0.9847*(F54)+0.019</f>
        <v>3.5540730000000003</v>
      </c>
      <c r="K54" s="2">
        <f>0.9847*(G54)+0.019</f>
        <v>3.7116250000000002</v>
      </c>
      <c r="L54" s="2">
        <f>0.9847*(H54)+0.019</f>
        <v>4.9917350000000003</v>
      </c>
      <c r="M54" s="4">
        <f>0.9847*(I54)+0.019</f>
        <v>6.6164900000000006</v>
      </c>
      <c r="Q54">
        <f>AVERAGE(J54:J57)</f>
        <v>3.5836140000000003</v>
      </c>
      <c r="R54">
        <f t="shared" ref="R54" si="73">AVERAGE(K54:K57)</f>
        <v>3.4088297499999998</v>
      </c>
      <c r="S54">
        <f t="shared" ref="S54" si="74">AVERAGE(L54:L57)</f>
        <v>4.4181472499999996</v>
      </c>
      <c r="T54">
        <f>AVERAGE(M54:M57)</f>
        <v>7.5199522500000002</v>
      </c>
      <c r="U54">
        <f>_xlfn.STDEV.S(J54:J57)</f>
        <v>2.4120125497185924E-2</v>
      </c>
      <c r="V54">
        <f>_xlfn.STDEV.S(K54:K57)</f>
        <v>0.33338312429733169</v>
      </c>
      <c r="W54">
        <f>_xlfn.STDEV.S(L54:L57)</f>
        <v>0.93908153244056403</v>
      </c>
      <c r="X54">
        <f>_xlfn.STDEV.S(M54:M57)</f>
        <v>2.0653109318054064</v>
      </c>
      <c r="Y54">
        <f t="shared" si="69"/>
        <v>-14.505117425295715</v>
      </c>
      <c r="Z54">
        <f>AVERAGE(Y54:Y57)</f>
        <v>-2.831042655375704</v>
      </c>
      <c r="AA54">
        <f>_xlfn.STDEV.S(Y54:Y57)</f>
        <v>26.686886188138462</v>
      </c>
      <c r="AB54">
        <f t="shared" si="70"/>
        <v>-21.267134003326259</v>
      </c>
      <c r="AC54">
        <f>AVERAGE(AB54:AB57)</f>
        <v>-10.516392709633793</v>
      </c>
      <c r="AD54">
        <f>_xlfn.STDEV.S(AB54:AB57)</f>
        <v>24.576149716133536</v>
      </c>
      <c r="AF54">
        <f t="shared" si="1"/>
        <v>3.0624170000000004</v>
      </c>
      <c r="AG54">
        <f t="shared" ref="AG54" si="75">AVERAGE(AF54:AF57)</f>
        <v>3.9363382499999999</v>
      </c>
      <c r="AH54">
        <f t="shared" ref="AH54" si="76">_xlfn.STDEV.S(AF54:AF57)</f>
        <v>2.0555381556087884</v>
      </c>
      <c r="AI54">
        <f t="shared" si="71"/>
        <v>-26.084373143196661</v>
      </c>
      <c r="AJ54">
        <f t="shared" ref="AJ54" si="77">AVERAGE(AI54:AI57)</f>
        <v>-4.9910873440285179</v>
      </c>
      <c r="AK54">
        <f t="shared" ref="AK54" si="78">_xlfn.STDEV.S(AI54:AI57)</f>
        <v>49.613227493153602</v>
      </c>
      <c r="AL54">
        <f t="shared" si="72"/>
        <v>-34.698162729658776</v>
      </c>
      <c r="AM54">
        <v>29.840737636211234</v>
      </c>
      <c r="AN54">
        <v>12.305234972099628</v>
      </c>
    </row>
    <row r="55" spans="1:40" x14ac:dyDescent="0.3">
      <c r="A55" s="103" t="s">
        <v>41</v>
      </c>
      <c r="B55" s="39" t="s">
        <v>22</v>
      </c>
      <c r="C55" s="39" t="s">
        <v>19</v>
      </c>
      <c r="D55" s="39" t="str">
        <f t="shared" si="68"/>
        <v>Carbhighnutrients</v>
      </c>
      <c r="E55" s="39" t="s">
        <v>33</v>
      </c>
      <c r="F55" s="39">
        <v>3.61</v>
      </c>
      <c r="G55" s="39">
        <v>3.67</v>
      </c>
      <c r="H55" s="39">
        <v>5.01</v>
      </c>
      <c r="I55" s="40">
        <v>7.04</v>
      </c>
      <c r="J55" s="61">
        <f>0.9847*(F55)+0.019</f>
        <v>3.5737670000000001</v>
      </c>
      <c r="K55" s="172">
        <f>0.9847*(G55)+0.019</f>
        <v>3.6328490000000002</v>
      </c>
      <c r="L55" s="172">
        <f>0.9847*(H55)+0.019</f>
        <v>4.9523469999999996</v>
      </c>
      <c r="M55" s="7">
        <f>0.9847*(I55)+0.019</f>
        <v>6.9512879999999999</v>
      </c>
      <c r="Y55">
        <f t="shared" si="69"/>
        <v>-10.179029772137353</v>
      </c>
      <c r="AB55">
        <f t="shared" si="70"/>
        <v>-17.283208074328513</v>
      </c>
      <c r="AF55">
        <f t="shared" si="1"/>
        <v>3.3775209999999998</v>
      </c>
      <c r="AI55">
        <f t="shared" si="71"/>
        <v>-18.478906714200832</v>
      </c>
      <c r="AL55">
        <f t="shared" si="72"/>
        <v>-27.979002624671917</v>
      </c>
    </row>
    <row r="56" spans="1:40" x14ac:dyDescent="0.3">
      <c r="A56" s="103" t="s">
        <v>41</v>
      </c>
      <c r="B56" s="39" t="s">
        <v>22</v>
      </c>
      <c r="C56" s="39" t="s">
        <v>19</v>
      </c>
      <c r="D56" s="39" t="str">
        <f t="shared" si="68"/>
        <v>Carbhighnutrients</v>
      </c>
      <c r="E56" s="39" t="s">
        <v>34</v>
      </c>
      <c r="F56" s="39">
        <v>3.64</v>
      </c>
      <c r="G56" s="39">
        <v>3.01</v>
      </c>
      <c r="H56" s="39">
        <v>3.05</v>
      </c>
      <c r="I56" s="40">
        <v>6.03</v>
      </c>
      <c r="J56" s="61">
        <f>0.9847*(F56)+0.019</f>
        <v>3.6033080000000002</v>
      </c>
      <c r="K56" s="172">
        <f>0.9847*(G56)+0.019</f>
        <v>2.9829469999999998</v>
      </c>
      <c r="L56" s="172">
        <f>0.9847*(H56)+0.019</f>
        <v>3.022335</v>
      </c>
      <c r="M56" s="7">
        <f>0.9847*(I56)+0.019</f>
        <v>5.9567410000000001</v>
      </c>
      <c r="Y56">
        <f t="shared" si="69"/>
        <v>-23.030054859460751</v>
      </c>
      <c r="AB56">
        <f t="shared" si="70"/>
        <v>-29.117811569292435</v>
      </c>
      <c r="AF56">
        <f t="shared" si="1"/>
        <v>2.3534329999999999</v>
      </c>
      <c r="AI56">
        <f t="shared" si="71"/>
        <v>-43.196672608437311</v>
      </c>
      <c r="AL56">
        <f t="shared" si="72"/>
        <v>-49.816272965879264</v>
      </c>
    </row>
    <row r="57" spans="1:40" ht="15" thickBot="1" x14ac:dyDescent="0.35">
      <c r="A57" s="145" t="s">
        <v>41</v>
      </c>
      <c r="B57" s="105" t="s">
        <v>22</v>
      </c>
      <c r="C57" s="105" t="s">
        <v>19</v>
      </c>
      <c r="D57" s="105" t="str">
        <f t="shared" si="68"/>
        <v>Carbhighnutrients</v>
      </c>
      <c r="E57" s="105" t="s">
        <v>35</v>
      </c>
      <c r="F57" s="105">
        <v>3.64</v>
      </c>
      <c r="G57" s="105">
        <v>3.34</v>
      </c>
      <c r="H57" s="105">
        <v>4.76</v>
      </c>
      <c r="I57" s="106">
        <v>10.7</v>
      </c>
      <c r="J57" s="62">
        <f>0.9847*(F57)+0.019</f>
        <v>3.6033080000000002</v>
      </c>
      <c r="K57" s="9">
        <f>0.9847*(G57)+0.019</f>
        <v>3.3078980000000002</v>
      </c>
      <c r="L57" s="9">
        <f>0.9847*(H57)+0.019</f>
        <v>4.7061719999999996</v>
      </c>
      <c r="M57" s="10">
        <f>0.9847*(I57)+0.019</f>
        <v>10.555289999999999</v>
      </c>
      <c r="Y57">
        <f t="shared" si="69"/>
        <v>36.390031435391009</v>
      </c>
      <c r="AB57">
        <f t="shared" si="70"/>
        <v>25.602582808412045</v>
      </c>
      <c r="AF57">
        <f t="shared" si="1"/>
        <v>6.9519819999999992</v>
      </c>
      <c r="AI57">
        <f t="shared" si="71"/>
        <v>67.795603089720728</v>
      </c>
      <c r="AL57">
        <f t="shared" si="72"/>
        <v>48.241469816272961</v>
      </c>
    </row>
    <row r="58" spans="1:40" x14ac:dyDescent="0.3">
      <c r="A58" s="107" t="s">
        <v>42</v>
      </c>
      <c r="B58" s="42" t="s">
        <v>21</v>
      </c>
      <c r="C58" s="42" t="s">
        <v>19</v>
      </c>
      <c r="D58" s="42" t="str">
        <f t="shared" si="68"/>
        <v>Carb+Diclownutrients</v>
      </c>
      <c r="E58" s="42" t="s">
        <v>32</v>
      </c>
      <c r="F58" s="42">
        <v>3.73</v>
      </c>
      <c r="G58" s="42">
        <v>3.31</v>
      </c>
      <c r="H58" s="42">
        <v>5.72</v>
      </c>
      <c r="I58" s="43">
        <v>9.0299999999999994</v>
      </c>
      <c r="J58" s="1">
        <f>0.9847*(F58)+0.019</f>
        <v>3.6919310000000003</v>
      </c>
      <c r="K58" s="2">
        <f>0.9847*(G58)+0.019</f>
        <v>3.2783570000000002</v>
      </c>
      <c r="L58" s="2">
        <f>0.9847*(H58)+0.019</f>
        <v>5.651484</v>
      </c>
      <c r="M58" s="4">
        <f>0.9847*(I58)+0.019</f>
        <v>8.9108409999999996</v>
      </c>
      <c r="Q58">
        <f>AVERAGE(J58:J61)</f>
        <v>3.7042397500000002</v>
      </c>
      <c r="R58">
        <f t="shared" ref="R58" si="79">AVERAGE(K58:K61)</f>
        <v>3.101111</v>
      </c>
      <c r="S58">
        <f t="shared" ref="S58" si="80">AVERAGE(L58:L61)</f>
        <v>4.5289260000000002</v>
      </c>
      <c r="T58">
        <f>AVERAGE(M58:M61)</f>
        <v>7.7488949999999992</v>
      </c>
      <c r="U58">
        <f>_xlfn.STDEV.S(J58:J61)</f>
        <v>0.23279704754767969</v>
      </c>
      <c r="V58">
        <f>_xlfn.STDEV.S(K58:K61)</f>
        <v>0.13525443861355047</v>
      </c>
      <c r="W58">
        <f>_xlfn.STDEV.S(L58:L61)</f>
        <v>0.79523289261574048</v>
      </c>
      <c r="X58">
        <f>_xlfn.STDEV.S(M58:M61)</f>
        <v>1.3454524160137902</v>
      </c>
      <c r="Y58">
        <f t="shared" si="69"/>
        <v>15.141306786054296</v>
      </c>
      <c r="Z58">
        <f>AVERAGE(Y58:Y61)</f>
        <v>0.12723787215171312</v>
      </c>
      <c r="AA58">
        <f>_xlfn.STDEV.S(Y58:Y61)</f>
        <v>17.385244490198097</v>
      </c>
      <c r="AB58">
        <f t="shared" si="70"/>
        <v>6.0344760395112997</v>
      </c>
      <c r="AC58">
        <f>AVERAGE(AB58:AB61)</f>
        <v>-7.7920904199514993</v>
      </c>
      <c r="AD58">
        <f>_xlfn.STDEV.S(AB58:AB61)</f>
        <v>16.010199482643266</v>
      </c>
      <c r="AF58">
        <f t="shared" si="1"/>
        <v>5.2189099999999993</v>
      </c>
      <c r="AG58">
        <f t="shared" ref="AG58" si="81">AVERAGE(AF58:AF61)</f>
        <v>4.0446552499999999</v>
      </c>
      <c r="AH58">
        <f t="shared" ref="AH58" si="82">_xlfn.STDEV.S(AF58:AF61)</f>
        <v>1.3363984997323652</v>
      </c>
      <c r="AI58">
        <f t="shared" si="71"/>
        <v>25.965537730243604</v>
      </c>
      <c r="AJ58">
        <f t="shared" ref="AJ58" si="83">AVERAGE(AI58:AI61)</f>
        <v>-2.376708259061199</v>
      </c>
      <c r="AK58">
        <f t="shared" ref="AK58" si="84">_xlfn.STDEV.S(AI58:AI61)</f>
        <v>32.25580736986808</v>
      </c>
      <c r="AL58">
        <f t="shared" si="72"/>
        <v>11.286089238845138</v>
      </c>
      <c r="AM58">
        <v>5.8675607711651381</v>
      </c>
      <c r="AN58">
        <v>21.366411406837965</v>
      </c>
    </row>
    <row r="59" spans="1:40" x14ac:dyDescent="0.3">
      <c r="A59" s="107" t="s">
        <v>42</v>
      </c>
      <c r="B59" s="42" t="s">
        <v>21</v>
      </c>
      <c r="C59" s="42" t="s">
        <v>19</v>
      </c>
      <c r="D59" s="42" t="str">
        <f t="shared" si="68"/>
        <v>Carb+Diclownutrients</v>
      </c>
      <c r="E59" s="42" t="s">
        <v>33</v>
      </c>
      <c r="F59" s="42">
        <v>3.6</v>
      </c>
      <c r="G59" s="42">
        <v>3.05</v>
      </c>
      <c r="H59" s="42">
        <v>4.33</v>
      </c>
      <c r="I59" s="43">
        <v>8.73</v>
      </c>
      <c r="J59" s="61">
        <f>0.9847*(F59)+0.019</f>
        <v>3.5639200000000004</v>
      </c>
      <c r="K59" s="172">
        <f>0.9847*(G59)+0.019</f>
        <v>3.022335</v>
      </c>
      <c r="L59" s="172">
        <f>0.9847*(H59)+0.019</f>
        <v>4.2827510000000002</v>
      </c>
      <c r="M59" s="7">
        <f>0.9847*(I59)+0.019</f>
        <v>8.6154310000000009</v>
      </c>
      <c r="Y59">
        <f t="shared" si="69"/>
        <v>11.324170621502807</v>
      </c>
      <c r="AB59">
        <f t="shared" si="70"/>
        <v>2.5192472786309419</v>
      </c>
      <c r="AF59">
        <f t="shared" si="1"/>
        <v>5.0515110000000005</v>
      </c>
      <c r="AI59">
        <f t="shared" si="71"/>
        <v>21.925133689839594</v>
      </c>
      <c r="AL59">
        <f t="shared" si="72"/>
        <v>7.7165354330708871</v>
      </c>
    </row>
    <row r="60" spans="1:40" x14ac:dyDescent="0.3">
      <c r="A60" s="107" t="s">
        <v>42</v>
      </c>
      <c r="B60" s="42" t="s">
        <v>21</v>
      </c>
      <c r="C60" s="42" t="s">
        <v>19</v>
      </c>
      <c r="D60" s="42" t="str">
        <f t="shared" si="68"/>
        <v>Carb+Diclownutrients</v>
      </c>
      <c r="E60" s="42" t="s">
        <v>34</v>
      </c>
      <c r="F60" s="42">
        <v>3.56</v>
      </c>
      <c r="G60" s="42">
        <v>3.16</v>
      </c>
      <c r="H60" s="42">
        <v>3.82</v>
      </c>
      <c r="I60" s="43">
        <v>6.01</v>
      </c>
      <c r="J60" s="61">
        <f>0.9847*(F60)+0.019</f>
        <v>3.5245320000000002</v>
      </c>
      <c r="K60" s="172">
        <f>0.9847*(G60)+0.019</f>
        <v>3.1306520000000004</v>
      </c>
      <c r="L60" s="172">
        <f>0.9847*(H60)+0.019</f>
        <v>3.780554</v>
      </c>
      <c r="M60" s="7">
        <f>0.9847*(I60)+0.019</f>
        <v>5.9370469999999997</v>
      </c>
      <c r="Y60">
        <f t="shared" si="69"/>
        <v>-23.284530603764193</v>
      </c>
      <c r="AB60">
        <f t="shared" si="70"/>
        <v>-29.352160153351132</v>
      </c>
      <c r="AF60">
        <f t="shared" si="1"/>
        <v>2.4125149999999995</v>
      </c>
      <c r="AI60">
        <f t="shared" si="71"/>
        <v>-41.770647653000601</v>
      </c>
      <c r="AL60">
        <f t="shared" si="72"/>
        <v>-48.556430446194234</v>
      </c>
    </row>
    <row r="61" spans="1:40" ht="15" thickBot="1" x14ac:dyDescent="0.35">
      <c r="A61" s="146" t="s">
        <v>42</v>
      </c>
      <c r="B61" s="109" t="s">
        <v>21</v>
      </c>
      <c r="C61" s="109" t="s">
        <v>19</v>
      </c>
      <c r="D61" s="109" t="str">
        <f t="shared" si="68"/>
        <v>Carb+Diclownutrients</v>
      </c>
      <c r="E61" s="109" t="s">
        <v>35</v>
      </c>
      <c r="F61" s="109">
        <v>4.08</v>
      </c>
      <c r="G61" s="109">
        <v>3</v>
      </c>
      <c r="H61" s="109">
        <v>4.45</v>
      </c>
      <c r="I61" s="110">
        <v>7.63</v>
      </c>
      <c r="J61" s="62">
        <f>0.9847*(F61)+0.019</f>
        <v>4.0365760000000002</v>
      </c>
      <c r="K61" s="9">
        <f>0.9847*(G61)+0.019</f>
        <v>2.9731000000000001</v>
      </c>
      <c r="L61" s="9">
        <f>0.9847*(H61)+0.019</f>
        <v>4.4009150000000004</v>
      </c>
      <c r="M61" s="10">
        <f>0.9847*(I61)+0.019</f>
        <v>7.5322610000000001</v>
      </c>
      <c r="Y61">
        <f t="shared" si="69"/>
        <v>-2.6719953151860576</v>
      </c>
      <c r="AB61">
        <f t="shared" si="70"/>
        <v>-10.369924844597108</v>
      </c>
      <c r="AF61">
        <f t="shared" si="1"/>
        <v>3.4956849999999999</v>
      </c>
      <c r="AI61">
        <f t="shared" si="71"/>
        <v>-15.626856803327389</v>
      </c>
      <c r="AL61">
        <f t="shared" si="72"/>
        <v>-25.459317585301832</v>
      </c>
    </row>
    <row r="62" spans="1:40" x14ac:dyDescent="0.3">
      <c r="A62" s="111" t="s">
        <v>42</v>
      </c>
      <c r="B62" s="112" t="s">
        <v>22</v>
      </c>
      <c r="C62" s="112" t="s">
        <v>19</v>
      </c>
      <c r="D62" s="112" t="str">
        <f t="shared" si="68"/>
        <v>Carb+Dichighnutrients</v>
      </c>
      <c r="E62" s="112" t="s">
        <v>32</v>
      </c>
      <c r="F62" s="112">
        <v>3.75</v>
      </c>
      <c r="G62" s="112">
        <v>3.24</v>
      </c>
      <c r="H62" s="112">
        <v>5.63</v>
      </c>
      <c r="I62" s="113">
        <v>8.02</v>
      </c>
      <c r="J62" s="1">
        <f>0.9847*(F62)+0.019</f>
        <v>3.7116250000000002</v>
      </c>
      <c r="K62" s="2">
        <f>0.9847*(G62)+0.019</f>
        <v>3.2094280000000004</v>
      </c>
      <c r="L62" s="2">
        <f>0.9847*(H62)+0.019</f>
        <v>5.5628609999999998</v>
      </c>
      <c r="M62" s="4">
        <f>0.9847*(I62)+0.019</f>
        <v>7.9162939999999997</v>
      </c>
      <c r="Q62">
        <f>AVERAGE(J62:J65)</f>
        <v>3.6746987500000001</v>
      </c>
      <c r="R62">
        <f t="shared" ref="R62" si="85">AVERAGE(K62:K65)</f>
        <v>3.455603</v>
      </c>
      <c r="S62">
        <f t="shared" ref="S62" si="86">AVERAGE(L62:L65)</f>
        <v>5.5973255000000002</v>
      </c>
      <c r="T62">
        <f>AVERAGE(M62:M65)</f>
        <v>9.5927457499999988</v>
      </c>
      <c r="U62">
        <f>_xlfn.STDEV.S(J62:J65)</f>
        <v>8.8577400305702311E-2</v>
      </c>
      <c r="V62">
        <f>_xlfn.STDEV.S(K62:K65)</f>
        <v>0.23274497737795891</v>
      </c>
      <c r="W62">
        <f>_xlfn.STDEV.S(L62:L65)</f>
        <v>0.10436581310148144</v>
      </c>
      <c r="X62">
        <f>_xlfn.STDEV.S(M62:M65)</f>
        <v>1.1961673394873622</v>
      </c>
      <c r="Y62">
        <f t="shared" si="69"/>
        <v>2.2902816987308947</v>
      </c>
      <c r="Z62">
        <f>AVERAGE(Y62:Y65)</f>
        <v>23.952529432560688</v>
      </c>
      <c r="AA62">
        <f>_xlfn.STDEV.S(Y62:Y65)</f>
        <v>15.456259471285776</v>
      </c>
      <c r="AB62">
        <f t="shared" si="70"/>
        <v>-5.8001274554526248</v>
      </c>
      <c r="AC62">
        <f>AVERAGE(AB62:AB65)</f>
        <v>14.1487957625435</v>
      </c>
      <c r="AD62">
        <f>_xlfn.STDEV.S(AB62:AB65)</f>
        <v>14.233782995131172</v>
      </c>
      <c r="AF62">
        <f t="shared" si="1"/>
        <v>4.2046689999999991</v>
      </c>
      <c r="AG62">
        <f t="shared" ref="AG62" si="87">AVERAGE(AF62:AF65)</f>
        <v>5.9180469999999996</v>
      </c>
      <c r="AH62">
        <f t="shared" ref="AH62" si="88">_xlfn.STDEV.S(AF62:AF65)</f>
        <v>1.1922869697403675</v>
      </c>
      <c r="AI62">
        <f t="shared" si="71"/>
        <v>1.4854426619132344</v>
      </c>
      <c r="AJ62">
        <f t="shared" ref="AJ62" si="89">AVERAGE(AI62:AI65)</f>
        <v>42.840166369578135</v>
      </c>
      <c r="AK62">
        <f t="shared" ref="AK62" si="90">_xlfn.STDEV.S(AI62:AI65)</f>
        <v>28.77747829951236</v>
      </c>
      <c r="AL62">
        <f t="shared" si="72"/>
        <v>-10.341207349081376</v>
      </c>
      <c r="AM62">
        <v>6.2866722548197949</v>
      </c>
      <c r="AN62">
        <v>31.195711486256108</v>
      </c>
    </row>
    <row r="63" spans="1:40" x14ac:dyDescent="0.3">
      <c r="A63" s="111" t="s">
        <v>42</v>
      </c>
      <c r="B63" s="112" t="s">
        <v>22</v>
      </c>
      <c r="C63" s="112" t="s">
        <v>19</v>
      </c>
      <c r="D63" s="112" t="str">
        <f t="shared" si="68"/>
        <v>Carb+Dichighnutrients</v>
      </c>
      <c r="E63" s="112" t="s">
        <v>33</v>
      </c>
      <c r="F63" s="112">
        <v>3.82</v>
      </c>
      <c r="G63" s="112">
        <v>3.8</v>
      </c>
      <c r="H63" s="112">
        <v>5.79</v>
      </c>
      <c r="I63" s="113">
        <v>10.9</v>
      </c>
      <c r="J63" s="61">
        <f>0.9847*(F63)+0.019</f>
        <v>3.780554</v>
      </c>
      <c r="K63" s="172">
        <f>0.9847*(G63)+0.019</f>
        <v>3.7608600000000001</v>
      </c>
      <c r="L63" s="172">
        <f>0.9847*(H63)+0.019</f>
        <v>5.7204130000000006</v>
      </c>
      <c r="M63" s="7">
        <f>0.9847*(I63)+0.019</f>
        <v>10.752230000000001</v>
      </c>
      <c r="Y63">
        <f t="shared" si="69"/>
        <v>38.934788878425358</v>
      </c>
      <c r="AB63">
        <f t="shared" si="70"/>
        <v>27.946068648998978</v>
      </c>
      <c r="AF63">
        <f t="shared" si="1"/>
        <v>6.9716760000000004</v>
      </c>
      <c r="AI63">
        <f t="shared" si="71"/>
        <v>68.270944741533</v>
      </c>
      <c r="AL63">
        <f t="shared" si="72"/>
        <v>48.661417322834666</v>
      </c>
    </row>
    <row r="64" spans="1:40" x14ac:dyDescent="0.3">
      <c r="A64" s="111" t="s">
        <v>42</v>
      </c>
      <c r="B64" s="112" t="s">
        <v>22</v>
      </c>
      <c r="C64" s="112" t="s">
        <v>19</v>
      </c>
      <c r="D64" s="112" t="str">
        <f t="shared" si="68"/>
        <v>Carb+Dichighnutrients</v>
      </c>
      <c r="E64" s="112" t="s">
        <v>34</v>
      </c>
      <c r="F64" s="112">
        <v>3.66</v>
      </c>
      <c r="G64" s="112">
        <v>3.4</v>
      </c>
      <c r="H64" s="112">
        <v>5.54</v>
      </c>
      <c r="I64" s="113">
        <v>10.029999999999999</v>
      </c>
      <c r="J64" s="61">
        <f>0.9847*(F64)+0.019</f>
        <v>3.6230020000000005</v>
      </c>
      <c r="K64" s="172">
        <f>0.9847*(G64)+0.019</f>
        <v>3.3669800000000003</v>
      </c>
      <c r="L64" s="172">
        <f>0.9847*(H64)+0.019</f>
        <v>5.4742380000000006</v>
      </c>
      <c r="M64" s="7">
        <f>0.9847*(I64)+0.019</f>
        <v>9.8955409999999997</v>
      </c>
      <c r="Y64">
        <f t="shared" si="69"/>
        <v>27.86509400122598</v>
      </c>
      <c r="AB64">
        <f t="shared" si="70"/>
        <v>17.751905242445883</v>
      </c>
      <c r="AF64">
        <f t="shared" si="1"/>
        <v>6.2725389999999992</v>
      </c>
      <c r="AI64">
        <f t="shared" si="71"/>
        <v>51.396316102198448</v>
      </c>
      <c r="AL64">
        <f t="shared" si="72"/>
        <v>33.753280839895005</v>
      </c>
    </row>
    <row r="65" spans="1:40" ht="15" thickBot="1" x14ac:dyDescent="0.35">
      <c r="A65" s="147" t="s">
        <v>42</v>
      </c>
      <c r="B65" s="115" t="s">
        <v>22</v>
      </c>
      <c r="C65" s="115" t="s">
        <v>19</v>
      </c>
      <c r="D65" s="115" t="str">
        <f t="shared" si="68"/>
        <v>Carb+Dichighnutrients</v>
      </c>
      <c r="E65" s="115" t="s">
        <v>35</v>
      </c>
      <c r="F65" s="115">
        <v>3.62</v>
      </c>
      <c r="G65" s="115">
        <v>3.52</v>
      </c>
      <c r="H65" s="115">
        <v>5.7</v>
      </c>
      <c r="I65" s="116">
        <v>9.94</v>
      </c>
      <c r="J65" s="62">
        <f>0.9847*(F65)+0.019</f>
        <v>3.5836140000000003</v>
      </c>
      <c r="K65" s="9">
        <f>0.9847*(G65)+0.019</f>
        <v>3.485144</v>
      </c>
      <c r="L65" s="9">
        <f>0.9847*(H65)+0.019</f>
        <v>5.6317900000000005</v>
      </c>
      <c r="M65" s="10">
        <f>0.9847*(I65)+0.019</f>
        <v>9.8069179999999996</v>
      </c>
      <c r="Y65">
        <f t="shared" si="69"/>
        <v>26.719953151860526</v>
      </c>
      <c r="AB65">
        <f t="shared" si="70"/>
        <v>16.697336614181769</v>
      </c>
      <c r="AF65">
        <f t="shared" si="1"/>
        <v>6.2233039999999988</v>
      </c>
      <c r="AI65">
        <f t="shared" si="71"/>
        <v>50.207961972667839</v>
      </c>
      <c r="AL65">
        <f t="shared" si="72"/>
        <v>32.703412073490803</v>
      </c>
    </row>
    <row r="66" spans="1:40" x14ac:dyDescent="0.3">
      <c r="A66" s="117" t="s">
        <v>44</v>
      </c>
      <c r="B66" s="48" t="s">
        <v>21</v>
      </c>
      <c r="C66" s="48" t="s">
        <v>19</v>
      </c>
      <c r="D66" s="48" t="str">
        <f t="shared" si="68"/>
        <v>Carb+PFOSlownutrients</v>
      </c>
      <c r="E66" s="48" t="s">
        <v>32</v>
      </c>
      <c r="F66" s="48">
        <v>4.1900000000000004</v>
      </c>
      <c r="G66" s="48">
        <v>3.27</v>
      </c>
      <c r="H66" s="48">
        <v>5.52</v>
      </c>
      <c r="I66" s="49">
        <v>7.24</v>
      </c>
      <c r="J66" s="1">
        <f>0.9847*(F66)+0.019</f>
        <v>4.1448930000000006</v>
      </c>
      <c r="K66" s="2">
        <f>0.9847*(G66)+0.019</f>
        <v>3.2389690000000004</v>
      </c>
      <c r="L66" s="2">
        <f>0.9847*(H66)+0.019</f>
        <v>5.4545439999999994</v>
      </c>
      <c r="M66" s="4">
        <f>0.9847*(I66)+0.019</f>
        <v>7.1482280000000005</v>
      </c>
      <c r="Q66">
        <f>AVERAGE(J66:J69)</f>
        <v>4.0070350000000001</v>
      </c>
      <c r="R66">
        <f t="shared" ref="R66" si="91">AVERAGE(K66:K69)</f>
        <v>3.1971192500000001</v>
      </c>
      <c r="S66">
        <f t="shared" ref="S66" si="92">AVERAGE(L66:L69)</f>
        <v>5.5530140000000001</v>
      </c>
      <c r="T66">
        <f>AVERAGE(M66:M69)</f>
        <v>6.7568097500000004</v>
      </c>
      <c r="U66">
        <f>_xlfn.STDEV.S(J66:J69)</f>
        <v>0.18281152854419977</v>
      </c>
      <c r="V66">
        <f>_xlfn.STDEV.S(K66:K69)</f>
        <v>0.1950228119483719</v>
      </c>
      <c r="W66">
        <f>_xlfn.STDEV.S(L66:L69)</f>
        <v>0.84924309602257209</v>
      </c>
      <c r="X66">
        <f>_xlfn.STDEV.S(M66:M69)</f>
        <v>2.1441658786526392</v>
      </c>
      <c r="Y66">
        <f t="shared" si="69"/>
        <v>-7.634272329103009</v>
      </c>
      <c r="Z66">
        <f>AVERAGE(Y66:Y69)</f>
        <v>-12.691977747133761</v>
      </c>
      <c r="AA66">
        <f>_xlfn.STDEV.S(Y66:Y69)</f>
        <v>27.70580927592955</v>
      </c>
      <c r="AB66">
        <f t="shared" si="70"/>
        <v>-14.939722233741589</v>
      </c>
      <c r="AC66">
        <f>AVERAGE(AB66:AB69)</f>
        <v>-19.597400341908088</v>
      </c>
      <c r="AD66">
        <f>_xlfn.STDEV.S(AB66:AB69)</f>
        <v>25.514483479699742</v>
      </c>
      <c r="AF66">
        <f t="shared" si="1"/>
        <v>3.0033349999999999</v>
      </c>
      <c r="AG66">
        <f t="shared" ref="AG66" si="93">AVERAGE(AF66:AF69)</f>
        <v>2.7497747499999998</v>
      </c>
      <c r="AH66">
        <f t="shared" ref="AH66" si="94">_xlfn.STDEV.S(AF66:AF69)</f>
        <v>2.0903857511410617</v>
      </c>
      <c r="AI66">
        <f t="shared" si="71"/>
        <v>-27.510398098633392</v>
      </c>
      <c r="AJ66">
        <f t="shared" ref="AJ66" si="95">AVERAGE(AI66:AI69)</f>
        <v>-33.630421865715988</v>
      </c>
      <c r="AK66">
        <f t="shared" ref="AK66" si="96">_xlfn.STDEV.S(AI66:AI69)</f>
        <v>50.454321918968347</v>
      </c>
      <c r="AL66">
        <f t="shared" si="72"/>
        <v>-35.958005249343827</v>
      </c>
      <c r="AM66">
        <v>-39.564124056999155</v>
      </c>
      <c r="AN66">
        <v>16.087767768829355</v>
      </c>
    </row>
    <row r="67" spans="1:40" x14ac:dyDescent="0.3">
      <c r="A67" s="117" t="s">
        <v>44</v>
      </c>
      <c r="B67" s="48" t="s">
        <v>21</v>
      </c>
      <c r="C67" s="48" t="s">
        <v>19</v>
      </c>
      <c r="D67" s="48" t="str">
        <f t="shared" si="68"/>
        <v>Carb+PFOSlownutrients</v>
      </c>
      <c r="E67" s="48" t="s">
        <v>33</v>
      </c>
      <c r="F67" s="48">
        <v>3.88</v>
      </c>
      <c r="G67" s="48">
        <v>2.94</v>
      </c>
      <c r="H67" s="48">
        <v>4.4400000000000004</v>
      </c>
      <c r="I67" s="49">
        <v>3.75</v>
      </c>
      <c r="J67" s="61">
        <f>0.9847*(F67)+0.019</f>
        <v>3.839636</v>
      </c>
      <c r="K67" s="172">
        <f>0.9847*(G67)+0.019</f>
        <v>2.914018</v>
      </c>
      <c r="L67" s="172">
        <f>0.9847*(H67)+0.019</f>
        <v>4.3910680000000006</v>
      </c>
      <c r="M67" s="7">
        <f>0.9847*(I67)+0.019</f>
        <v>3.7116250000000002</v>
      </c>
      <c r="Y67">
        <f t="shared" si="69"/>
        <v>-52.0402897100522</v>
      </c>
      <c r="AB67">
        <f t="shared" si="70"/>
        <v>-55.833550151983282</v>
      </c>
      <c r="AF67">
        <f t="shared" ref="AF67:AF81" si="97">M67-J67</f>
        <v>-0.12801099999999987</v>
      </c>
      <c r="AI67">
        <f t="shared" si="71"/>
        <v>-103.08972073677955</v>
      </c>
      <c r="AL67">
        <f t="shared" si="72"/>
        <v>-102.72965879265092</v>
      </c>
    </row>
    <row r="68" spans="1:40" x14ac:dyDescent="0.3">
      <c r="A68" s="117" t="s">
        <v>44</v>
      </c>
      <c r="B68" s="48" t="s">
        <v>21</v>
      </c>
      <c r="C68" s="48" t="s">
        <v>19</v>
      </c>
      <c r="D68" s="48" t="str">
        <f t="shared" si="68"/>
        <v>Carb+PFOSlownutrients</v>
      </c>
      <c r="E68" s="48" t="s">
        <v>34</v>
      </c>
      <c r="F68" s="48">
        <v>3.9</v>
      </c>
      <c r="G68" s="48">
        <v>3.39</v>
      </c>
      <c r="H68" s="48">
        <v>6.19</v>
      </c>
      <c r="I68" s="49">
        <v>8.85</v>
      </c>
      <c r="J68" s="61">
        <f>0.9847*(F68)+0.019</f>
        <v>3.8593299999999999</v>
      </c>
      <c r="K68" s="172">
        <f>0.9847*(G68)+0.019</f>
        <v>3.3571330000000001</v>
      </c>
      <c r="L68" s="172">
        <f>0.9847*(H68)+0.019</f>
        <v>6.1142930000000009</v>
      </c>
      <c r="M68" s="7">
        <f>0.9847*(I68)+0.019</f>
        <v>8.7335949999999993</v>
      </c>
      <c r="Y68">
        <f t="shared" si="69"/>
        <v>12.851025087323386</v>
      </c>
      <c r="AB68">
        <f t="shared" si="70"/>
        <v>3.9253387829830717</v>
      </c>
      <c r="AF68">
        <f t="shared" si="97"/>
        <v>4.8742649999999994</v>
      </c>
      <c r="AI68">
        <f t="shared" si="71"/>
        <v>17.647058823529406</v>
      </c>
      <c r="AL68">
        <f t="shared" si="72"/>
        <v>3.9370078740157437</v>
      </c>
    </row>
    <row r="69" spans="1:40" ht="15" thickBot="1" x14ac:dyDescent="0.35">
      <c r="A69" s="148" t="s">
        <v>44</v>
      </c>
      <c r="B69" s="119" t="s">
        <v>21</v>
      </c>
      <c r="C69" s="119" t="s">
        <v>19</v>
      </c>
      <c r="D69" s="119" t="str">
        <f t="shared" si="68"/>
        <v>Carb+PFOSlownutrients</v>
      </c>
      <c r="E69" s="119" t="s">
        <v>35</v>
      </c>
      <c r="F69" s="119">
        <v>4.2300000000000004</v>
      </c>
      <c r="G69" s="119">
        <v>3.31</v>
      </c>
      <c r="H69" s="119">
        <v>6.33</v>
      </c>
      <c r="I69" s="120">
        <v>7.53</v>
      </c>
      <c r="J69" s="62">
        <f>0.9847*(F69)+0.019</f>
        <v>4.1842810000000004</v>
      </c>
      <c r="K69" s="9">
        <f>0.9847*(G69)+0.019</f>
        <v>3.2783570000000002</v>
      </c>
      <c r="L69" s="9">
        <f>0.9847*(H69)+0.019</f>
        <v>6.2521510000000005</v>
      </c>
      <c r="M69" s="10">
        <f>0.9847*(I69)+0.019</f>
        <v>7.4337910000000003</v>
      </c>
      <c r="Y69">
        <f t="shared" si="69"/>
        <v>-3.9443740367032234</v>
      </c>
      <c r="AB69">
        <f t="shared" si="70"/>
        <v>-11.541667764890564</v>
      </c>
      <c r="AF69">
        <f t="shared" si="97"/>
        <v>3.2495099999999999</v>
      </c>
      <c r="AI69">
        <f t="shared" si="71"/>
        <v>-21.56862745098039</v>
      </c>
      <c r="AL69">
        <f t="shared" si="72"/>
        <v>-30.70866141732283</v>
      </c>
    </row>
    <row r="70" spans="1:40" x14ac:dyDescent="0.3">
      <c r="A70" s="121" t="s">
        <v>44</v>
      </c>
      <c r="B70" s="51" t="s">
        <v>22</v>
      </c>
      <c r="C70" s="51" t="s">
        <v>19</v>
      </c>
      <c r="D70" s="51" t="str">
        <f t="shared" si="68"/>
        <v>Carb+PFOShighnutrients</v>
      </c>
      <c r="E70" s="51" t="s">
        <v>32</v>
      </c>
      <c r="F70" s="51">
        <v>3.97</v>
      </c>
      <c r="G70" s="51">
        <v>3.06</v>
      </c>
      <c r="H70" s="51">
        <v>5.07</v>
      </c>
      <c r="I70" s="52">
        <v>5.69</v>
      </c>
      <c r="J70" s="1">
        <f>0.9847*(F70)+0.019</f>
        <v>3.9282590000000006</v>
      </c>
      <c r="K70" s="2">
        <f>0.9847*(G70)+0.019</f>
        <v>3.0321820000000002</v>
      </c>
      <c r="L70" s="2">
        <f>0.9847*(H70)+0.019</f>
        <v>5.0114290000000006</v>
      </c>
      <c r="M70" s="4">
        <f>0.9847*(I70)+0.019</f>
        <v>5.6219430000000008</v>
      </c>
      <c r="Q70">
        <f>AVERAGE(J70:J73)</f>
        <v>3.8347125000000002</v>
      </c>
      <c r="R70">
        <f t="shared" ref="R70" si="98">AVERAGE(K70:K73)</f>
        <v>2.9804852500000001</v>
      </c>
      <c r="S70">
        <f t="shared" ref="S70" si="99">AVERAGE(L70:L73)</f>
        <v>5.6416370000000002</v>
      </c>
      <c r="T70">
        <f>AVERAGE(M70:M73)</f>
        <v>6.7100365000000002</v>
      </c>
      <c r="U70">
        <f>_xlfn.STDEV.S(J70:J73)</f>
        <v>9.0428134407016025E-2</v>
      </c>
      <c r="V70">
        <f>_xlfn.STDEV.S(K70:K73)</f>
        <v>0.1489850340702604</v>
      </c>
      <c r="W70">
        <f>_xlfn.STDEV.S(L70:L73)</f>
        <v>0.69331085347723898</v>
      </c>
      <c r="X70">
        <f>_xlfn.STDEV.S(M70:M73)</f>
        <v>0.87767285604166279</v>
      </c>
      <c r="Y70">
        <f t="shared" si="69"/>
        <v>-27.356142512619115</v>
      </c>
      <c r="Z70">
        <f>AVERAGE(Y70:Y73)</f>
        <v>-13.296357639854413</v>
      </c>
      <c r="AA70">
        <f>_xlfn.STDEV.S(Y70:Y73)</f>
        <v>11.340837478222964</v>
      </c>
      <c r="AB70">
        <f t="shared" si="70"/>
        <v>-33.101737498290184</v>
      </c>
      <c r="AC70">
        <f>AVERAGE(AB70:AB73)</f>
        <v>-20.153978229047478</v>
      </c>
      <c r="AD70">
        <f>_xlfn.STDEV.S(AB70:AB73)</f>
        <v>10.443860621514785</v>
      </c>
      <c r="AF70">
        <f t="shared" si="97"/>
        <v>1.6936840000000002</v>
      </c>
      <c r="AG70">
        <f t="shared" ref="AG70" si="100">AVERAGE(AF70:AF73)</f>
        <v>2.875324</v>
      </c>
      <c r="AH70">
        <f t="shared" ref="AH70" si="101">_xlfn.STDEV.S(AF70:AF73)</f>
        <v>0.92889453413973067</v>
      </c>
      <c r="AI70">
        <f t="shared" si="71"/>
        <v>-59.120617944147348</v>
      </c>
      <c r="AJ70">
        <f t="shared" ref="AJ70" si="102">AVERAGE(AI70:AI73)</f>
        <v>-30.60011883541295</v>
      </c>
      <c r="AK70">
        <f t="shared" ref="AK70" si="103">_xlfn.STDEV.S(AI70:AI73)</f>
        <v>22.420141272333733</v>
      </c>
      <c r="AL70">
        <f t="shared" si="72"/>
        <v>-63.884514435695529</v>
      </c>
      <c r="AM70">
        <v>-54.652137468566636</v>
      </c>
      <c r="AN70">
        <v>19.59721557473674</v>
      </c>
    </row>
    <row r="71" spans="1:40" x14ac:dyDescent="0.3">
      <c r="A71" s="121" t="s">
        <v>44</v>
      </c>
      <c r="B71" s="51" t="s">
        <v>22</v>
      </c>
      <c r="C71" s="51" t="s">
        <v>19</v>
      </c>
      <c r="D71" s="51" t="str">
        <f t="shared" si="68"/>
        <v>Carb+PFOShighnutrients</v>
      </c>
      <c r="E71" s="51" t="s">
        <v>33</v>
      </c>
      <c r="F71" s="51">
        <v>3.75</v>
      </c>
      <c r="G71" s="51">
        <v>2.79</v>
      </c>
      <c r="H71" s="51">
        <v>5.45</v>
      </c>
      <c r="I71" s="52">
        <v>7.01</v>
      </c>
      <c r="J71" s="61">
        <f>0.9847*(F71)+0.019</f>
        <v>3.7116250000000002</v>
      </c>
      <c r="K71" s="172">
        <f>0.9847*(G71)+0.019</f>
        <v>2.7663130000000002</v>
      </c>
      <c r="L71" s="172">
        <f>0.9847*(H71)+0.019</f>
        <v>5.3856150000000005</v>
      </c>
      <c r="M71" s="7">
        <f>0.9847*(I71)+0.019</f>
        <v>6.9217469999999999</v>
      </c>
      <c r="Y71">
        <f t="shared" si="69"/>
        <v>-10.560743388592504</v>
      </c>
      <c r="AB71">
        <f t="shared" si="70"/>
        <v>-17.63473095041655</v>
      </c>
      <c r="AF71">
        <f t="shared" si="97"/>
        <v>3.2101219999999997</v>
      </c>
      <c r="AI71">
        <f t="shared" si="71"/>
        <v>-22.519310754604874</v>
      </c>
      <c r="AL71">
        <f t="shared" si="72"/>
        <v>-31.548556430446194</v>
      </c>
    </row>
    <row r="72" spans="1:40" x14ac:dyDescent="0.3">
      <c r="A72" s="121" t="s">
        <v>44</v>
      </c>
      <c r="B72" s="51" t="s">
        <v>22</v>
      </c>
      <c r="C72" s="51" t="s">
        <v>19</v>
      </c>
      <c r="D72" s="51" t="str">
        <f t="shared" si="68"/>
        <v>Carb+PFOShighnutrients</v>
      </c>
      <c r="E72" s="51" t="s">
        <v>34</v>
      </c>
      <c r="F72" s="51">
        <v>3.88</v>
      </c>
      <c r="G72" s="51">
        <v>3.04</v>
      </c>
      <c r="H72" s="51">
        <v>5.61</v>
      </c>
      <c r="I72" s="52">
        <v>7.84</v>
      </c>
      <c r="J72" s="61">
        <f>0.9847*(F72)+0.019</f>
        <v>3.839636</v>
      </c>
      <c r="K72" s="172">
        <f>0.9847*(G72)+0.019</f>
        <v>3.0124880000000003</v>
      </c>
      <c r="L72" s="172">
        <f>0.9847*(H72)+0.019</f>
        <v>5.5431670000000004</v>
      </c>
      <c r="M72" s="7">
        <f>0.9847*(I72)+0.019</f>
        <v>7.7390480000000004</v>
      </c>
      <c r="Y72">
        <f t="shared" si="69"/>
        <v>0</v>
      </c>
      <c r="AB72">
        <f t="shared" si="70"/>
        <v>-7.9092647119808417</v>
      </c>
      <c r="AF72">
        <f t="shared" si="97"/>
        <v>3.8994120000000003</v>
      </c>
      <c r="AI72">
        <f t="shared" si="71"/>
        <v>-5.8823529411764577</v>
      </c>
      <c r="AL72">
        <f t="shared" si="72"/>
        <v>-16.850393700787389</v>
      </c>
    </row>
    <row r="73" spans="1:40" ht="15" thickBot="1" x14ac:dyDescent="0.35">
      <c r="A73" s="149" t="s">
        <v>44</v>
      </c>
      <c r="B73" s="123" t="s">
        <v>22</v>
      </c>
      <c r="C73" s="123" t="s">
        <v>19</v>
      </c>
      <c r="D73" s="123" t="str">
        <f t="shared" si="68"/>
        <v>Carb+PFOShighnutrients</v>
      </c>
      <c r="E73" s="123" t="s">
        <v>35</v>
      </c>
      <c r="F73" s="123">
        <v>3.9</v>
      </c>
      <c r="G73" s="123">
        <v>3.14</v>
      </c>
      <c r="H73" s="123">
        <v>6.71</v>
      </c>
      <c r="I73" s="124">
        <v>6.64</v>
      </c>
      <c r="J73" s="62">
        <f>0.9847*(F73)+0.019</f>
        <v>3.8593299999999999</v>
      </c>
      <c r="K73" s="9">
        <f>0.9847*(G73)+0.019</f>
        <v>3.1109580000000001</v>
      </c>
      <c r="L73" s="9">
        <f>0.9847*(H73)+0.019</f>
        <v>6.6263370000000004</v>
      </c>
      <c r="M73" s="10">
        <f>0.9847*(I73)+0.019</f>
        <v>6.5574079999999997</v>
      </c>
      <c r="Y73">
        <f t="shared" si="69"/>
        <v>-15.268544658206029</v>
      </c>
      <c r="AB73">
        <f t="shared" si="70"/>
        <v>-21.970179755502347</v>
      </c>
      <c r="AF73">
        <f t="shared" si="97"/>
        <v>2.6980779999999998</v>
      </c>
      <c r="AI73">
        <f t="shared" si="71"/>
        <v>-34.878193701723113</v>
      </c>
      <c r="AL73">
        <f t="shared" si="72"/>
        <v>-42.467191601049869</v>
      </c>
    </row>
    <row r="74" spans="1:40" x14ac:dyDescent="0.3">
      <c r="A74" s="125" t="s">
        <v>46</v>
      </c>
      <c r="B74" s="54" t="s">
        <v>21</v>
      </c>
      <c r="C74" s="54" t="s">
        <v>19</v>
      </c>
      <c r="D74" s="54" t="str">
        <f t="shared" si="68"/>
        <v>Carb+6ppdqlownutrients</v>
      </c>
      <c r="E74" s="54" t="s">
        <v>32</v>
      </c>
      <c r="F74" s="54">
        <v>3.96</v>
      </c>
      <c r="G74" s="54">
        <v>3.37</v>
      </c>
      <c r="H74" s="54">
        <v>5.72</v>
      </c>
      <c r="I74" s="55">
        <v>8.02</v>
      </c>
      <c r="J74" s="1">
        <f>0.9847*(F74)+0.019</f>
        <v>3.918412</v>
      </c>
      <c r="K74" s="2">
        <f>0.9847*(G74)+0.019</f>
        <v>3.3374390000000003</v>
      </c>
      <c r="L74" s="2">
        <f>0.9847*(H74)+0.019</f>
        <v>5.651484</v>
      </c>
      <c r="M74" s="4">
        <f>0.9847*(I74)+0.019</f>
        <v>7.9162939999999997</v>
      </c>
      <c r="Q74">
        <f>AVERAGE(J74:J77)</f>
        <v>3.8544065000000005</v>
      </c>
      <c r="R74">
        <f t="shared" ref="R74" si="104">AVERAGE(K74:K77)</f>
        <v>3.55653475</v>
      </c>
      <c r="S74">
        <f t="shared" ref="S74" si="105">AVERAGE(L74:L77)</f>
        <v>6.2570744999999999</v>
      </c>
      <c r="T74">
        <f>AVERAGE(M74:M77)</f>
        <v>8.2190892499999997</v>
      </c>
      <c r="U74">
        <f>_xlfn.STDEV.S(J74:J77)</f>
        <v>6.9396320606114739E-2</v>
      </c>
      <c r="V74">
        <f>_xlfn.STDEV.S(K74:K77)</f>
        <v>0.26267383917623655</v>
      </c>
      <c r="W74">
        <f>_xlfn.STDEV.S(L74:L77)</f>
        <v>0.60007481191070389</v>
      </c>
      <c r="X74">
        <f>_xlfn.STDEV.S(M74:M77)</f>
        <v>1.0163380912830697</v>
      </c>
      <c r="Y74">
        <f t="shared" si="69"/>
        <v>2.2902816987308947</v>
      </c>
      <c r="Z74">
        <f>AVERAGE(Y74:Y77)</f>
        <v>6.2028462673961906</v>
      </c>
      <c r="AA74">
        <f>_xlfn.STDEV.S(Y74:Y77)</f>
        <v>13.132598367177351</v>
      </c>
      <c r="AB74">
        <f t="shared" si="70"/>
        <v>-5.8001274554526248</v>
      </c>
      <c r="AC74">
        <f>AVERAGE(AB74:AB77)</f>
        <v>-2.1970179755502399</v>
      </c>
      <c r="AD74">
        <f>_xlfn.STDEV.S(AB74:AB77)</f>
        <v>12.093906398756021</v>
      </c>
      <c r="AF74">
        <f t="shared" si="97"/>
        <v>3.9978819999999997</v>
      </c>
      <c r="AG74">
        <f t="shared" ref="AG74" si="106">AVERAGE(AF74:AF77)</f>
        <v>4.3646827500000001</v>
      </c>
      <c r="AH74">
        <f t="shared" ref="AH74" si="107">_xlfn.STDEV.S(AF74:AF77)</f>
        <v>1.0441651266194665</v>
      </c>
      <c r="AI74">
        <f t="shared" si="71"/>
        <v>-3.5056446821152711</v>
      </c>
      <c r="AJ74">
        <f t="shared" ref="AJ74" si="108">AVERAGE(AI74:AI77)</f>
        <v>5.3475935828876988</v>
      </c>
      <c r="AK74">
        <f t="shared" ref="AK74" si="109">_xlfn.STDEV.S(AI74:AI77)</f>
        <v>25.202354831524055</v>
      </c>
      <c r="AL74">
        <f t="shared" si="72"/>
        <v>-14.750656167979001</v>
      </c>
      <c r="AM74">
        <v>-51.131601005867566</v>
      </c>
      <c r="AN74">
        <v>24.268352407873202</v>
      </c>
    </row>
    <row r="75" spans="1:40" x14ac:dyDescent="0.3">
      <c r="A75" s="125" t="s">
        <v>46</v>
      </c>
      <c r="B75" s="54" t="s">
        <v>21</v>
      </c>
      <c r="C75" s="54" t="s">
        <v>19</v>
      </c>
      <c r="D75" s="54" t="str">
        <f t="shared" si="68"/>
        <v>Carb+6ppdqlownutrients</v>
      </c>
      <c r="E75" s="54" t="s">
        <v>33</v>
      </c>
      <c r="F75" s="54">
        <v>3.82</v>
      </c>
      <c r="G75" s="54">
        <v>3.5</v>
      </c>
      <c r="H75" s="54">
        <v>6.31</v>
      </c>
      <c r="I75" s="55">
        <v>7.75</v>
      </c>
      <c r="J75" s="61">
        <f>0.9847*(F75)+0.019</f>
        <v>3.780554</v>
      </c>
      <c r="K75" s="172">
        <f>0.9847*(G75)+0.019</f>
        <v>3.4654500000000001</v>
      </c>
      <c r="L75" s="172">
        <f>0.9847*(H75)+0.019</f>
        <v>6.2324570000000001</v>
      </c>
      <c r="M75" s="7">
        <f>0.9847*(I75)+0.019</f>
        <v>7.6504250000000003</v>
      </c>
      <c r="Y75">
        <f>((M75-$T$14)/$T$14)*100</f>
        <v>-1.1451408493654531</v>
      </c>
      <c r="AB75">
        <f t="shared" si="70"/>
        <v>-8.9638333402449568</v>
      </c>
      <c r="AF75">
        <f>M75-J75</f>
        <v>3.8698710000000003</v>
      </c>
      <c r="AI75">
        <f t="shared" si="71"/>
        <v>-6.5953654188948194</v>
      </c>
      <c r="AL75">
        <f t="shared" si="72"/>
        <v>-17.480314960629908</v>
      </c>
    </row>
    <row r="76" spans="1:40" x14ac:dyDescent="0.3">
      <c r="A76" s="125" t="s">
        <v>46</v>
      </c>
      <c r="B76" s="54" t="s">
        <v>21</v>
      </c>
      <c r="C76" s="54" t="s">
        <v>19</v>
      </c>
      <c r="D76" s="54" t="str">
        <f t="shared" si="68"/>
        <v>Carb+6ppdqlownutrients</v>
      </c>
      <c r="E76" s="54" t="s">
        <v>34</v>
      </c>
      <c r="F76" s="54">
        <v>3.95</v>
      </c>
      <c r="G76" s="54">
        <v>3.52</v>
      </c>
      <c r="H76" s="54">
        <v>6.14</v>
      </c>
      <c r="I76" s="55">
        <v>7.68</v>
      </c>
      <c r="J76" s="61">
        <f>0.9847*(F76)+0.019</f>
        <v>3.9085650000000003</v>
      </c>
      <c r="K76" s="172">
        <f>0.9847*(G76)+0.019</f>
        <v>3.485144</v>
      </c>
      <c r="L76" s="172">
        <f>0.9847*(H76)+0.019</f>
        <v>6.0650579999999996</v>
      </c>
      <c r="M76" s="7">
        <f>0.9847*(I76)+0.019</f>
        <v>7.5814959999999996</v>
      </c>
      <c r="Y76">
        <f t="shared" si="69"/>
        <v>-2.03580595442748</v>
      </c>
      <c r="AB76">
        <f t="shared" si="70"/>
        <v>-9.7840533844503845</v>
      </c>
      <c r="AF76">
        <f t="shared" si="97"/>
        <v>3.6729309999999993</v>
      </c>
      <c r="AI76">
        <f t="shared" si="71"/>
        <v>-11.348781937017243</v>
      </c>
      <c r="AL76">
        <f t="shared" si="72"/>
        <v>-21.679790026246728</v>
      </c>
    </row>
    <row r="77" spans="1:40" ht="15" thickBot="1" x14ac:dyDescent="0.35">
      <c r="A77" s="150" t="s">
        <v>46</v>
      </c>
      <c r="B77" s="127" t="s">
        <v>21</v>
      </c>
      <c r="C77" s="127" t="s">
        <v>19</v>
      </c>
      <c r="D77" s="127" t="str">
        <f t="shared" si="68"/>
        <v>Carb+6ppdqlownutrients</v>
      </c>
      <c r="E77" s="127" t="s">
        <v>35</v>
      </c>
      <c r="F77" s="127">
        <v>3.85</v>
      </c>
      <c r="G77" s="127">
        <v>3.98</v>
      </c>
      <c r="H77" s="127">
        <v>7.17</v>
      </c>
      <c r="I77" s="128">
        <v>9.86</v>
      </c>
      <c r="J77" s="62">
        <f>0.9847*(F77)+0.019</f>
        <v>3.8100950000000005</v>
      </c>
      <c r="K77" s="9">
        <f>0.9847*(G77)+0.019</f>
        <v>3.9381060000000003</v>
      </c>
      <c r="L77" s="9">
        <f>0.9847*(H77)+0.019</f>
        <v>7.0792989999999998</v>
      </c>
      <c r="M77" s="10">
        <f>0.9847*(I77)+0.019</f>
        <v>9.7281420000000001</v>
      </c>
      <c r="Y77">
        <f t="shared" si="69"/>
        <v>25.7020501746468</v>
      </c>
      <c r="AB77">
        <f t="shared" si="70"/>
        <v>15.759942277947006</v>
      </c>
      <c r="AF77">
        <f t="shared" si="97"/>
        <v>5.9180469999999996</v>
      </c>
      <c r="AI77">
        <f t="shared" si="71"/>
        <v>42.840166369578128</v>
      </c>
      <c r="AL77">
        <f t="shared" si="72"/>
        <v>26.194225721784782</v>
      </c>
    </row>
    <row r="78" spans="1:40" x14ac:dyDescent="0.3">
      <c r="A78" s="129" t="s">
        <v>46</v>
      </c>
      <c r="B78" s="130" t="s">
        <v>22</v>
      </c>
      <c r="C78" s="130" t="s">
        <v>19</v>
      </c>
      <c r="D78" s="130" t="str">
        <f t="shared" si="68"/>
        <v>Carb+6ppdqhighnutrients</v>
      </c>
      <c r="E78" s="130" t="s">
        <v>32</v>
      </c>
      <c r="F78" s="130">
        <v>3.93</v>
      </c>
      <c r="G78" s="130">
        <v>3.13</v>
      </c>
      <c r="H78" s="130">
        <v>5.39</v>
      </c>
      <c r="I78" s="131">
        <v>7.14</v>
      </c>
      <c r="J78" s="1">
        <f>0.9847*(F78)+0.019</f>
        <v>3.8888710000000004</v>
      </c>
      <c r="K78" s="2">
        <f>0.9847*(G78)+0.019</f>
        <v>3.101111</v>
      </c>
      <c r="L78" s="2">
        <f>0.9847*(H78)+0.019</f>
        <v>5.3265329999999995</v>
      </c>
      <c r="M78" s="4">
        <f>0.9847*(I78)+0.019</f>
        <v>7.0497579999999997</v>
      </c>
      <c r="Q78">
        <f>AVERAGE(J78:J81)</f>
        <v>3.6968545000000002</v>
      </c>
      <c r="R78">
        <f t="shared" ref="R78" si="110">AVERAGE(K78:K81)</f>
        <v>2.9804852500000001</v>
      </c>
      <c r="S78">
        <f t="shared" ref="S78" si="111">AVERAGE(L78:L81)</f>
        <v>5.4250029999999994</v>
      </c>
      <c r="T78">
        <f>AVERAGE(M78:M81)</f>
        <v>7.9236792500000002</v>
      </c>
      <c r="U78">
        <f>_xlfn.STDEV.S(J78:J81)</f>
        <v>0.13703495980831562</v>
      </c>
      <c r="V78">
        <f>_xlfn.STDEV.S(K78:K81)</f>
        <v>0.16484536806428612</v>
      </c>
      <c r="W78">
        <f>_xlfn.STDEV.S(L78:L81)</f>
        <v>0.33431495545468287</v>
      </c>
      <c r="X78">
        <f>_xlfn.STDEV.S(M78:M81)</f>
        <v>1.4278800792639843</v>
      </c>
      <c r="Y78">
        <f>((M78-$T$14)/$T$14)*100</f>
        <v>-8.9066510506201872</v>
      </c>
      <c r="Z78">
        <f>AVERAGE(Y78:Y81)</f>
        <v>2.3857101028446919</v>
      </c>
      <c r="AA78">
        <f>_xlfn.STDEV.S(Y78:Y81)</f>
        <v>18.450332382794148</v>
      </c>
      <c r="AB78">
        <f t="shared" si="70"/>
        <v>-16.111465154035056</v>
      </c>
      <c r="AC78">
        <f>AVERAGE(AB78:AB81)</f>
        <v>-5.7122467364306093</v>
      </c>
      <c r="AD78">
        <f>_xlfn.STDEV.S(AB78:AB81)</f>
        <v>16.991046754398631</v>
      </c>
      <c r="AF78">
        <f t="shared" si="97"/>
        <v>3.1608869999999993</v>
      </c>
      <c r="AG78">
        <f t="shared" ref="AG78" si="112">AVERAGE(AF78:AF81)</f>
        <v>4.2268247500000005</v>
      </c>
      <c r="AH78">
        <f t="shared" ref="AH78" si="113">_xlfn.STDEV.S(AF78:AF81)</f>
        <v>1.4456070114731203</v>
      </c>
      <c r="AI78">
        <f t="shared" si="71"/>
        <v>-23.707664884135486</v>
      </c>
      <c r="AJ78">
        <f t="shared" ref="AJ78" si="114">AVERAGE(AI78:AI81)</f>
        <v>2.0202020202020279</v>
      </c>
      <c r="AK78">
        <f t="shared" ref="AK78" si="115">_xlfn.STDEV.S(AI78:AI81)</f>
        <v>34.891704311211015</v>
      </c>
      <c r="AL78">
        <f t="shared" si="72"/>
        <v>-32.5984251968504</v>
      </c>
      <c r="AM78">
        <v>31.601005867560769</v>
      </c>
      <c r="AN78">
        <v>33.89628307317701</v>
      </c>
    </row>
    <row r="79" spans="1:40" x14ac:dyDescent="0.3">
      <c r="A79" s="129" t="s">
        <v>46</v>
      </c>
      <c r="B79" s="130" t="s">
        <v>22</v>
      </c>
      <c r="C79" s="130" t="s">
        <v>19</v>
      </c>
      <c r="D79" s="130" t="str">
        <f t="shared" si="68"/>
        <v>Carb+6ppdqhighnutrients</v>
      </c>
      <c r="E79" s="130" t="s">
        <v>33</v>
      </c>
      <c r="F79" s="130">
        <v>3.6</v>
      </c>
      <c r="G79" s="130">
        <v>3.01</v>
      </c>
      <c r="H79" s="130">
        <v>5.86</v>
      </c>
      <c r="I79" s="131">
        <v>6.55</v>
      </c>
      <c r="J79" s="61">
        <f>0.9847*(F79)+0.019</f>
        <v>3.5639200000000004</v>
      </c>
      <c r="K79" s="172">
        <f>0.9847*(G79)+0.019</f>
        <v>2.9829469999999998</v>
      </c>
      <c r="L79" s="172">
        <f>0.9847*(H79)+0.019</f>
        <v>5.7893420000000004</v>
      </c>
      <c r="M79" s="7">
        <f>0.9847*(I79)+0.019</f>
        <v>6.4687850000000005</v>
      </c>
      <c r="Y79">
        <f t="shared" si="69"/>
        <v>-16.413685507571472</v>
      </c>
      <c r="AB79">
        <f t="shared" si="70"/>
        <v>-23.02474838376645</v>
      </c>
      <c r="AF79">
        <f t="shared" si="97"/>
        <v>2.904865</v>
      </c>
      <c r="AI79">
        <f t="shared" si="71"/>
        <v>-29.887106357694588</v>
      </c>
      <c r="AL79">
        <f t="shared" si="72"/>
        <v>-38.057742782152225</v>
      </c>
    </row>
    <row r="80" spans="1:40" x14ac:dyDescent="0.3">
      <c r="A80" s="129" t="s">
        <v>46</v>
      </c>
      <c r="B80" s="130" t="s">
        <v>22</v>
      </c>
      <c r="C80" s="130" t="s">
        <v>19</v>
      </c>
      <c r="D80" s="130" t="str">
        <f t="shared" si="68"/>
        <v>Carb+6ppdqhighnutrients</v>
      </c>
      <c r="E80" s="130" t="s">
        <v>34</v>
      </c>
      <c r="F80" s="130">
        <v>3.71</v>
      </c>
      <c r="G80" s="130">
        <v>2.77</v>
      </c>
      <c r="H80" s="130">
        <v>5.64</v>
      </c>
      <c r="I80" s="131">
        <v>8.69</v>
      </c>
      <c r="J80" s="61">
        <f>0.9847*(F80)+0.019</f>
        <v>3.672237</v>
      </c>
      <c r="K80" s="172">
        <f>0.9847*(G80)+0.019</f>
        <v>2.7466190000000004</v>
      </c>
      <c r="L80" s="172">
        <f>0.9847*(H80)+0.019</f>
        <v>5.5727079999999996</v>
      </c>
      <c r="M80" s="7">
        <f>0.9847*(I80)+0.019</f>
        <v>8.5760430000000003</v>
      </c>
      <c r="Y80">
        <f t="shared" si="69"/>
        <v>10.815219132895932</v>
      </c>
      <c r="AB80">
        <f>((M80-$T$10)/$T$10)*100</f>
        <v>2.0505501105135506</v>
      </c>
      <c r="AF80">
        <f t="shared" si="97"/>
        <v>4.9038060000000003</v>
      </c>
      <c r="AI80">
        <f t="shared" si="71"/>
        <v>18.360071301247789</v>
      </c>
      <c r="AL80">
        <f t="shared" si="72"/>
        <v>4.5669291338582836</v>
      </c>
    </row>
    <row r="81" spans="1:38" ht="15" thickBot="1" x14ac:dyDescent="0.35">
      <c r="A81" s="151" t="s">
        <v>46</v>
      </c>
      <c r="B81" s="133" t="s">
        <v>22</v>
      </c>
      <c r="C81" s="133" t="s">
        <v>19</v>
      </c>
      <c r="D81" s="133" t="str">
        <f t="shared" si="68"/>
        <v>Carb+6ppdqhighnutrients</v>
      </c>
      <c r="E81" s="133" t="s">
        <v>35</v>
      </c>
      <c r="F81" s="133">
        <v>3.7</v>
      </c>
      <c r="G81" s="133">
        <v>3.12</v>
      </c>
      <c r="H81" s="133">
        <v>5.07</v>
      </c>
      <c r="I81" s="134">
        <v>9.73</v>
      </c>
      <c r="J81" s="62">
        <f>0.9847*(F81)+0.019</f>
        <v>3.6623900000000003</v>
      </c>
      <c r="K81" s="9">
        <f>0.9847*(G81)+0.019</f>
        <v>3.0912640000000002</v>
      </c>
      <c r="L81" s="9">
        <f>0.9847*(H81)+0.019</f>
        <v>5.0114290000000006</v>
      </c>
      <c r="M81" s="10">
        <f>0.9847*(I81)+0.019</f>
        <v>9.6001310000000011</v>
      </c>
      <c r="Y81">
        <f t="shared" si="69"/>
        <v>24.047957836674495</v>
      </c>
      <c r="AB81">
        <f t="shared" si="70"/>
        <v>14.236676481565524</v>
      </c>
      <c r="AF81">
        <f t="shared" si="97"/>
        <v>5.9377410000000008</v>
      </c>
      <c r="AI81">
        <f t="shared" si="71"/>
        <v>43.3155080213904</v>
      </c>
      <c r="AL81">
        <f t="shared" si="72"/>
        <v>26.614173228346484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A4CEA-E11D-4686-8846-F3267CBAA4D9}">
  <dimension ref="A1:S22"/>
  <sheetViews>
    <sheetView workbookViewId="0">
      <selection activeCell="A2" sqref="A2:O21"/>
    </sheetView>
  </sheetViews>
  <sheetFormatPr defaultRowHeight="14.4" x14ac:dyDescent="0.3"/>
  <cols>
    <col min="5" max="5" width="24.33203125" bestFit="1" customWidth="1"/>
  </cols>
  <sheetData>
    <row r="1" spans="1:19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50</v>
      </c>
      <c r="F1" s="2" t="s">
        <v>4</v>
      </c>
      <c r="G1" s="2" t="s">
        <v>5</v>
      </c>
      <c r="H1" s="2" t="s">
        <v>6</v>
      </c>
      <c r="I1" s="3" t="s">
        <v>7</v>
      </c>
      <c r="J1" s="2" t="s">
        <v>8</v>
      </c>
      <c r="K1" s="2" t="s">
        <v>9</v>
      </c>
      <c r="L1" s="2" t="s">
        <v>10</v>
      </c>
      <c r="M1" s="2" t="s">
        <v>8</v>
      </c>
      <c r="N1" s="2" t="s">
        <v>13</v>
      </c>
      <c r="O1" s="4" t="s">
        <v>10</v>
      </c>
      <c r="P1" t="s">
        <v>38</v>
      </c>
      <c r="Q1" t="s">
        <v>39</v>
      </c>
      <c r="R1" t="s">
        <v>40</v>
      </c>
    </row>
    <row r="2" spans="1:19" x14ac:dyDescent="0.3">
      <c r="A2" s="5">
        <v>45841</v>
      </c>
      <c r="B2" s="2" t="s">
        <v>14</v>
      </c>
      <c r="C2" s="2"/>
      <c r="D2" s="2" t="s">
        <v>15</v>
      </c>
      <c r="E2" s="2" t="str">
        <f>B2&amp;C2</f>
        <v>control</v>
      </c>
      <c r="F2" s="2">
        <v>0.56000000000000005</v>
      </c>
      <c r="G2" s="2">
        <v>0.57399999999999995</v>
      </c>
      <c r="H2" s="2">
        <v>0.55500000000000005</v>
      </c>
      <c r="I2">
        <f>AVERAGE(F2:H2)</f>
        <v>0.56300000000000006</v>
      </c>
      <c r="J2" s="2">
        <v>0.192</v>
      </c>
      <c r="K2" s="2">
        <v>44.679000000000002</v>
      </c>
      <c r="L2" s="2">
        <v>232.29300000000001</v>
      </c>
      <c r="M2" s="2">
        <v>0.17699999999999999</v>
      </c>
      <c r="N2" s="2">
        <v>41.058999999999997</v>
      </c>
      <c r="O2" s="4">
        <v>231.80500000000001</v>
      </c>
      <c r="P2">
        <v>11</v>
      </c>
      <c r="Q2">
        <v>17</v>
      </c>
      <c r="R2" s="135">
        <v>0.68611111111111112</v>
      </c>
    </row>
    <row r="3" spans="1:19" x14ac:dyDescent="0.3">
      <c r="A3" s="6">
        <v>45841</v>
      </c>
      <c r="B3" t="s">
        <v>16</v>
      </c>
      <c r="D3" t="s">
        <v>15</v>
      </c>
      <c r="E3" t="str">
        <f t="shared" ref="E3:E13" si="0">B3&amp;C3</f>
        <v>solvent control</v>
      </c>
      <c r="F3">
        <v>0.56299999999999994</v>
      </c>
      <c r="G3">
        <v>0.56200000000000006</v>
      </c>
      <c r="H3">
        <v>0.57099999999999995</v>
      </c>
      <c r="I3">
        <f>AVERAGE(F3:H3)</f>
        <v>0.56533333333333335</v>
      </c>
      <c r="J3">
        <v>0.23799999999999999</v>
      </c>
      <c r="K3">
        <v>41.334000000000003</v>
      </c>
      <c r="L3">
        <v>173.62899999999999</v>
      </c>
      <c r="M3">
        <v>0.2</v>
      </c>
      <c r="N3">
        <v>39.055999999999997</v>
      </c>
      <c r="O3" s="7">
        <v>195.19900000000001</v>
      </c>
      <c r="P3">
        <v>18</v>
      </c>
      <c r="Q3">
        <v>18</v>
      </c>
      <c r="R3" s="135">
        <v>0.7416666666666667</v>
      </c>
    </row>
    <row r="4" spans="1:19" x14ac:dyDescent="0.3">
      <c r="A4" s="6">
        <v>45841</v>
      </c>
      <c r="B4" t="s">
        <v>17</v>
      </c>
      <c r="E4" t="str">
        <f t="shared" si="0"/>
        <v>nutrient control</v>
      </c>
      <c r="F4">
        <v>0.64700000000000002</v>
      </c>
      <c r="G4">
        <v>0.63900000000000001</v>
      </c>
      <c r="H4">
        <v>0.65200000000000002</v>
      </c>
      <c r="I4">
        <f t="shared" ref="I4:I21" si="1">AVERAGE(F4:H4)</f>
        <v>0.64600000000000002</v>
      </c>
      <c r="J4">
        <v>0.26900000000000002</v>
      </c>
      <c r="K4">
        <v>68.828999999999994</v>
      </c>
      <c r="L4">
        <v>255.755</v>
      </c>
      <c r="M4">
        <v>0.21299999999999999</v>
      </c>
      <c r="N4">
        <v>67.757999999999996</v>
      </c>
      <c r="O4" s="7">
        <v>318.61700000000002</v>
      </c>
      <c r="P4">
        <v>6</v>
      </c>
      <c r="Q4">
        <v>14</v>
      </c>
      <c r="R4" s="135">
        <v>0.64722222222222225</v>
      </c>
    </row>
    <row r="5" spans="1:19" ht="15" thickBot="1" x14ac:dyDescent="0.35">
      <c r="A5" s="8">
        <v>45841</v>
      </c>
      <c r="B5" s="9" t="s">
        <v>18</v>
      </c>
      <c r="C5" s="9"/>
      <c r="D5" s="9" t="s">
        <v>19</v>
      </c>
      <c r="E5" s="9" t="str">
        <f t="shared" si="0"/>
        <v>nutrient control (with solvent)</v>
      </c>
      <c r="F5" s="9">
        <v>0.65900000000000003</v>
      </c>
      <c r="G5" s="9">
        <v>0.66500000000000004</v>
      </c>
      <c r="H5" s="9">
        <v>0.66900000000000004</v>
      </c>
      <c r="I5" s="9">
        <f t="shared" si="1"/>
        <v>0.66433333333333333</v>
      </c>
      <c r="J5" s="9">
        <v>0.23300000000000001</v>
      </c>
      <c r="K5" s="9">
        <v>63.377000000000002</v>
      </c>
      <c r="L5" s="9">
        <v>272.09100000000001</v>
      </c>
      <c r="M5" s="9">
        <v>0.21099999999999999</v>
      </c>
      <c r="N5" s="9">
        <v>60.234000000000002</v>
      </c>
      <c r="O5" s="10">
        <v>286.11</v>
      </c>
      <c r="P5">
        <v>20</v>
      </c>
      <c r="Q5">
        <v>15</v>
      </c>
      <c r="R5" s="135">
        <v>0.75624999999999998</v>
      </c>
    </row>
    <row r="6" spans="1:19" x14ac:dyDescent="0.3">
      <c r="A6" s="11">
        <v>45841</v>
      </c>
      <c r="B6" s="12" t="s">
        <v>41</v>
      </c>
      <c r="C6" s="12" t="s">
        <v>21</v>
      </c>
      <c r="D6" s="12" t="s">
        <v>15</v>
      </c>
      <c r="E6" s="12" t="str">
        <f t="shared" si="0"/>
        <v>Carblow</v>
      </c>
      <c r="F6" s="12">
        <v>0.60299999999999998</v>
      </c>
      <c r="G6" s="12">
        <v>0.59299999999999997</v>
      </c>
      <c r="H6" s="12">
        <v>0.61199999999999999</v>
      </c>
      <c r="I6" s="12">
        <f t="shared" si="1"/>
        <v>0.60266666666666657</v>
      </c>
      <c r="J6" s="12">
        <v>0.23499999999999999</v>
      </c>
      <c r="K6" s="12">
        <v>49.55</v>
      </c>
      <c r="L6" s="12">
        <v>210.85400000000001</v>
      </c>
      <c r="M6" s="12">
        <v>0.18</v>
      </c>
      <c r="N6" s="12">
        <v>48.612000000000002</v>
      </c>
      <c r="O6" s="13">
        <v>269.90800000000002</v>
      </c>
      <c r="P6">
        <v>19</v>
      </c>
      <c r="Q6">
        <v>18</v>
      </c>
    </row>
    <row r="7" spans="1:19" x14ac:dyDescent="0.3">
      <c r="A7" s="14">
        <v>45841</v>
      </c>
      <c r="B7" s="15" t="s">
        <v>41</v>
      </c>
      <c r="C7" s="15" t="s">
        <v>22</v>
      </c>
      <c r="D7" s="15" t="s">
        <v>15</v>
      </c>
      <c r="E7" s="15" t="str">
        <f t="shared" si="0"/>
        <v>Carbhigh</v>
      </c>
      <c r="F7" s="15">
        <v>0.61499999999999999</v>
      </c>
      <c r="G7" s="15">
        <v>0.61299999999999999</v>
      </c>
      <c r="H7" s="15">
        <v>0.60299999999999998</v>
      </c>
      <c r="I7" s="15">
        <f t="shared" si="1"/>
        <v>0.61033333333333328</v>
      </c>
      <c r="J7" s="15">
        <v>0.222</v>
      </c>
      <c r="K7" s="15">
        <v>52.584000000000003</v>
      </c>
      <c r="L7" s="15">
        <v>237.4</v>
      </c>
      <c r="M7" s="15">
        <v>0.191</v>
      </c>
      <c r="N7" s="15">
        <v>50.451999999999998</v>
      </c>
      <c r="O7" s="16">
        <v>263.47399999999999</v>
      </c>
      <c r="P7">
        <v>10</v>
      </c>
      <c r="Q7">
        <v>18</v>
      </c>
      <c r="R7" s="135">
        <v>0.6791666666666667</v>
      </c>
    </row>
    <row r="8" spans="1:19" x14ac:dyDescent="0.3">
      <c r="A8" s="17">
        <v>45841</v>
      </c>
      <c r="B8" s="18" t="s">
        <v>42</v>
      </c>
      <c r="C8" s="18" t="s">
        <v>21</v>
      </c>
      <c r="D8" s="18" t="s">
        <v>15</v>
      </c>
      <c r="E8" s="18" t="str">
        <f t="shared" si="0"/>
        <v>Carb+Diclow</v>
      </c>
      <c r="F8" s="18">
        <v>0.57199999999999995</v>
      </c>
      <c r="G8" s="18">
        <v>0.57799999999999996</v>
      </c>
      <c r="H8" s="18">
        <v>0.56899999999999995</v>
      </c>
      <c r="I8" s="18">
        <f t="shared" si="1"/>
        <v>0.57299999999999995</v>
      </c>
      <c r="J8" s="18">
        <v>0.182</v>
      </c>
      <c r="K8" s="18">
        <v>49.77</v>
      </c>
      <c r="L8" s="18">
        <v>273.63499999999999</v>
      </c>
      <c r="M8" s="18">
        <v>0.159</v>
      </c>
      <c r="N8" s="18">
        <v>47.316000000000003</v>
      </c>
      <c r="O8" s="19">
        <v>298.09399999999999</v>
      </c>
      <c r="P8">
        <v>14</v>
      </c>
      <c r="Q8">
        <v>15</v>
      </c>
      <c r="R8" s="135">
        <v>0.71111111111111114</v>
      </c>
      <c r="S8" t="s">
        <v>43</v>
      </c>
    </row>
    <row r="9" spans="1:19" x14ac:dyDescent="0.3">
      <c r="A9" s="20">
        <v>45841</v>
      </c>
      <c r="B9" s="21" t="s">
        <v>42</v>
      </c>
      <c r="C9" s="21" t="s">
        <v>22</v>
      </c>
      <c r="D9" s="21" t="s">
        <v>15</v>
      </c>
      <c r="E9" s="21" t="str">
        <f t="shared" si="0"/>
        <v>Carb+Dichigh</v>
      </c>
      <c r="F9" s="21">
        <v>0.56499999999999995</v>
      </c>
      <c r="G9" s="21">
        <v>0.55400000000000005</v>
      </c>
      <c r="H9" s="21">
        <v>0.55000000000000004</v>
      </c>
      <c r="I9" s="21">
        <f t="shared" si="1"/>
        <v>0.55633333333333335</v>
      </c>
      <c r="J9" s="21">
        <v>0.19500000000000001</v>
      </c>
      <c r="K9" s="21">
        <v>43.859000000000002</v>
      </c>
      <c r="L9" s="21">
        <v>224.636</v>
      </c>
      <c r="M9" s="21">
        <v>0.18099999999999999</v>
      </c>
      <c r="N9" s="21">
        <v>40.451000000000001</v>
      </c>
      <c r="O9" s="22">
        <v>223.78100000000001</v>
      </c>
      <c r="P9">
        <v>7</v>
      </c>
      <c r="Q9">
        <v>18</v>
      </c>
      <c r="R9" s="135">
        <v>0.65486111111111112</v>
      </c>
    </row>
    <row r="10" spans="1:19" x14ac:dyDescent="0.3">
      <c r="A10" s="23">
        <v>45841</v>
      </c>
      <c r="B10" s="24" t="s">
        <v>44</v>
      </c>
      <c r="C10" s="24" t="s">
        <v>21</v>
      </c>
      <c r="D10" s="24" t="s">
        <v>15</v>
      </c>
      <c r="E10" s="24" t="str">
        <f t="shared" si="0"/>
        <v>Carb+PFOSlow</v>
      </c>
      <c r="F10" s="24">
        <v>0.55600000000000005</v>
      </c>
      <c r="G10" s="24">
        <v>0.53500000000000003</v>
      </c>
      <c r="H10" s="24">
        <v>0.55000000000000004</v>
      </c>
      <c r="I10" s="24">
        <f t="shared" si="1"/>
        <v>0.54700000000000004</v>
      </c>
      <c r="J10" s="24">
        <v>0.215</v>
      </c>
      <c r="K10" s="24">
        <v>53.868000000000002</v>
      </c>
      <c r="L10" s="24">
        <v>251.1</v>
      </c>
      <c r="M10" s="24">
        <v>0.19</v>
      </c>
      <c r="N10" s="24">
        <v>50.2</v>
      </c>
      <c r="O10" s="25">
        <v>263.87099999999998</v>
      </c>
      <c r="P10">
        <v>1</v>
      </c>
      <c r="Q10">
        <v>19</v>
      </c>
      <c r="R10" s="135">
        <v>0.60902777777777772</v>
      </c>
    </row>
    <row r="11" spans="1:19" x14ac:dyDescent="0.3">
      <c r="A11" s="26">
        <v>45841</v>
      </c>
      <c r="B11" s="27" t="s">
        <v>44</v>
      </c>
      <c r="C11" s="27" t="s">
        <v>22</v>
      </c>
      <c r="D11" s="27" t="s">
        <v>15</v>
      </c>
      <c r="E11" s="27" t="str">
        <f t="shared" si="0"/>
        <v>Carb+PFOShigh</v>
      </c>
      <c r="F11" s="27">
        <v>0.53800000000000003</v>
      </c>
      <c r="G11" s="27">
        <v>0.53800000000000003</v>
      </c>
      <c r="H11" s="27">
        <v>0.57099999999999995</v>
      </c>
      <c r="I11" s="27">
        <f t="shared" si="1"/>
        <v>0.54900000000000004</v>
      </c>
      <c r="J11" s="27">
        <v>0.21</v>
      </c>
      <c r="K11" s="27">
        <v>52.646000000000001</v>
      </c>
      <c r="L11" s="27">
        <v>250.23400000000001</v>
      </c>
      <c r="M11" s="27">
        <v>0.192</v>
      </c>
      <c r="N11" s="27">
        <v>48.734999999999999</v>
      </c>
      <c r="O11" s="28">
        <v>253.727</v>
      </c>
      <c r="P11">
        <v>3</v>
      </c>
      <c r="Q11">
        <v>18</v>
      </c>
      <c r="R11" s="135">
        <v>0.62430555555555556</v>
      </c>
      <c r="S11" t="s">
        <v>45</v>
      </c>
    </row>
    <row r="12" spans="1:19" x14ac:dyDescent="0.3">
      <c r="A12" s="29">
        <v>45841</v>
      </c>
      <c r="B12" s="30" t="s">
        <v>46</v>
      </c>
      <c r="C12" s="30" t="s">
        <v>21</v>
      </c>
      <c r="D12" s="30" t="s">
        <v>15</v>
      </c>
      <c r="E12" s="30" t="str">
        <f t="shared" si="0"/>
        <v>Carb+6ppdqlow</v>
      </c>
      <c r="F12" s="30">
        <v>0.60199999999999998</v>
      </c>
      <c r="G12" s="30">
        <v>0.58099999999999996</v>
      </c>
      <c r="H12" s="30">
        <v>0.59</v>
      </c>
      <c r="I12" s="30">
        <f t="shared" si="1"/>
        <v>0.59099999999999986</v>
      </c>
      <c r="J12" s="30">
        <v>0.20799999999999999</v>
      </c>
      <c r="K12" s="30">
        <v>49.38</v>
      </c>
      <c r="L12" s="30">
        <v>237.679</v>
      </c>
      <c r="M12" s="30">
        <v>0.185</v>
      </c>
      <c r="N12" s="30">
        <v>46.691000000000003</v>
      </c>
      <c r="O12" s="31">
        <v>252.81299999999999</v>
      </c>
      <c r="P12">
        <v>4</v>
      </c>
      <c r="Q12">
        <v>17</v>
      </c>
      <c r="R12" s="135">
        <v>0.63263888888888886</v>
      </c>
    </row>
    <row r="13" spans="1:19" ht="15" thickBot="1" x14ac:dyDescent="0.35">
      <c r="A13" s="32">
        <v>45841</v>
      </c>
      <c r="B13" s="33" t="s">
        <v>46</v>
      </c>
      <c r="C13" s="33" t="s">
        <v>22</v>
      </c>
      <c r="D13" s="33" t="s">
        <v>15</v>
      </c>
      <c r="E13" s="33" t="str">
        <f t="shared" si="0"/>
        <v>Carb+6ppdqhigh</v>
      </c>
      <c r="F13" s="33">
        <v>0.58199999999999996</v>
      </c>
      <c r="G13" s="33">
        <v>0.57799999999999996</v>
      </c>
      <c r="H13" s="33">
        <v>0.57899999999999996</v>
      </c>
      <c r="I13" s="33">
        <f t="shared" si="1"/>
        <v>0.57966666666666666</v>
      </c>
      <c r="J13" s="33">
        <v>0.214</v>
      </c>
      <c r="K13" s="33">
        <v>42.530999999999999</v>
      </c>
      <c r="L13" s="33">
        <v>198.922</v>
      </c>
      <c r="M13" s="33">
        <v>0.189</v>
      </c>
      <c r="N13" s="33">
        <v>39.515000000000001</v>
      </c>
      <c r="O13" s="34">
        <v>208.66300000000001</v>
      </c>
      <c r="P13">
        <v>9</v>
      </c>
      <c r="Q13">
        <v>19</v>
      </c>
      <c r="R13" s="135">
        <v>0.67083333333333328</v>
      </c>
      <c r="S13" t="s">
        <v>47</v>
      </c>
    </row>
    <row r="14" spans="1:19" x14ac:dyDescent="0.3">
      <c r="A14" s="35">
        <v>45841</v>
      </c>
      <c r="B14" s="36" t="s">
        <v>41</v>
      </c>
      <c r="C14" s="36" t="s">
        <v>21</v>
      </c>
      <c r="D14" s="36" t="s">
        <v>19</v>
      </c>
      <c r="E14" s="36" t="str">
        <f>B14&amp;C14&amp;D14</f>
        <v>Carblownutrients</v>
      </c>
      <c r="F14" s="36">
        <v>0.66</v>
      </c>
      <c r="G14" s="36">
        <v>0.68100000000000005</v>
      </c>
      <c r="H14" s="36">
        <v>0.66300000000000003</v>
      </c>
      <c r="I14" s="36">
        <f t="shared" si="1"/>
        <v>0.66800000000000015</v>
      </c>
      <c r="J14" s="36">
        <v>0.27400000000000002</v>
      </c>
      <c r="K14" s="36">
        <v>64.861999999999995</v>
      </c>
      <c r="L14" s="36">
        <v>237.148</v>
      </c>
      <c r="M14" s="36">
        <v>0.23300000000000001</v>
      </c>
      <c r="N14" s="36">
        <v>62.610999999999997</v>
      </c>
      <c r="O14" s="37">
        <v>268.38099999999997</v>
      </c>
      <c r="P14">
        <v>15</v>
      </c>
      <c r="Q14">
        <v>15</v>
      </c>
      <c r="R14" s="135">
        <v>0.72013888888888888</v>
      </c>
    </row>
    <row r="15" spans="1:19" x14ac:dyDescent="0.3">
      <c r="A15" s="38">
        <v>45841</v>
      </c>
      <c r="B15" s="39" t="s">
        <v>41</v>
      </c>
      <c r="C15" s="39" t="s">
        <v>22</v>
      </c>
      <c r="D15" s="39" t="s">
        <v>19</v>
      </c>
      <c r="E15" s="39" t="str">
        <f t="shared" ref="E15:E21" si="2">B15&amp;C15&amp;D15</f>
        <v>Carbhighnutrients</v>
      </c>
      <c r="F15" s="39">
        <v>0.66900000000000004</v>
      </c>
      <c r="G15" s="39">
        <v>0.66900000000000004</v>
      </c>
      <c r="H15" s="39">
        <v>0.66100000000000003</v>
      </c>
      <c r="I15" s="39">
        <f t="shared" si="1"/>
        <v>0.66633333333333333</v>
      </c>
      <c r="J15" s="39">
        <v>0.23899999999999999</v>
      </c>
      <c r="K15" s="39">
        <v>67.204999999999998</v>
      </c>
      <c r="L15" s="39">
        <v>281.18099999999998</v>
      </c>
      <c r="M15" s="39">
        <v>0.20200000000000001</v>
      </c>
      <c r="N15" s="39">
        <v>66.207999999999998</v>
      </c>
      <c r="O15" s="40">
        <v>328.56299999999999</v>
      </c>
      <c r="P15">
        <v>8</v>
      </c>
      <c r="Q15">
        <v>15</v>
      </c>
      <c r="R15" s="135">
        <v>0.66388888888888886</v>
      </c>
    </row>
    <row r="16" spans="1:19" x14ac:dyDescent="0.3">
      <c r="A16" s="41">
        <v>45841</v>
      </c>
      <c r="B16" s="42" t="s">
        <v>42</v>
      </c>
      <c r="C16" s="42" t="s">
        <v>21</v>
      </c>
      <c r="D16" s="42" t="s">
        <v>19</v>
      </c>
      <c r="E16" s="42" t="str">
        <f t="shared" si="2"/>
        <v>Carb+Diclownutrients</v>
      </c>
      <c r="F16" s="42">
        <v>0.626</v>
      </c>
      <c r="G16" s="42">
        <v>0.64700000000000002</v>
      </c>
      <c r="H16" s="42">
        <v>0.65100000000000002</v>
      </c>
      <c r="I16" s="42">
        <f t="shared" si="1"/>
        <v>0.64133333333333342</v>
      </c>
      <c r="J16" s="42">
        <v>0.24199999999999999</v>
      </c>
      <c r="K16" s="42">
        <v>95.07</v>
      </c>
      <c r="L16" s="42">
        <v>392.98399999999998</v>
      </c>
      <c r="M16" s="42">
        <v>0.20499999999999999</v>
      </c>
      <c r="N16" s="42">
        <v>95.275000000000006</v>
      </c>
      <c r="O16" s="43">
        <v>465.11200000000002</v>
      </c>
      <c r="P16">
        <v>2</v>
      </c>
      <c r="Q16">
        <v>16</v>
      </c>
      <c r="R16" s="135">
        <v>0.6166666666666667</v>
      </c>
      <c r="S16" t="s">
        <v>48</v>
      </c>
    </row>
    <row r="17" spans="1:18" x14ac:dyDescent="0.3">
      <c r="A17" s="44">
        <v>45841</v>
      </c>
      <c r="B17" s="45" t="s">
        <v>42</v>
      </c>
      <c r="C17" s="45" t="s">
        <v>22</v>
      </c>
      <c r="D17" s="45" t="s">
        <v>19</v>
      </c>
      <c r="E17" s="45" t="str">
        <f t="shared" si="2"/>
        <v>Carb+Dichighnutrients</v>
      </c>
      <c r="F17" s="45">
        <v>0.66100000000000003</v>
      </c>
      <c r="G17" s="45">
        <v>0.63600000000000001</v>
      </c>
      <c r="H17" s="45">
        <v>0.65300000000000002</v>
      </c>
      <c r="I17" s="45">
        <f t="shared" si="1"/>
        <v>0.65</v>
      </c>
      <c r="J17" s="45">
        <v>0.25</v>
      </c>
      <c r="K17" s="45">
        <v>62.463000000000001</v>
      </c>
      <c r="L17" s="45">
        <v>250.34299999999999</v>
      </c>
      <c r="M17" s="45">
        <v>0.22700000000000001</v>
      </c>
      <c r="N17" s="45">
        <v>57.874000000000002</v>
      </c>
      <c r="O17" s="46">
        <v>255.11</v>
      </c>
      <c r="P17">
        <v>16</v>
      </c>
      <c r="Q17">
        <v>15</v>
      </c>
      <c r="R17" s="135">
        <v>0.72777777777777775</v>
      </c>
    </row>
    <row r="18" spans="1:18" x14ac:dyDescent="0.3">
      <c r="A18" s="47">
        <v>45841</v>
      </c>
      <c r="B18" s="48" t="s">
        <v>44</v>
      </c>
      <c r="C18" s="48" t="s">
        <v>21</v>
      </c>
      <c r="D18" s="48" t="s">
        <v>19</v>
      </c>
      <c r="E18" s="48" t="str">
        <f t="shared" si="2"/>
        <v>Carb+PFOSlownutrients</v>
      </c>
      <c r="F18" s="48">
        <v>0.65600000000000003</v>
      </c>
      <c r="G18" s="48">
        <v>0.66400000000000003</v>
      </c>
      <c r="H18" s="48">
        <v>0.66700000000000004</v>
      </c>
      <c r="I18" s="48">
        <f t="shared" si="1"/>
        <v>0.66233333333333333</v>
      </c>
      <c r="J18" s="48">
        <v>0.27300000000000002</v>
      </c>
      <c r="K18" s="48">
        <v>65.388999999999996</v>
      </c>
      <c r="L18" s="48">
        <v>239.393</v>
      </c>
      <c r="M18" s="48">
        <v>0.245</v>
      </c>
      <c r="N18" s="48">
        <v>61.314999999999998</v>
      </c>
      <c r="O18" s="49">
        <v>249.828</v>
      </c>
      <c r="P18">
        <v>5</v>
      </c>
      <c r="Q18">
        <v>16</v>
      </c>
      <c r="R18" s="135">
        <v>0.63958333333333328</v>
      </c>
    </row>
    <row r="19" spans="1:18" x14ac:dyDescent="0.3">
      <c r="A19" s="50">
        <v>45841</v>
      </c>
      <c r="B19" s="51" t="s">
        <v>44</v>
      </c>
      <c r="C19" s="51" t="s">
        <v>22</v>
      </c>
      <c r="D19" s="51" t="s">
        <v>19</v>
      </c>
      <c r="E19" s="51" t="str">
        <f t="shared" si="2"/>
        <v>Carb+PFOShighnutrients</v>
      </c>
      <c r="F19" s="51">
        <v>0.66200000000000003</v>
      </c>
      <c r="G19" s="51">
        <v>0.66400000000000003</v>
      </c>
      <c r="H19" s="51">
        <v>0.65400000000000003</v>
      </c>
      <c r="I19" s="51">
        <f t="shared" si="1"/>
        <v>0.66</v>
      </c>
      <c r="J19" s="51">
        <v>0.28499999999999998</v>
      </c>
      <c r="K19" s="51">
        <v>53.06</v>
      </c>
      <c r="L19" s="51">
        <v>186.43899999999999</v>
      </c>
      <c r="M19" s="51">
        <v>0.24099999999999999</v>
      </c>
      <c r="N19" s="51">
        <v>50.326000000000001</v>
      </c>
      <c r="O19" s="52">
        <v>208.85</v>
      </c>
      <c r="P19">
        <v>17</v>
      </c>
      <c r="Q19">
        <v>16</v>
      </c>
      <c r="R19" s="135">
        <v>0.73472222222222228</v>
      </c>
    </row>
    <row r="20" spans="1:18" x14ac:dyDescent="0.3">
      <c r="A20" s="53">
        <v>45841</v>
      </c>
      <c r="B20" s="54" t="s">
        <v>46</v>
      </c>
      <c r="C20" s="54" t="s">
        <v>21</v>
      </c>
      <c r="D20" s="54" t="s">
        <v>19</v>
      </c>
      <c r="E20" s="54" t="str">
        <f t="shared" si="2"/>
        <v>Carb+6ppdqlownutrients</v>
      </c>
      <c r="F20" s="54">
        <v>0.66600000000000004</v>
      </c>
      <c r="G20" s="54">
        <v>0.66700000000000004</v>
      </c>
      <c r="H20" s="54">
        <v>0.66100000000000003</v>
      </c>
      <c r="I20" s="54">
        <f t="shared" si="1"/>
        <v>0.66466666666666674</v>
      </c>
      <c r="J20" s="54">
        <v>0.26300000000000001</v>
      </c>
      <c r="K20" s="54">
        <v>63.651000000000003</v>
      </c>
      <c r="L20" s="54">
        <v>241.661</v>
      </c>
      <c r="M20" s="54">
        <v>0.20399999999999999</v>
      </c>
      <c r="N20" s="54">
        <v>62.353999999999999</v>
      </c>
      <c r="O20" s="55">
        <v>305.85300000000001</v>
      </c>
      <c r="P20">
        <v>12</v>
      </c>
      <c r="Q20">
        <v>15</v>
      </c>
      <c r="R20" s="135">
        <v>0.69236111111111109</v>
      </c>
    </row>
    <row r="21" spans="1:18" ht="15" thickBot="1" x14ac:dyDescent="0.35">
      <c r="A21" s="56">
        <v>45841</v>
      </c>
      <c r="B21" s="57" t="s">
        <v>46</v>
      </c>
      <c r="C21" s="57" t="s">
        <v>22</v>
      </c>
      <c r="D21" s="57" t="s">
        <v>19</v>
      </c>
      <c r="E21" s="57" t="str">
        <f t="shared" si="2"/>
        <v>Carb+6ppdqhighnutrients</v>
      </c>
      <c r="F21" s="57">
        <v>0.66200000000000003</v>
      </c>
      <c r="G21" s="57">
        <v>0.65600000000000003</v>
      </c>
      <c r="H21" s="57">
        <v>0.65600000000000003</v>
      </c>
      <c r="I21" s="57">
        <f t="shared" si="1"/>
        <v>0.65800000000000003</v>
      </c>
      <c r="J21" s="57">
        <v>0.248</v>
      </c>
      <c r="K21" s="57">
        <v>60.545000000000002</v>
      </c>
      <c r="L21" s="57">
        <v>243.923</v>
      </c>
      <c r="M21" s="57">
        <v>0.219</v>
      </c>
      <c r="N21" s="57">
        <v>57.790999999999997</v>
      </c>
      <c r="O21" s="58">
        <v>264.351</v>
      </c>
      <c r="P21">
        <v>13</v>
      </c>
      <c r="Q21">
        <v>15</v>
      </c>
      <c r="R21" s="135">
        <v>0.7</v>
      </c>
    </row>
    <row r="22" spans="1:18" ht="15" thickBot="1" x14ac:dyDescent="0.35">
      <c r="J22" t="s">
        <v>15</v>
      </c>
      <c r="K22" t="s">
        <v>15</v>
      </c>
      <c r="L22" t="s">
        <v>15</v>
      </c>
      <c r="M22" s="57">
        <v>0.20699999999999999</v>
      </c>
      <c r="N22" s="57">
        <v>60.899000000000001</v>
      </c>
      <c r="O22" s="58">
        <v>293.75299999999999</v>
      </c>
      <c r="P22" s="135"/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D7DD3-25D9-4E8B-B729-ED4EE88D4C50}">
  <dimension ref="A1:AM81"/>
  <sheetViews>
    <sheetView tabSelected="1" topLeftCell="AB48" workbookViewId="0">
      <selection activeCell="AK18" sqref="AK18:AK81"/>
    </sheetView>
  </sheetViews>
  <sheetFormatPr defaultColWidth="12.44140625" defaultRowHeight="14.4" x14ac:dyDescent="0.3"/>
  <cols>
    <col min="35" max="35" width="12.6640625" bestFit="1" customWidth="1"/>
    <col min="39" max="39" width="24.5546875" bestFit="1" customWidth="1"/>
  </cols>
  <sheetData>
    <row r="1" spans="1:36" ht="15" thickBot="1" x14ac:dyDescent="0.35">
      <c r="A1" s="59" t="s">
        <v>26</v>
      </c>
      <c r="B1" s="3" t="s">
        <v>2</v>
      </c>
      <c r="C1" s="3" t="s">
        <v>3</v>
      </c>
      <c r="D1" s="3" t="s">
        <v>50</v>
      </c>
      <c r="E1" s="3" t="s">
        <v>27</v>
      </c>
      <c r="F1" s="3" t="s">
        <v>28</v>
      </c>
      <c r="G1" s="3" t="s">
        <v>29</v>
      </c>
      <c r="H1" s="3" t="s">
        <v>30</v>
      </c>
      <c r="I1" s="60" t="s">
        <v>31</v>
      </c>
      <c r="P1" t="s">
        <v>127</v>
      </c>
      <c r="Q1" t="s">
        <v>128</v>
      </c>
      <c r="R1" t="s">
        <v>129</v>
      </c>
      <c r="S1" t="s">
        <v>130</v>
      </c>
      <c r="T1" t="s">
        <v>131</v>
      </c>
      <c r="U1" t="s">
        <v>132</v>
      </c>
      <c r="V1" t="s">
        <v>133</v>
      </c>
      <c r="W1" t="s">
        <v>134</v>
      </c>
      <c r="X1" t="s">
        <v>135</v>
      </c>
      <c r="Y1" t="s">
        <v>136</v>
      </c>
      <c r="Z1" t="s">
        <v>137</v>
      </c>
      <c r="AE1" t="s">
        <v>163</v>
      </c>
      <c r="AF1" t="s">
        <v>164</v>
      </c>
      <c r="AG1" t="s">
        <v>165</v>
      </c>
      <c r="AH1" t="s">
        <v>177</v>
      </c>
      <c r="AI1" t="s">
        <v>178</v>
      </c>
      <c r="AJ1" t="s">
        <v>179</v>
      </c>
    </row>
    <row r="2" spans="1:36" x14ac:dyDescent="0.3">
      <c r="A2" s="61" t="s">
        <v>14</v>
      </c>
      <c r="B2" t="s">
        <v>15</v>
      </c>
      <c r="C2" t="s">
        <v>15</v>
      </c>
      <c r="D2" t="s">
        <v>14</v>
      </c>
      <c r="E2" t="s">
        <v>32</v>
      </c>
      <c r="F2">
        <v>3.64</v>
      </c>
      <c r="G2">
        <v>2.1</v>
      </c>
      <c r="H2">
        <v>2.29</v>
      </c>
      <c r="I2" s="7">
        <v>2.91</v>
      </c>
      <c r="P2">
        <f>AVERAGE(F2:F5)</f>
        <v>3.3850000000000002</v>
      </c>
      <c r="Q2">
        <f t="shared" ref="Q2:S2" si="0">AVERAGE(G2:G5)</f>
        <v>1.9375</v>
      </c>
      <c r="R2">
        <f t="shared" si="0"/>
        <v>2.1525000000000003</v>
      </c>
      <c r="S2">
        <f t="shared" si="0"/>
        <v>2.8374999999999999</v>
      </c>
      <c r="T2">
        <f>_xlfn.STDEV.S(F2:F5)</f>
        <v>0.17368553960150709</v>
      </c>
      <c r="U2">
        <f t="shared" ref="U2:W2" si="1">_xlfn.STDEV.S(G2:G5)</f>
        <v>0.19362764954072717</v>
      </c>
      <c r="V2">
        <f t="shared" si="1"/>
        <v>0.19085334683992322</v>
      </c>
      <c r="W2">
        <f t="shared" si="1"/>
        <v>0.10242883708539646</v>
      </c>
      <c r="AE2">
        <f>I2-F2</f>
        <v>-0.73</v>
      </c>
      <c r="AF2">
        <f>AVERAGE(AE2:AE5)</f>
        <v>-0.54749999999999999</v>
      </c>
      <c r="AG2">
        <f>_xlfn.STDEV.S(AE2:AE5)</f>
        <v>0.1510794492973811</v>
      </c>
    </row>
    <row r="3" spans="1:36" x14ac:dyDescent="0.3">
      <c r="A3" s="61" t="s">
        <v>14</v>
      </c>
      <c r="B3" t="s">
        <v>15</v>
      </c>
      <c r="C3" t="s">
        <v>15</v>
      </c>
      <c r="D3" t="s">
        <v>14</v>
      </c>
      <c r="E3" t="s">
        <v>33</v>
      </c>
      <c r="F3">
        <v>3.25</v>
      </c>
      <c r="G3">
        <v>2.11</v>
      </c>
      <c r="H3">
        <v>2.11</v>
      </c>
      <c r="I3" s="7">
        <v>2.8</v>
      </c>
      <c r="AE3">
        <f t="shared" ref="AE3:AE66" si="2">I3-F3</f>
        <v>-0.45000000000000018</v>
      </c>
    </row>
    <row r="4" spans="1:36" x14ac:dyDescent="0.3">
      <c r="A4" s="61" t="s">
        <v>14</v>
      </c>
      <c r="B4" t="s">
        <v>15</v>
      </c>
      <c r="C4" t="s">
        <v>15</v>
      </c>
      <c r="D4" t="s">
        <v>14</v>
      </c>
      <c r="E4" t="s">
        <v>34</v>
      </c>
      <c r="F4">
        <v>3.32</v>
      </c>
      <c r="G4">
        <v>1.76</v>
      </c>
      <c r="H4">
        <v>1.9</v>
      </c>
      <c r="I4" s="7">
        <v>2.71</v>
      </c>
      <c r="AE4">
        <f t="shared" si="2"/>
        <v>-0.60999999999999988</v>
      </c>
    </row>
    <row r="5" spans="1:36" ht="15" thickBot="1" x14ac:dyDescent="0.35">
      <c r="A5" s="62" t="s">
        <v>14</v>
      </c>
      <c r="B5" s="9" t="s">
        <v>15</v>
      </c>
      <c r="C5" s="9" t="s">
        <v>15</v>
      </c>
      <c r="D5" s="9" t="s">
        <v>14</v>
      </c>
      <c r="E5" s="9" t="s">
        <v>35</v>
      </c>
      <c r="F5" s="9">
        <v>3.33</v>
      </c>
      <c r="G5" s="9">
        <v>1.78</v>
      </c>
      <c r="H5" s="9">
        <v>2.31</v>
      </c>
      <c r="I5" s="10">
        <v>2.93</v>
      </c>
      <c r="AE5">
        <f t="shared" si="2"/>
        <v>-0.39999999999999991</v>
      </c>
    </row>
    <row r="6" spans="1:36" x14ac:dyDescent="0.3">
      <c r="A6" s="61" t="s">
        <v>16</v>
      </c>
      <c r="B6" t="s">
        <v>15</v>
      </c>
      <c r="C6" t="s">
        <v>15</v>
      </c>
      <c r="D6" t="s">
        <v>16</v>
      </c>
      <c r="E6" t="s">
        <v>32</v>
      </c>
      <c r="F6">
        <v>3.42</v>
      </c>
      <c r="G6">
        <v>2.31</v>
      </c>
      <c r="H6">
        <v>2.44</v>
      </c>
      <c r="I6" s="7">
        <v>3</v>
      </c>
      <c r="P6">
        <f>AVERAGE(F6:F9)</f>
        <v>3.4950000000000001</v>
      </c>
      <c r="Q6">
        <f t="shared" ref="Q6:S6" si="3">AVERAGE(G6:G9)</f>
        <v>2.1575000000000002</v>
      </c>
      <c r="R6">
        <f t="shared" si="3"/>
        <v>2.4575</v>
      </c>
      <c r="S6">
        <f t="shared" si="3"/>
        <v>3.0849999999999995</v>
      </c>
      <c r="T6">
        <f>_xlfn.STDEV.S(F6:F9)</f>
        <v>0.11902380714238081</v>
      </c>
      <c r="U6">
        <f t="shared" ref="U6:W6" si="4">_xlfn.STDEV.S(G6:G9)</f>
        <v>0.14818344486930157</v>
      </c>
      <c r="V6">
        <f t="shared" si="4"/>
        <v>0.11086778913041725</v>
      </c>
      <c r="W6">
        <f t="shared" si="4"/>
        <v>0.47507894080879165</v>
      </c>
      <c r="AE6">
        <f t="shared" si="2"/>
        <v>-0.41999999999999993</v>
      </c>
      <c r="AF6">
        <f t="shared" ref="AF6" si="5">AVERAGE(AE6:AE9)</f>
        <v>-0.41000000000000014</v>
      </c>
      <c r="AG6">
        <f t="shared" ref="AG6" si="6">_xlfn.STDEV.S(AE6:AE9)</f>
        <v>0.54607691765904198</v>
      </c>
    </row>
    <row r="7" spans="1:36" x14ac:dyDescent="0.3">
      <c r="A7" s="61" t="s">
        <v>16</v>
      </c>
      <c r="B7" t="s">
        <v>15</v>
      </c>
      <c r="C7" t="s">
        <v>15</v>
      </c>
      <c r="D7" t="s">
        <v>16</v>
      </c>
      <c r="E7" t="s">
        <v>33</v>
      </c>
      <c r="F7">
        <v>3.67</v>
      </c>
      <c r="G7">
        <v>2.25</v>
      </c>
      <c r="H7">
        <v>2.46</v>
      </c>
      <c r="I7" s="7">
        <v>2.8</v>
      </c>
      <c r="AE7">
        <f t="shared" si="2"/>
        <v>-0.87000000000000011</v>
      </c>
    </row>
    <row r="8" spans="1:36" x14ac:dyDescent="0.3">
      <c r="A8" s="61" t="s">
        <v>16</v>
      </c>
      <c r="B8" t="s">
        <v>15</v>
      </c>
      <c r="C8" t="s">
        <v>15</v>
      </c>
      <c r="D8" t="s">
        <v>16</v>
      </c>
      <c r="E8" t="s">
        <v>34</v>
      </c>
      <c r="F8">
        <v>3.47</v>
      </c>
      <c r="G8">
        <v>2.08</v>
      </c>
      <c r="H8">
        <v>2.33</v>
      </c>
      <c r="I8" s="7">
        <v>2.76</v>
      </c>
      <c r="AE8">
        <f t="shared" si="2"/>
        <v>-0.71000000000000041</v>
      </c>
    </row>
    <row r="9" spans="1:36" ht="15" thickBot="1" x14ac:dyDescent="0.35">
      <c r="A9" s="62" t="s">
        <v>16</v>
      </c>
      <c r="B9" s="9" t="s">
        <v>15</v>
      </c>
      <c r="C9" s="9" t="s">
        <v>15</v>
      </c>
      <c r="D9" s="9" t="s">
        <v>16</v>
      </c>
      <c r="E9" s="9" t="s">
        <v>35</v>
      </c>
      <c r="F9" s="9">
        <v>3.42</v>
      </c>
      <c r="G9" s="9">
        <v>1.99</v>
      </c>
      <c r="H9" s="9">
        <v>2.6</v>
      </c>
      <c r="I9" s="10">
        <v>3.78</v>
      </c>
      <c r="AE9">
        <f t="shared" si="2"/>
        <v>0.35999999999999988</v>
      </c>
    </row>
    <row r="10" spans="1:36" x14ac:dyDescent="0.3">
      <c r="A10" s="61" t="s">
        <v>36</v>
      </c>
      <c r="B10" t="s">
        <v>15</v>
      </c>
      <c r="C10" t="s">
        <v>19</v>
      </c>
      <c r="D10" t="s">
        <v>36</v>
      </c>
      <c r="E10" t="s">
        <v>32</v>
      </c>
      <c r="F10">
        <v>3.36</v>
      </c>
      <c r="G10">
        <v>2.36</v>
      </c>
      <c r="H10">
        <v>3.87</v>
      </c>
      <c r="I10" s="7">
        <v>7.41</v>
      </c>
      <c r="P10">
        <f>AVERAGE(F10:F13)</f>
        <v>3.3574999999999999</v>
      </c>
      <c r="Q10">
        <f t="shared" ref="Q10:S10" si="7">AVERAGE(G10:G13)</f>
        <v>2.2024999999999997</v>
      </c>
      <c r="R10">
        <f t="shared" si="7"/>
        <v>3.8225000000000002</v>
      </c>
      <c r="S10">
        <f t="shared" si="7"/>
        <v>6.3400000000000007</v>
      </c>
      <c r="T10">
        <f>_xlfn.STDEV.S(F10:F13)</f>
        <v>0.20072784228070262</v>
      </c>
      <c r="U10">
        <f t="shared" ref="U10:W10" si="8">_xlfn.STDEV.S(G10:G13)</f>
        <v>0.12685293322058688</v>
      </c>
      <c r="V10">
        <f t="shared" si="8"/>
        <v>0.24757153848265101</v>
      </c>
      <c r="W10">
        <f t="shared" si="8"/>
        <v>0.7914964729338082</v>
      </c>
      <c r="AE10">
        <f t="shared" si="2"/>
        <v>4.0500000000000007</v>
      </c>
      <c r="AF10">
        <f t="shared" ref="AF10" si="9">AVERAGE(AE10:AE13)</f>
        <v>2.9824999999999999</v>
      </c>
      <c r="AG10">
        <f t="shared" ref="AG10" si="10">_xlfn.STDEV.S(AE10:AE13)</f>
        <v>0.83288154419861582</v>
      </c>
    </row>
    <row r="11" spans="1:36" x14ac:dyDescent="0.3">
      <c r="A11" s="61" t="s">
        <v>36</v>
      </c>
      <c r="B11" t="s">
        <v>15</v>
      </c>
      <c r="C11" t="s">
        <v>19</v>
      </c>
      <c r="D11" t="s">
        <v>36</v>
      </c>
      <c r="E11" t="s">
        <v>33</v>
      </c>
      <c r="F11">
        <v>3.55</v>
      </c>
      <c r="G11">
        <v>2.19</v>
      </c>
      <c r="H11">
        <v>3.59</v>
      </c>
      <c r="I11" s="7">
        <v>6.26</v>
      </c>
      <c r="AE11">
        <f t="shared" si="2"/>
        <v>2.71</v>
      </c>
    </row>
    <row r="12" spans="1:36" x14ac:dyDescent="0.3">
      <c r="A12" s="61" t="s">
        <v>36</v>
      </c>
      <c r="B12" t="s">
        <v>15</v>
      </c>
      <c r="C12" t="s">
        <v>19</v>
      </c>
      <c r="D12" t="s">
        <v>36</v>
      </c>
      <c r="E12" t="s">
        <v>34</v>
      </c>
      <c r="F12">
        <v>3.44</v>
      </c>
      <c r="G12">
        <v>2.0499999999999998</v>
      </c>
      <c r="H12">
        <v>3.68</v>
      </c>
      <c r="I12" s="7">
        <v>5.5</v>
      </c>
      <c r="AE12">
        <f t="shared" si="2"/>
        <v>2.06</v>
      </c>
    </row>
    <row r="13" spans="1:36" ht="15" thickBot="1" x14ac:dyDescent="0.35">
      <c r="A13" s="62" t="s">
        <v>36</v>
      </c>
      <c r="B13" s="9" t="s">
        <v>15</v>
      </c>
      <c r="C13" s="9" t="s">
        <v>19</v>
      </c>
      <c r="D13" s="9" t="s">
        <v>36</v>
      </c>
      <c r="E13" s="9" t="s">
        <v>35</v>
      </c>
      <c r="F13" s="9">
        <v>3.08</v>
      </c>
      <c r="G13" s="9">
        <v>2.21</v>
      </c>
      <c r="H13" s="9">
        <v>4.1500000000000004</v>
      </c>
      <c r="I13" s="10">
        <v>6.19</v>
      </c>
      <c r="AE13">
        <f t="shared" si="2"/>
        <v>3.1100000000000003</v>
      </c>
    </row>
    <row r="14" spans="1:36" x14ac:dyDescent="0.3">
      <c r="A14" s="61" t="s">
        <v>37</v>
      </c>
      <c r="B14" t="s">
        <v>15</v>
      </c>
      <c r="C14" t="s">
        <v>19</v>
      </c>
      <c r="D14" t="s">
        <v>37</v>
      </c>
      <c r="E14" t="s">
        <v>32</v>
      </c>
      <c r="F14">
        <v>3.32</v>
      </c>
      <c r="G14">
        <v>2.06</v>
      </c>
      <c r="H14">
        <v>3.96</v>
      </c>
      <c r="I14" s="7">
        <v>7.49</v>
      </c>
      <c r="P14">
        <f>AVERAGE(F14:F17)</f>
        <v>3.2125000000000004</v>
      </c>
      <c r="Q14">
        <f t="shared" ref="Q14:S14" si="11">AVERAGE(G14:G17)</f>
        <v>2.15</v>
      </c>
      <c r="R14">
        <f t="shared" si="11"/>
        <v>3.99</v>
      </c>
      <c r="S14">
        <f t="shared" si="11"/>
        <v>6.7024999999999997</v>
      </c>
      <c r="T14">
        <f>_xlfn.STDEV.S(F14:F17)</f>
        <v>0.16780444968275832</v>
      </c>
      <c r="U14">
        <f t="shared" ref="U14:W14" si="12">_xlfn.STDEV.S(G14:G17)</f>
        <v>0.18565200420859099</v>
      </c>
      <c r="V14">
        <f t="shared" si="12"/>
        <v>0.43058100283221962</v>
      </c>
      <c r="W14">
        <f t="shared" si="12"/>
        <v>0.87830803252618184</v>
      </c>
      <c r="AE14">
        <f t="shared" si="2"/>
        <v>4.17</v>
      </c>
      <c r="AF14">
        <f t="shared" ref="AF14" si="13">AVERAGE(AE14:AE17)</f>
        <v>3.49</v>
      </c>
      <c r="AG14">
        <f t="shared" ref="AG14" si="14">_xlfn.STDEV.S(AE14:AE17)</f>
        <v>0.8481745103456011</v>
      </c>
    </row>
    <row r="15" spans="1:36" x14ac:dyDescent="0.3">
      <c r="A15" s="61" t="s">
        <v>37</v>
      </c>
      <c r="B15" t="s">
        <v>15</v>
      </c>
      <c r="C15" t="s">
        <v>19</v>
      </c>
      <c r="D15" t="s">
        <v>37</v>
      </c>
      <c r="E15" t="s">
        <v>33</v>
      </c>
      <c r="F15">
        <v>3.39</v>
      </c>
      <c r="G15">
        <v>2.39</v>
      </c>
      <c r="H15">
        <v>4.05</v>
      </c>
      <c r="I15" s="7">
        <v>6.57</v>
      </c>
      <c r="AE15">
        <f t="shared" si="2"/>
        <v>3.18</v>
      </c>
    </row>
    <row r="16" spans="1:36" x14ac:dyDescent="0.3">
      <c r="A16" s="61" t="s">
        <v>37</v>
      </c>
      <c r="B16" t="s">
        <v>15</v>
      </c>
      <c r="C16" t="s">
        <v>19</v>
      </c>
      <c r="D16" t="s">
        <v>37</v>
      </c>
      <c r="E16" t="s">
        <v>34</v>
      </c>
      <c r="F16">
        <v>3.09</v>
      </c>
      <c r="G16">
        <v>1.96</v>
      </c>
      <c r="H16">
        <v>3.45</v>
      </c>
      <c r="I16" s="7">
        <v>5.52</v>
      </c>
      <c r="AE16">
        <f>I16-F16</f>
        <v>2.4299999999999997</v>
      </c>
    </row>
    <row r="17" spans="1:39" ht="15" thickBot="1" x14ac:dyDescent="0.35">
      <c r="A17" s="62" t="s">
        <v>37</v>
      </c>
      <c r="B17" s="9" t="s">
        <v>15</v>
      </c>
      <c r="C17" s="9" t="s">
        <v>19</v>
      </c>
      <c r="D17" s="9" t="s">
        <v>37</v>
      </c>
      <c r="E17" s="9" t="s">
        <v>35</v>
      </c>
      <c r="F17" s="9">
        <v>3.05</v>
      </c>
      <c r="G17" s="9">
        <v>2.19</v>
      </c>
      <c r="H17" s="9">
        <v>4.5</v>
      </c>
      <c r="I17" s="10">
        <v>7.23</v>
      </c>
      <c r="AE17">
        <f t="shared" si="2"/>
        <v>4.1800000000000006</v>
      </c>
    </row>
    <row r="18" spans="1:39" x14ac:dyDescent="0.3">
      <c r="A18" s="63" t="s">
        <v>20</v>
      </c>
      <c r="B18" s="64" t="s">
        <v>21</v>
      </c>
      <c r="C18" s="64" t="s">
        <v>15</v>
      </c>
      <c r="D18" s="64" t="str">
        <f>A18&amp;B18</f>
        <v>Diclow</v>
      </c>
      <c r="E18" s="64" t="s">
        <v>32</v>
      </c>
      <c r="F18" s="64">
        <v>3.43</v>
      </c>
      <c r="G18" s="64">
        <v>2.29</v>
      </c>
      <c r="H18" s="64">
        <v>1.96</v>
      </c>
      <c r="I18" s="65">
        <v>2.74</v>
      </c>
      <c r="P18">
        <f>AVERAGE(F18:F21)</f>
        <v>3.415</v>
      </c>
      <c r="Q18">
        <f t="shared" ref="Q18:S18" si="15">AVERAGE(G18:G21)</f>
        <v>2.2050000000000001</v>
      </c>
      <c r="R18">
        <f t="shared" si="15"/>
        <v>1.885</v>
      </c>
      <c r="S18">
        <f t="shared" si="15"/>
        <v>2.6425000000000001</v>
      </c>
      <c r="T18">
        <f>_xlfn.STDEV.S(F18:F21)</f>
        <v>0.10661457061146326</v>
      </c>
      <c r="U18">
        <f t="shared" ref="U18:W18" si="16">_xlfn.STDEV.S(G18:G21)</f>
        <v>7.234178138070238E-2</v>
      </c>
      <c r="V18">
        <f t="shared" si="16"/>
        <v>9.6781540939719801E-2</v>
      </c>
      <c r="W18">
        <f t="shared" si="16"/>
        <v>0.2109304782781917</v>
      </c>
      <c r="X18">
        <f>((I18-S$6)/S$6)*100</f>
        <v>-11.183144246353303</v>
      </c>
      <c r="Y18">
        <f>AVERAGE(X18:X21)</f>
        <v>-14.343598055105334</v>
      </c>
      <c r="Z18">
        <f>_xlfn.STDEV.S(X18:X21)</f>
        <v>6.8372926508327945</v>
      </c>
      <c r="AA18">
        <f>((I18-$S$2)/$S$2)*100</f>
        <v>-3.4361233480176105</v>
      </c>
      <c r="AB18">
        <f>AVERAGE(AA18:AA21)</f>
        <v>-6.8722466960352371</v>
      </c>
      <c r="AC18">
        <f>_xlfn.STDEV.S(AA18:AA21)</f>
        <v>7.4336732432842885</v>
      </c>
      <c r="AE18">
        <f t="shared" si="2"/>
        <v>-0.69</v>
      </c>
      <c r="AF18">
        <f t="shared" ref="AF18" si="17">AVERAGE(AE18:AE21)</f>
        <v>-0.77249999999999996</v>
      </c>
      <c r="AG18">
        <f t="shared" ref="AG18" si="18">_xlfn.STDEV.S(AE18:AE21)</f>
        <v>0.21823152842795202</v>
      </c>
      <c r="AH18">
        <f>((AE18-$AF$6)/$AF$6)*100</f>
        <v>68.292682926829201</v>
      </c>
      <c r="AI18">
        <f>AVERAGE(AH18:AH21)</f>
        <v>88.414634146341399</v>
      </c>
      <c r="AJ18">
        <f>_xlfn.STDEV.S(AH18:AH21)</f>
        <v>53.227202055598006</v>
      </c>
      <c r="AK18">
        <f>((AE18-$AF$2)/$AF$2)*100</f>
        <v>26.027397260273965</v>
      </c>
      <c r="AL18">
        <f>AVERAGE(AK18:AK21)</f>
        <v>41.095890410958901</v>
      </c>
      <c r="AM18">
        <f>_xlfn.STDEV.S(AK18:AK21)</f>
        <v>39.859639895516338</v>
      </c>
    </row>
    <row r="19" spans="1:39" x14ac:dyDescent="0.3">
      <c r="A19" s="63" t="s">
        <v>20</v>
      </c>
      <c r="B19" s="64" t="s">
        <v>21</v>
      </c>
      <c r="C19" s="64" t="s">
        <v>15</v>
      </c>
      <c r="D19" s="64" t="str">
        <f t="shared" ref="D19:D49" si="19">A19&amp;B19</f>
        <v>Diclow</v>
      </c>
      <c r="E19" s="64" t="s">
        <v>33</v>
      </c>
      <c r="F19" s="64">
        <v>3.54</v>
      </c>
      <c r="G19" s="64">
        <v>2.2400000000000002</v>
      </c>
      <c r="H19" s="64">
        <v>1.84</v>
      </c>
      <c r="I19" s="65">
        <v>2.5099999999999998</v>
      </c>
      <c r="X19">
        <f t="shared" ref="X19:X49" si="20">((I19-S$6)/S$6)*100</f>
        <v>-18.638573743922198</v>
      </c>
      <c r="AA19">
        <f t="shared" ref="AA19:AA49" si="21">((I19-$S$2)/$S$2)*100</f>
        <v>-11.541850220264321</v>
      </c>
      <c r="AE19">
        <f t="shared" si="2"/>
        <v>-1.0300000000000002</v>
      </c>
      <c r="AH19">
        <f t="shared" ref="AH19:AH49" si="22">((AE19-$AF$6)/$AF$6)*100</f>
        <v>151.21951219512192</v>
      </c>
      <c r="AK19">
        <f t="shared" ref="AK19:AK49" si="23">((AE19-$AF$2)/$AF$2)*100</f>
        <v>88.127853881278583</v>
      </c>
    </row>
    <row r="20" spans="1:39" x14ac:dyDescent="0.3">
      <c r="A20" s="63" t="s">
        <v>20</v>
      </c>
      <c r="B20" s="64" t="s">
        <v>21</v>
      </c>
      <c r="C20" s="64" t="s">
        <v>15</v>
      </c>
      <c r="D20" s="64" t="str">
        <f t="shared" si="19"/>
        <v>Diclow</v>
      </c>
      <c r="E20" s="64" t="s">
        <v>34</v>
      </c>
      <c r="F20" s="64">
        <v>3.28</v>
      </c>
      <c r="G20" s="64">
        <v>2.15</v>
      </c>
      <c r="H20" s="64">
        <v>1.77</v>
      </c>
      <c r="I20" s="65">
        <v>2.4300000000000002</v>
      </c>
      <c r="X20">
        <f t="shared" si="20"/>
        <v>-21.231766612641799</v>
      </c>
      <c r="AA20">
        <f t="shared" si="21"/>
        <v>-14.361233480176203</v>
      </c>
      <c r="AE20">
        <f t="shared" si="2"/>
        <v>-0.84999999999999964</v>
      </c>
      <c r="AH20">
        <f t="shared" si="22"/>
        <v>107.31707317073156</v>
      </c>
      <c r="AK20">
        <f>((AE20-$AF$2)/$AF$2)*100</f>
        <v>55.251141552511349</v>
      </c>
    </row>
    <row r="21" spans="1:39" ht="15" thickBot="1" x14ac:dyDescent="0.35">
      <c r="A21" s="66" t="s">
        <v>20</v>
      </c>
      <c r="B21" s="67" t="s">
        <v>21</v>
      </c>
      <c r="C21" s="67" t="s">
        <v>15</v>
      </c>
      <c r="D21" s="67" t="str">
        <f t="shared" si="19"/>
        <v>Diclow</v>
      </c>
      <c r="E21" s="67" t="s">
        <v>35</v>
      </c>
      <c r="F21" s="67">
        <v>3.41</v>
      </c>
      <c r="G21" s="67">
        <v>2.14</v>
      </c>
      <c r="H21" s="67">
        <v>1.97</v>
      </c>
      <c r="I21" s="68">
        <v>2.89</v>
      </c>
      <c r="X21">
        <f t="shared" si="20"/>
        <v>-6.3209076175040328</v>
      </c>
      <c r="AA21">
        <f t="shared" si="21"/>
        <v>1.8502202643171883</v>
      </c>
      <c r="AE21">
        <f t="shared" si="2"/>
        <v>-0.52</v>
      </c>
      <c r="AH21">
        <f t="shared" si="22"/>
        <v>26.82926829268289</v>
      </c>
      <c r="AK21">
        <f t="shared" si="23"/>
        <v>-5.0228310502283051</v>
      </c>
    </row>
    <row r="22" spans="1:39" x14ac:dyDescent="0.3">
      <c r="A22" s="69" t="s">
        <v>20</v>
      </c>
      <c r="B22" s="15" t="s">
        <v>22</v>
      </c>
      <c r="C22" s="15" t="s">
        <v>15</v>
      </c>
      <c r="D22" s="15" t="str">
        <f t="shared" si="19"/>
        <v>Dichigh</v>
      </c>
      <c r="E22" s="15" t="s">
        <v>32</v>
      </c>
      <c r="F22" s="15">
        <v>3.45</v>
      </c>
      <c r="G22" s="15">
        <v>2.35</v>
      </c>
      <c r="H22" s="15">
        <v>1.8</v>
      </c>
      <c r="I22" s="16">
        <v>2.31</v>
      </c>
      <c r="P22">
        <f>AVERAGE(F22:F25)</f>
        <v>3.415</v>
      </c>
      <c r="Q22">
        <f t="shared" ref="Q22:S22" si="24">AVERAGE(G22:G25)</f>
        <v>2.2350000000000003</v>
      </c>
      <c r="R22">
        <f t="shared" si="24"/>
        <v>1.9025000000000001</v>
      </c>
      <c r="S22">
        <f t="shared" si="24"/>
        <v>2.3875000000000002</v>
      </c>
      <c r="T22">
        <f>_xlfn.STDEV.S(F22:F25)</f>
        <v>0.19330459556530646</v>
      </c>
      <c r="U22">
        <f t="shared" ref="U22:W22" si="25">_xlfn.STDEV.S(G22:G25)</f>
        <v>7.8951461882180149E-2</v>
      </c>
      <c r="V22">
        <f t="shared" si="25"/>
        <v>0.15326991442115012</v>
      </c>
      <c r="W22">
        <f t="shared" si="25"/>
        <v>0.13671747023210548</v>
      </c>
      <c r="X22">
        <f t="shared" si="20"/>
        <v>-25.121555915721217</v>
      </c>
      <c r="Y22">
        <f>AVERAGE(X22:X25)</f>
        <v>-22.609400324149096</v>
      </c>
      <c r="Z22">
        <f>_xlfn.STDEV.S(X22:X25)</f>
        <v>4.4316846104410166</v>
      </c>
      <c r="AA22">
        <f t="shared" si="21"/>
        <v>-18.590308370044049</v>
      </c>
      <c r="AB22">
        <f>AVERAGE(AA22:AA25)</f>
        <v>-15.859030837004404</v>
      </c>
      <c r="AC22">
        <f>_xlfn.STDEV.S(AA22:AA25)</f>
        <v>4.8182368363737611</v>
      </c>
      <c r="AE22">
        <f t="shared" si="2"/>
        <v>-1.1400000000000001</v>
      </c>
      <c r="AF22">
        <f t="shared" ref="AF22" si="26">AVERAGE(AE22:AE25)</f>
        <v>-1.0275000000000001</v>
      </c>
      <c r="AG22">
        <f t="shared" ref="AG22" si="27">_xlfn.STDEV.S(AE22:AE25)</f>
        <v>0.32201190454184592</v>
      </c>
      <c r="AH22">
        <f t="shared" si="22"/>
        <v>178.04878048780481</v>
      </c>
      <c r="AI22">
        <f t="shared" ref="AI22" si="28">AVERAGE(AH22:AH25)</f>
        <v>150.6097560975609</v>
      </c>
      <c r="AJ22">
        <f t="shared" ref="AJ22" si="29">_xlfn.STDEV.S(AH22:AH25)</f>
        <v>78.539488912645297</v>
      </c>
      <c r="AK22">
        <f t="shared" si="23"/>
        <v>108.21917808219182</v>
      </c>
      <c r="AL22">
        <f t="shared" ref="AL22" si="30">AVERAGE(AK22:AK25)</f>
        <v>87.671232876712338</v>
      </c>
      <c r="AM22">
        <f t="shared" ref="AM22" si="31">_xlfn.STDEV.S(AK22:AK25)</f>
        <v>58.814959733670449</v>
      </c>
    </row>
    <row r="23" spans="1:39" x14ac:dyDescent="0.3">
      <c r="A23" s="69" t="s">
        <v>20</v>
      </c>
      <c r="B23" s="15" t="s">
        <v>22</v>
      </c>
      <c r="C23" s="15" t="s">
        <v>15</v>
      </c>
      <c r="D23" s="15" t="str">
        <f t="shared" si="19"/>
        <v>Dichigh</v>
      </c>
      <c r="E23" s="15" t="s">
        <v>33</v>
      </c>
      <c r="F23" s="15">
        <v>3.4</v>
      </c>
      <c r="G23" s="15">
        <v>2.21</v>
      </c>
      <c r="H23" s="15">
        <v>1.79</v>
      </c>
      <c r="I23" s="16">
        <v>2.35</v>
      </c>
      <c r="X23">
        <f t="shared" si="20"/>
        <v>-23.824959481361411</v>
      </c>
      <c r="AA23">
        <f t="shared" si="21"/>
        <v>-17.180616740088102</v>
      </c>
      <c r="AE23">
        <f t="shared" si="2"/>
        <v>-1.0499999999999998</v>
      </c>
      <c r="AH23">
        <f t="shared" si="22"/>
        <v>156.09756097560964</v>
      </c>
      <c r="AK23">
        <f>((AE23-$AF$2)/$AF$2)*100</f>
        <v>91.780821917808183</v>
      </c>
      <c r="AM23" s="152"/>
    </row>
    <row r="24" spans="1:39" x14ac:dyDescent="0.3">
      <c r="A24" s="69" t="s">
        <v>20</v>
      </c>
      <c r="B24" s="15" t="s">
        <v>22</v>
      </c>
      <c r="C24" s="15" t="s">
        <v>15</v>
      </c>
      <c r="D24" s="15" t="str">
        <f t="shared" si="19"/>
        <v>Dichigh</v>
      </c>
      <c r="E24" s="15" t="s">
        <v>34</v>
      </c>
      <c r="F24" s="15">
        <v>3.64</v>
      </c>
      <c r="G24" s="15">
        <v>2.17</v>
      </c>
      <c r="H24" s="15">
        <v>1.9</v>
      </c>
      <c r="I24" s="16">
        <v>2.2999999999999998</v>
      </c>
      <c r="X24">
        <f t="shared" si="20"/>
        <v>-25.445705024311177</v>
      </c>
      <c r="AA24">
        <f>((I24-$S$2)/$S$2)*100</f>
        <v>-18.942731277533042</v>
      </c>
      <c r="AE24">
        <f t="shared" si="2"/>
        <v>-1.3400000000000003</v>
      </c>
      <c r="AH24">
        <f t="shared" si="22"/>
        <v>226.82926829268291</v>
      </c>
      <c r="AK24">
        <f t="shared" si="23"/>
        <v>144.74885844748863</v>
      </c>
    </row>
    <row r="25" spans="1:39" ht="15" thickBot="1" x14ac:dyDescent="0.35">
      <c r="A25" s="70" t="s">
        <v>20</v>
      </c>
      <c r="B25" s="71" t="s">
        <v>22</v>
      </c>
      <c r="C25" s="71" t="s">
        <v>15</v>
      </c>
      <c r="D25" s="71" t="str">
        <f t="shared" si="19"/>
        <v>Dichigh</v>
      </c>
      <c r="E25" s="71" t="s">
        <v>35</v>
      </c>
      <c r="F25" s="71">
        <v>3.17</v>
      </c>
      <c r="G25" s="71">
        <v>2.21</v>
      </c>
      <c r="H25" s="71">
        <v>2.12</v>
      </c>
      <c r="I25" s="72">
        <v>2.59</v>
      </c>
      <c r="X25">
        <f t="shared" si="20"/>
        <v>-16.045380875202582</v>
      </c>
      <c r="AA25">
        <f t="shared" si="21"/>
        <v>-8.7224669603524241</v>
      </c>
      <c r="AE25">
        <f t="shared" si="2"/>
        <v>-0.58000000000000007</v>
      </c>
      <c r="AH25">
        <f t="shared" si="22"/>
        <v>41.463414634146311</v>
      </c>
      <c r="AK25">
        <f t="shared" si="23"/>
        <v>5.936073059360746</v>
      </c>
    </row>
    <row r="26" spans="1:39" x14ac:dyDescent="0.3">
      <c r="A26" s="73" t="s">
        <v>23</v>
      </c>
      <c r="B26" s="18" t="s">
        <v>21</v>
      </c>
      <c r="C26" s="18" t="s">
        <v>15</v>
      </c>
      <c r="D26" s="18" t="str">
        <f t="shared" si="19"/>
        <v>Dic+Carblow</v>
      </c>
      <c r="E26" s="18" t="s">
        <v>32</v>
      </c>
      <c r="F26" s="18">
        <v>3.39</v>
      </c>
      <c r="G26" s="18">
        <v>2.0299999999999998</v>
      </c>
      <c r="H26" s="18">
        <v>1.85</v>
      </c>
      <c r="I26" s="19">
        <v>2.88</v>
      </c>
      <c r="P26">
        <f>AVERAGE(F26:F29)</f>
        <v>3.4224999999999999</v>
      </c>
      <c r="Q26">
        <f t="shared" ref="Q26:S26" si="32">AVERAGE(G26:G29)</f>
        <v>1.9524999999999999</v>
      </c>
      <c r="R26">
        <f t="shared" si="32"/>
        <v>2.2175000000000002</v>
      </c>
      <c r="S26">
        <f t="shared" si="32"/>
        <v>2.7174999999999998</v>
      </c>
      <c r="T26">
        <f>_xlfn.STDEV.S(F26:F29)</f>
        <v>0.25342651794948368</v>
      </c>
      <c r="U26">
        <f t="shared" ref="U26:W26" si="33">_xlfn.STDEV.S(G26:G29)</f>
        <v>9.2870878105033458E-2</v>
      </c>
      <c r="V26">
        <f t="shared" si="33"/>
        <v>0.2808766039859249</v>
      </c>
      <c r="W26">
        <f t="shared" si="33"/>
        <v>0.2239605620044148</v>
      </c>
      <c r="X26">
        <f t="shared" si="20"/>
        <v>-6.6450567260939923</v>
      </c>
      <c r="Y26">
        <f>AVERAGE(X26:X29)</f>
        <v>-11.912479740680702</v>
      </c>
      <c r="Z26">
        <f>_xlfn.STDEV.S(X26:X29)</f>
        <v>7.2596616533035601</v>
      </c>
      <c r="AA26">
        <f t="shared" si="21"/>
        <v>1.4977973568281933</v>
      </c>
      <c r="AB26">
        <f>AVERAGE(AA26:AA29)</f>
        <v>-4.2290748898678405</v>
      </c>
      <c r="AC26">
        <f>_xlfn.STDEV.S(AA26:AA29)</f>
        <v>7.8928832424463371</v>
      </c>
      <c r="AE26">
        <f t="shared" si="2"/>
        <v>-0.51000000000000023</v>
      </c>
      <c r="AF26">
        <f>AVERAGE(AE26:AE29)</f>
        <v>-0.70500000000000018</v>
      </c>
      <c r="AG26">
        <f t="shared" ref="AG26" si="34">_xlfn.STDEV.S(AE26:AE29)</f>
        <v>0.19278658321228334</v>
      </c>
      <c r="AH26">
        <f t="shared" si="22"/>
        <v>24.390243902439039</v>
      </c>
      <c r="AI26">
        <f t="shared" ref="AI26" si="35">AVERAGE(AH26:AH29)</f>
        <v>71.951219512195109</v>
      </c>
      <c r="AJ26">
        <f t="shared" ref="AJ26" si="36">_xlfn.STDEV.S(AH26:AH29)</f>
        <v>47.021117856654435</v>
      </c>
      <c r="AK26">
        <f>((AE26-$AF$2)/$AF$2)*100</f>
        <v>-6.8493150684931061</v>
      </c>
      <c r="AL26">
        <f t="shared" ref="AL26" si="37">AVERAGE(AK26:AK29)</f>
        <v>28.767123287671268</v>
      </c>
      <c r="AM26">
        <f t="shared" ref="AM26" si="38">_xlfn.STDEV.S(AK26:AK29)</f>
        <v>35.212161317312017</v>
      </c>
    </row>
    <row r="27" spans="1:39" x14ac:dyDescent="0.3">
      <c r="A27" s="73" t="s">
        <v>23</v>
      </c>
      <c r="B27" s="18" t="s">
        <v>21</v>
      </c>
      <c r="C27" s="18" t="s">
        <v>15</v>
      </c>
      <c r="D27" s="18" t="str">
        <f t="shared" si="19"/>
        <v>Dic+Carblow</v>
      </c>
      <c r="E27" s="18" t="s">
        <v>33</v>
      </c>
      <c r="F27" s="18">
        <v>3.27</v>
      </c>
      <c r="G27" s="18">
        <v>1.96</v>
      </c>
      <c r="H27" s="18">
        <v>2.4</v>
      </c>
      <c r="I27" s="19">
        <v>2.42</v>
      </c>
      <c r="X27">
        <f t="shared" si="20"/>
        <v>-21.555915721231756</v>
      </c>
      <c r="AA27">
        <f t="shared" si="21"/>
        <v>-14.713656387665196</v>
      </c>
      <c r="AE27">
        <f t="shared" si="2"/>
        <v>-0.85000000000000009</v>
      </c>
      <c r="AH27">
        <f t="shared" si="22"/>
        <v>107.31707317073165</v>
      </c>
      <c r="AK27">
        <f t="shared" si="23"/>
        <v>55.251141552511442</v>
      </c>
    </row>
    <row r="28" spans="1:39" x14ac:dyDescent="0.3">
      <c r="A28" s="73" t="s">
        <v>23</v>
      </c>
      <c r="B28" s="18" t="s">
        <v>21</v>
      </c>
      <c r="C28" s="18" t="s">
        <v>15</v>
      </c>
      <c r="D28" s="18" t="str">
        <f t="shared" si="19"/>
        <v>Dic+Carblow</v>
      </c>
      <c r="E28" s="18" t="s">
        <v>34</v>
      </c>
      <c r="F28" s="18">
        <v>3.79</v>
      </c>
      <c r="G28" s="18">
        <v>1.82</v>
      </c>
      <c r="H28" s="18">
        <v>2.15</v>
      </c>
      <c r="I28" s="19">
        <v>2.9</v>
      </c>
      <c r="X28">
        <f t="shared" si="20"/>
        <v>-5.9967585089140885</v>
      </c>
      <c r="AA28">
        <f t="shared" si="21"/>
        <v>2.2026431718061676</v>
      </c>
      <c r="AE28">
        <f t="shared" si="2"/>
        <v>-0.89000000000000012</v>
      </c>
      <c r="AH28">
        <f>((AE28-$AF$6)/$AF$6)*100</f>
        <v>117.07317073170726</v>
      </c>
      <c r="AK28">
        <f t="shared" si="23"/>
        <v>62.557077625570798</v>
      </c>
    </row>
    <row r="29" spans="1:39" ht="15" thickBot="1" x14ac:dyDescent="0.35">
      <c r="A29" s="74" t="s">
        <v>23</v>
      </c>
      <c r="B29" s="75" t="s">
        <v>21</v>
      </c>
      <c r="C29" s="75" t="s">
        <v>15</v>
      </c>
      <c r="D29" s="75" t="str">
        <f t="shared" si="19"/>
        <v>Dic+Carblow</v>
      </c>
      <c r="E29" s="75" t="s">
        <v>35</v>
      </c>
      <c r="F29" s="75">
        <v>3.24</v>
      </c>
      <c r="G29" s="75">
        <v>2</v>
      </c>
      <c r="H29" s="75">
        <v>2.4700000000000002</v>
      </c>
      <c r="I29" s="76">
        <v>2.67</v>
      </c>
      <c r="X29">
        <f t="shared" si="20"/>
        <v>-13.45218800648297</v>
      </c>
      <c r="AA29">
        <f t="shared" si="21"/>
        <v>-5.9030837004405283</v>
      </c>
      <c r="AE29">
        <f t="shared" si="2"/>
        <v>-0.57000000000000028</v>
      </c>
      <c r="AH29">
        <f t="shared" si="22"/>
        <v>39.024390243902459</v>
      </c>
      <c r="AK29">
        <f t="shared" si="23"/>
        <v>4.109589041095945</v>
      </c>
    </row>
    <row r="30" spans="1:39" x14ac:dyDescent="0.3">
      <c r="A30" s="77" t="s">
        <v>23</v>
      </c>
      <c r="B30" s="21" t="s">
        <v>22</v>
      </c>
      <c r="C30" s="21" t="s">
        <v>15</v>
      </c>
      <c r="D30" s="21" t="str">
        <f t="shared" si="19"/>
        <v>Dic+Carbhigh</v>
      </c>
      <c r="E30" s="21" t="s">
        <v>32</v>
      </c>
      <c r="F30" s="21">
        <v>3.48</v>
      </c>
      <c r="G30" s="21">
        <v>2.04</v>
      </c>
      <c r="H30" s="21">
        <v>2.63</v>
      </c>
      <c r="I30" s="22">
        <v>3</v>
      </c>
      <c r="P30">
        <f>AVERAGE(F30:F33)</f>
        <v>3.49</v>
      </c>
      <c r="Q30">
        <f t="shared" ref="Q30:S30" si="39">AVERAGE(G30:G33)</f>
        <v>2.1625000000000001</v>
      </c>
      <c r="R30">
        <f t="shared" si="39"/>
        <v>2.5474999999999999</v>
      </c>
      <c r="S30">
        <f t="shared" si="39"/>
        <v>3.08</v>
      </c>
      <c r="T30">
        <f>_xlfn.STDEV.S(F30:F33)</f>
        <v>0.11460075625114048</v>
      </c>
      <c r="U30">
        <f t="shared" ref="U30:W30" si="40">_xlfn.STDEV.S(G30:G33)</f>
        <v>9.7425184971169893E-2</v>
      </c>
      <c r="V30">
        <f t="shared" si="40"/>
        <v>0.17969882210706523</v>
      </c>
      <c r="W30">
        <f t="shared" si="40"/>
        <v>0.27868739954771315</v>
      </c>
      <c r="X30">
        <f t="shared" si="20"/>
        <v>-2.7552674230145713</v>
      </c>
      <c r="Y30">
        <f>AVERAGE(X30:X33)</f>
        <v>-0.16207455429495798</v>
      </c>
      <c r="Z30">
        <f>_xlfn.STDEV.S(X30:X33)</f>
        <v>9.0336272138642855</v>
      </c>
      <c r="AA30">
        <f t="shared" si="21"/>
        <v>5.7268722466960389</v>
      </c>
      <c r="AB30">
        <f>AVERAGE(AA30:AA33)</f>
        <v>8.5462555066079364</v>
      </c>
      <c r="AC30">
        <f>_xlfn.STDEV.S(AA30:AA33)</f>
        <v>9.8215823629150023</v>
      </c>
      <c r="AE30">
        <f t="shared" si="2"/>
        <v>-0.48</v>
      </c>
      <c r="AF30">
        <f t="shared" ref="AF30" si="41">AVERAGE(AE30:AE33)</f>
        <v>-0.40999999999999992</v>
      </c>
      <c r="AG30">
        <f t="shared" ref="AG30" si="42">_xlfn.STDEV.S(AE30:AE33)</f>
        <v>0.33035334618152928</v>
      </c>
      <c r="AH30">
        <f t="shared" si="22"/>
        <v>17.073170731707272</v>
      </c>
      <c r="AI30">
        <f>AVERAGE(AH30:AH33)</f>
        <v>-5.3290705182007514E-14</v>
      </c>
      <c r="AJ30">
        <f t="shared" ref="AJ30" si="43">_xlfn.STDEV.S(AH30:AH33)</f>
        <v>80.573986873543703</v>
      </c>
      <c r="AK30">
        <f t="shared" si="23"/>
        <v>-12.328767123287673</v>
      </c>
      <c r="AL30">
        <f t="shared" ref="AL30" si="44">AVERAGE(AK30:AK33)</f>
        <v>-25.114155251141561</v>
      </c>
      <c r="AM30">
        <f>_xlfn.STDEV.S(AK30:AK33)</f>
        <v>60.338510718087548</v>
      </c>
    </row>
    <row r="31" spans="1:39" x14ac:dyDescent="0.3">
      <c r="A31" s="77" t="s">
        <v>23</v>
      </c>
      <c r="B31" s="21" t="s">
        <v>22</v>
      </c>
      <c r="C31" s="21" t="s">
        <v>15</v>
      </c>
      <c r="D31" s="21" t="str">
        <f t="shared" si="19"/>
        <v>Dic+Carbhigh</v>
      </c>
      <c r="E31" s="21" t="s">
        <v>33</v>
      </c>
      <c r="F31" s="21">
        <v>3.35</v>
      </c>
      <c r="G31" s="21">
        <v>2.14</v>
      </c>
      <c r="H31" s="21">
        <v>2.57</v>
      </c>
      <c r="I31" s="22">
        <v>3.04</v>
      </c>
      <c r="X31">
        <f t="shared" si="20"/>
        <v>-1.4586709886547649</v>
      </c>
      <c r="AA31">
        <f t="shared" si="21"/>
        <v>7.1365638766519872</v>
      </c>
      <c r="AE31">
        <f t="shared" si="2"/>
        <v>-0.31000000000000005</v>
      </c>
      <c r="AH31">
        <f>((AE31-$AF$6)/$AF$6)*100</f>
        <v>-24.390243902439039</v>
      </c>
      <c r="AK31">
        <f t="shared" si="23"/>
        <v>-43.378995433789939</v>
      </c>
    </row>
    <row r="32" spans="1:39" x14ac:dyDescent="0.3">
      <c r="A32" s="77" t="s">
        <v>23</v>
      </c>
      <c r="B32" s="21" t="s">
        <v>22</v>
      </c>
      <c r="C32" s="21" t="s">
        <v>15</v>
      </c>
      <c r="D32" s="21" t="str">
        <f t="shared" si="19"/>
        <v>Dic+Carbhigh</v>
      </c>
      <c r="E32" s="21" t="s">
        <v>34</v>
      </c>
      <c r="F32" s="21">
        <v>3.63</v>
      </c>
      <c r="G32" s="21">
        <v>2.2000000000000002</v>
      </c>
      <c r="H32" s="21">
        <v>2.29</v>
      </c>
      <c r="I32" s="22">
        <v>2.81</v>
      </c>
      <c r="X32">
        <f t="shared" si="20"/>
        <v>-8.9141004862236475</v>
      </c>
      <c r="AA32">
        <f t="shared" si="21"/>
        <v>-0.96916299559470875</v>
      </c>
      <c r="AE32">
        <f t="shared" si="2"/>
        <v>-0.81999999999999984</v>
      </c>
      <c r="AH32">
        <f t="shared" si="22"/>
        <v>99.999999999999886</v>
      </c>
      <c r="AK32">
        <f>((AE32-$AF$2)/$AF$2)*100</f>
        <v>49.771689497716871</v>
      </c>
    </row>
    <row r="33" spans="1:39" ht="15" thickBot="1" x14ac:dyDescent="0.35">
      <c r="A33" s="78" t="s">
        <v>23</v>
      </c>
      <c r="B33" s="79" t="s">
        <v>22</v>
      </c>
      <c r="C33" s="79" t="s">
        <v>15</v>
      </c>
      <c r="D33" s="79" t="str">
        <f t="shared" si="19"/>
        <v>Dic+Carbhigh</v>
      </c>
      <c r="E33" s="79" t="s">
        <v>35</v>
      </c>
      <c r="F33" s="79">
        <v>3.5</v>
      </c>
      <c r="G33" s="79">
        <v>2.27</v>
      </c>
      <c r="H33" s="79">
        <v>2.7</v>
      </c>
      <c r="I33" s="80">
        <v>3.47</v>
      </c>
      <c r="X33">
        <f t="shared" si="20"/>
        <v>12.479740680713151</v>
      </c>
      <c r="AA33">
        <f t="shared" si="21"/>
        <v>22.290748898678427</v>
      </c>
      <c r="AE33">
        <f t="shared" si="2"/>
        <v>-2.9999999999999805E-2</v>
      </c>
      <c r="AH33">
        <f t="shared" si="22"/>
        <v>-92.682926829268339</v>
      </c>
      <c r="AK33">
        <f t="shared" si="23"/>
        <v>-94.520547945205507</v>
      </c>
    </row>
    <row r="34" spans="1:39" x14ac:dyDescent="0.3">
      <c r="A34" s="81" t="s">
        <v>24</v>
      </c>
      <c r="B34" s="24" t="s">
        <v>21</v>
      </c>
      <c r="C34" s="24" t="s">
        <v>15</v>
      </c>
      <c r="D34" s="24" t="str">
        <f t="shared" si="19"/>
        <v>Dic+PFOSlow</v>
      </c>
      <c r="E34" s="24" t="s">
        <v>32</v>
      </c>
      <c r="F34" s="24">
        <v>3.27</v>
      </c>
      <c r="G34" s="24">
        <v>1.98</v>
      </c>
      <c r="H34" s="24">
        <v>2.2799999999999998</v>
      </c>
      <c r="I34" s="25">
        <v>2.98</v>
      </c>
      <c r="P34">
        <f>AVERAGE(F34:F37)</f>
        <v>3.5075000000000003</v>
      </c>
      <c r="Q34">
        <f t="shared" ref="Q34:S34" si="45">AVERAGE(G34:G37)</f>
        <v>2.2875000000000001</v>
      </c>
      <c r="R34">
        <f t="shared" si="45"/>
        <v>2.6375000000000002</v>
      </c>
      <c r="S34">
        <f t="shared" si="45"/>
        <v>2.7950000000000004</v>
      </c>
      <c r="T34">
        <f>_xlfn.STDEV.S(F34:F37)</f>
        <v>0.16997548842896931</v>
      </c>
      <c r="U34">
        <f t="shared" ref="U34:W34" si="46">_xlfn.STDEV.S(G34:G37)</f>
        <v>0.3305929017185128</v>
      </c>
      <c r="V34">
        <f t="shared" si="46"/>
        <v>0.42711239738504397</v>
      </c>
      <c r="W34">
        <f t="shared" si="46"/>
        <v>0.21916508237703691</v>
      </c>
      <c r="X34">
        <f t="shared" si="20"/>
        <v>-3.4035656401944752</v>
      </c>
      <c r="Y34">
        <f>AVERAGE(X34:X37)</f>
        <v>-9.4003241491085756</v>
      </c>
      <c r="Z34">
        <f>_xlfn.STDEV.S(X34:X37)</f>
        <v>7.1042166086559773</v>
      </c>
      <c r="AA34">
        <f t="shared" si="21"/>
        <v>5.0220264317180643</v>
      </c>
      <c r="AB34">
        <f>AVERAGE(AA34:AA37)</f>
        <v>-1.497797356828189</v>
      </c>
      <c r="AC34">
        <f>_xlfn.STDEV.S(AA34:AA37)</f>
        <v>7.7238795551378647</v>
      </c>
      <c r="AE34">
        <f t="shared" si="2"/>
        <v>-0.29000000000000004</v>
      </c>
      <c r="AF34">
        <f t="shared" ref="AF34" si="47">AVERAGE(AE34:AE37)</f>
        <v>-0.71250000000000002</v>
      </c>
      <c r="AG34">
        <f t="shared" ref="AG34" si="48">_xlfn.STDEV.S(AE34:AE37)</f>
        <v>0.36791076816713786</v>
      </c>
      <c r="AH34">
        <f t="shared" si="22"/>
        <v>-29.268292682926845</v>
      </c>
      <c r="AI34">
        <f t="shared" ref="AI34" si="49">AVERAGE(AH34:AH37)</f>
        <v>73.780487804878007</v>
      </c>
      <c r="AJ34">
        <f t="shared" ref="AJ34" si="50">_xlfn.STDEV.S(AH34:AH37)</f>
        <v>89.734333699301885</v>
      </c>
      <c r="AK34">
        <f t="shared" si="23"/>
        <v>-47.031963470319624</v>
      </c>
      <c r="AL34">
        <f t="shared" ref="AL34" si="51">AVERAGE(AK34:AK37)</f>
        <v>30.13698630136987</v>
      </c>
      <c r="AM34">
        <f t="shared" ref="AM34" si="52">_xlfn.STDEV.S(AK34:AK37)</f>
        <v>67.198313820481786</v>
      </c>
    </row>
    <row r="35" spans="1:39" x14ac:dyDescent="0.3">
      <c r="A35" s="81" t="s">
        <v>24</v>
      </c>
      <c r="B35" s="24" t="s">
        <v>21</v>
      </c>
      <c r="C35" s="24" t="s">
        <v>15</v>
      </c>
      <c r="D35" s="24" t="str">
        <f t="shared" si="19"/>
        <v>Dic+PFOSlow</v>
      </c>
      <c r="E35" s="24" t="s">
        <v>33</v>
      </c>
      <c r="F35" s="24">
        <v>3.62</v>
      </c>
      <c r="G35" s="24">
        <v>2.04</v>
      </c>
      <c r="H35" s="24">
        <v>2.4</v>
      </c>
      <c r="I35" s="25">
        <v>2.5299999999999998</v>
      </c>
      <c r="X35">
        <f t="shared" si="20"/>
        <v>-17.990275526742295</v>
      </c>
      <c r="AA35">
        <f t="shared" si="21"/>
        <v>-10.837004405286347</v>
      </c>
      <c r="AE35">
        <f t="shared" si="2"/>
        <v>-1.0900000000000003</v>
      </c>
      <c r="AH35">
        <f t="shared" si="22"/>
        <v>165.85365853658536</v>
      </c>
      <c r="AK35">
        <f t="shared" si="23"/>
        <v>99.086757990867639</v>
      </c>
    </row>
    <row r="36" spans="1:39" x14ac:dyDescent="0.3">
      <c r="A36" s="81" t="s">
        <v>24</v>
      </c>
      <c r="B36" s="24" t="s">
        <v>21</v>
      </c>
      <c r="C36" s="24" t="s">
        <v>15</v>
      </c>
      <c r="D36" s="24" t="str">
        <f t="shared" si="19"/>
        <v>Dic+PFOSlow</v>
      </c>
      <c r="E36" s="24" t="s">
        <v>34</v>
      </c>
      <c r="F36" s="24">
        <v>3.64</v>
      </c>
      <c r="G36" s="24">
        <v>2.4700000000000002</v>
      </c>
      <c r="H36" s="24">
        <v>2.63</v>
      </c>
      <c r="I36" s="25">
        <v>2.7</v>
      </c>
      <c r="X36">
        <f t="shared" si="20"/>
        <v>-12.479740680713109</v>
      </c>
      <c r="AA36">
        <f t="shared" si="21"/>
        <v>-4.8458149779735589</v>
      </c>
      <c r="AE36">
        <f t="shared" si="2"/>
        <v>-0.94</v>
      </c>
      <c r="AH36">
        <f t="shared" si="22"/>
        <v>129.26829268292676</v>
      </c>
      <c r="AK36">
        <f t="shared" si="23"/>
        <v>71.689497716894962</v>
      </c>
    </row>
    <row r="37" spans="1:39" ht="15" thickBot="1" x14ac:dyDescent="0.35">
      <c r="A37" s="82" t="s">
        <v>24</v>
      </c>
      <c r="B37" s="83" t="s">
        <v>21</v>
      </c>
      <c r="C37" s="83" t="s">
        <v>15</v>
      </c>
      <c r="D37" s="83" t="str">
        <f t="shared" si="19"/>
        <v>Dic+PFOSlow</v>
      </c>
      <c r="E37" s="83" t="s">
        <v>35</v>
      </c>
      <c r="F37" s="83">
        <v>3.5</v>
      </c>
      <c r="G37" s="83">
        <v>2.66</v>
      </c>
      <c r="H37" s="83">
        <v>3.24</v>
      </c>
      <c r="I37" s="84">
        <v>2.97</v>
      </c>
      <c r="X37">
        <f t="shared" si="20"/>
        <v>-3.7277147487844191</v>
      </c>
      <c r="AA37">
        <f t="shared" si="21"/>
        <v>4.6696035242290854</v>
      </c>
      <c r="AE37">
        <f t="shared" si="2"/>
        <v>-0.5299999999999998</v>
      </c>
      <c r="AH37">
        <f t="shared" si="22"/>
        <v>29.268292682926738</v>
      </c>
      <c r="AK37">
        <f t="shared" si="23"/>
        <v>-3.1963470319635032</v>
      </c>
    </row>
    <row r="38" spans="1:39" x14ac:dyDescent="0.3">
      <c r="A38" s="85" t="s">
        <v>24</v>
      </c>
      <c r="B38" s="27" t="s">
        <v>22</v>
      </c>
      <c r="C38" s="27" t="s">
        <v>15</v>
      </c>
      <c r="D38" s="27" t="str">
        <f t="shared" si="19"/>
        <v>Dic+PFOShigh</v>
      </c>
      <c r="E38" s="27" t="s">
        <v>32</v>
      </c>
      <c r="F38" s="27">
        <v>3.44</v>
      </c>
      <c r="G38" s="27">
        <v>2.1800000000000002</v>
      </c>
      <c r="H38" s="27">
        <v>2.12</v>
      </c>
      <c r="I38" s="28">
        <v>2.95</v>
      </c>
      <c r="P38">
        <f>AVERAGE(F38:F41)</f>
        <v>3.3574999999999999</v>
      </c>
      <c r="Q38">
        <f t="shared" ref="Q38:S38" si="53">AVERAGE(G38:G41)</f>
        <v>2.3325</v>
      </c>
      <c r="R38">
        <f t="shared" si="53"/>
        <v>2.6025</v>
      </c>
      <c r="S38">
        <f t="shared" si="53"/>
        <v>3</v>
      </c>
      <c r="T38">
        <f>_xlfn.STDEV.S(F38:F41)</f>
        <v>0.12763881332363852</v>
      </c>
      <c r="U38">
        <f t="shared" ref="U38:W38" si="54">_xlfn.STDEV.S(G38:G41)</f>
        <v>0.20902551678363734</v>
      </c>
      <c r="V38">
        <f t="shared" si="54"/>
        <v>0.47626148280120284</v>
      </c>
      <c r="W38">
        <f t="shared" si="54"/>
        <v>0.21571586249817915</v>
      </c>
      <c r="X38">
        <f t="shared" si="20"/>
        <v>-4.376012965964323</v>
      </c>
      <c r="Y38">
        <f>AVERAGE(X38:X41)</f>
        <v>-2.7552674230145673</v>
      </c>
      <c r="Z38">
        <f>_xlfn.STDEV.S(X38:X41)</f>
        <v>6.9924104537497298</v>
      </c>
      <c r="AA38">
        <f t="shared" si="21"/>
        <v>3.9647577092511108</v>
      </c>
      <c r="AB38">
        <f>AVERAGE(AA38:AA41)</f>
        <v>5.7268722466960433</v>
      </c>
      <c r="AC38">
        <f>_xlfn.STDEV.S(AA38:AA41)</f>
        <v>7.6023211453102775</v>
      </c>
      <c r="AE38">
        <f t="shared" si="2"/>
        <v>-0.48999999999999977</v>
      </c>
      <c r="AF38">
        <f t="shared" ref="AF38" si="55">AVERAGE(AE38:AE41)</f>
        <v>-0.35749999999999993</v>
      </c>
      <c r="AG38">
        <f>_xlfn.STDEV.S(AE38:AE41)</f>
        <v>0.13200378782444094</v>
      </c>
      <c r="AH38">
        <f t="shared" si="22"/>
        <v>19.512195121951123</v>
      </c>
      <c r="AI38">
        <f t="shared" ref="AI38" si="56">AVERAGE(AH38:AH41)</f>
        <v>-12.804878048780534</v>
      </c>
      <c r="AJ38">
        <f t="shared" ref="AJ38" si="57">_xlfn.STDEV.S(AH38:AH41)</f>
        <v>32.196045810839223</v>
      </c>
      <c r="AK38">
        <f t="shared" si="23"/>
        <v>-10.502283105022871</v>
      </c>
      <c r="AL38">
        <f t="shared" ref="AL38" si="58">AVERAGE(AK38:AK41)</f>
        <v>-34.703196347031977</v>
      </c>
      <c r="AM38">
        <f t="shared" ref="AM38" si="59">_xlfn.STDEV.S(AK38:AK41)</f>
        <v>24.110280881176415</v>
      </c>
    </row>
    <row r="39" spans="1:39" x14ac:dyDescent="0.3">
      <c r="A39" s="85" t="s">
        <v>24</v>
      </c>
      <c r="B39" s="27" t="s">
        <v>22</v>
      </c>
      <c r="C39" s="27" t="s">
        <v>15</v>
      </c>
      <c r="D39" s="27" t="str">
        <f t="shared" si="19"/>
        <v>Dic+PFOShigh</v>
      </c>
      <c r="E39" s="27" t="s">
        <v>33</v>
      </c>
      <c r="F39" s="27">
        <v>3.31</v>
      </c>
      <c r="G39" s="27">
        <v>2.4300000000000002</v>
      </c>
      <c r="H39" s="27">
        <v>2.52</v>
      </c>
      <c r="I39" s="28">
        <v>2.99</v>
      </c>
      <c r="X39">
        <f t="shared" si="20"/>
        <v>-3.0794165316045161</v>
      </c>
      <c r="AA39">
        <f t="shared" si="21"/>
        <v>5.3744493392070591</v>
      </c>
      <c r="AE39">
        <f t="shared" si="2"/>
        <v>-0.31999999999999984</v>
      </c>
      <c r="AH39">
        <f t="shared" si="22"/>
        <v>-21.951219512195188</v>
      </c>
      <c r="AK39">
        <f t="shared" si="23"/>
        <v>-41.552511415525139</v>
      </c>
    </row>
    <row r="40" spans="1:39" x14ac:dyDescent="0.3">
      <c r="A40" s="85" t="s">
        <v>24</v>
      </c>
      <c r="B40" s="27" t="s">
        <v>22</v>
      </c>
      <c r="C40" s="27" t="s">
        <v>15</v>
      </c>
      <c r="D40" s="27" t="str">
        <f t="shared" si="19"/>
        <v>Dic+PFOShigh</v>
      </c>
      <c r="E40" s="27" t="s">
        <v>34</v>
      </c>
      <c r="F40" s="27">
        <v>3.2</v>
      </c>
      <c r="G40" s="27">
        <v>2.14</v>
      </c>
      <c r="H40" s="27">
        <v>2.5099999999999998</v>
      </c>
      <c r="I40" s="28">
        <v>2.77</v>
      </c>
      <c r="X40">
        <f t="shared" si="20"/>
        <v>-10.210696920583453</v>
      </c>
      <c r="AA40">
        <f t="shared" si="21"/>
        <v>-2.3788546255506571</v>
      </c>
      <c r="AE40">
        <f t="shared" si="2"/>
        <v>-0.43000000000000016</v>
      </c>
      <c r="AH40">
        <f t="shared" si="22"/>
        <v>4.8780487804878074</v>
      </c>
      <c r="AK40">
        <f t="shared" si="23"/>
        <v>-21.46118721461184</v>
      </c>
    </row>
    <row r="41" spans="1:39" ht="15" thickBot="1" x14ac:dyDescent="0.35">
      <c r="A41" s="86" t="s">
        <v>24</v>
      </c>
      <c r="B41" s="87" t="s">
        <v>22</v>
      </c>
      <c r="C41" s="87" t="s">
        <v>15</v>
      </c>
      <c r="D41" s="87" t="str">
        <f t="shared" si="19"/>
        <v>Dic+PFOShigh</v>
      </c>
      <c r="E41" s="87" t="s">
        <v>35</v>
      </c>
      <c r="F41" s="87">
        <v>3.48</v>
      </c>
      <c r="G41" s="87">
        <v>2.58</v>
      </c>
      <c r="H41" s="87">
        <v>3.26</v>
      </c>
      <c r="I41" s="88">
        <v>3.29</v>
      </c>
      <c r="X41">
        <f t="shared" si="20"/>
        <v>6.6450567260940216</v>
      </c>
      <c r="AA41">
        <f t="shared" si="21"/>
        <v>15.947136563876658</v>
      </c>
      <c r="AE41">
        <f t="shared" si="2"/>
        <v>-0.18999999999999995</v>
      </c>
      <c r="AH41">
        <f t="shared" si="22"/>
        <v>-53.65853658536588</v>
      </c>
      <c r="AK41">
        <f t="shared" si="23"/>
        <v>-65.296803652968052</v>
      </c>
    </row>
    <row r="42" spans="1:39" x14ac:dyDescent="0.3">
      <c r="A42" s="89" t="s">
        <v>25</v>
      </c>
      <c r="B42" s="30" t="s">
        <v>21</v>
      </c>
      <c r="C42" s="30" t="s">
        <v>15</v>
      </c>
      <c r="D42" s="30" t="str">
        <f t="shared" si="19"/>
        <v>Dic+6ppdqlow</v>
      </c>
      <c r="E42" s="30" t="s">
        <v>32</v>
      </c>
      <c r="F42" s="30">
        <v>3.12</v>
      </c>
      <c r="G42" s="30">
        <v>1.8</v>
      </c>
      <c r="H42" s="30">
        <v>2.6</v>
      </c>
      <c r="I42" s="31">
        <v>3.94</v>
      </c>
      <c r="P42">
        <f>AVERAGE(F42:F45)</f>
        <v>3.3624999999999998</v>
      </c>
      <c r="Q42">
        <f t="shared" ref="Q42:S42" si="60">AVERAGE(G42:G45)</f>
        <v>1.9375</v>
      </c>
      <c r="R42">
        <f t="shared" si="60"/>
        <v>2.5024999999999999</v>
      </c>
      <c r="S42">
        <f t="shared" si="60"/>
        <v>3.7250000000000001</v>
      </c>
      <c r="T42">
        <f>_xlfn.STDEV.S(F42:F45)</f>
        <v>0.17173137938847011</v>
      </c>
      <c r="U42">
        <f t="shared" ref="U42:W42" si="61">_xlfn.STDEV.S(G42:G45)</f>
        <v>0.12392874296680871</v>
      </c>
      <c r="V42">
        <f t="shared" si="61"/>
        <v>0.15840349322747488</v>
      </c>
      <c r="W42">
        <f t="shared" si="61"/>
        <v>0.36134009833765568</v>
      </c>
      <c r="X42">
        <f t="shared" si="20"/>
        <v>27.714748784440861</v>
      </c>
      <c r="Y42">
        <f>AVERAGE(X42:X45)</f>
        <v>20.745542949756906</v>
      </c>
      <c r="Z42">
        <f>_xlfn.STDEV.S(X42:X45)</f>
        <v>11.712807077395649</v>
      </c>
      <c r="AA42">
        <f t="shared" si="21"/>
        <v>38.854625550660792</v>
      </c>
      <c r="AB42">
        <f>AVERAGE(AA42:AA45)</f>
        <v>31.277533039647579</v>
      </c>
      <c r="AC42">
        <f>_xlfn.STDEV.S(AA42:AA45)</f>
        <v>12.73445280485131</v>
      </c>
      <c r="AE42">
        <f t="shared" si="2"/>
        <v>0.81999999999999984</v>
      </c>
      <c r="AF42">
        <f t="shared" ref="AF42" si="62">AVERAGE(AE42:AE45)</f>
        <v>0.36249999999999993</v>
      </c>
      <c r="AG42">
        <f t="shared" ref="AG42" si="63">_xlfn.STDEV.S(AE42:AE45)</f>
        <v>0.4659309677051599</v>
      </c>
      <c r="AH42">
        <f t="shared" si="22"/>
        <v>-299.99999999999989</v>
      </c>
      <c r="AI42">
        <f t="shared" ref="AI42" si="64">AVERAGE(AH42:AH45)</f>
        <v>-188.41463414634143</v>
      </c>
      <c r="AJ42">
        <f t="shared" ref="AJ42" si="65">_xlfn.STDEV.S(AH42:AH45)</f>
        <v>113.64169944028281</v>
      </c>
      <c r="AK42">
        <f t="shared" si="23"/>
        <v>-249.77168949771684</v>
      </c>
      <c r="AL42">
        <f t="shared" ref="AL42" si="66">AVERAGE(AK42:AK45)</f>
        <v>-166.21004566210041</v>
      </c>
      <c r="AM42">
        <f t="shared" ref="AM42" si="67">_xlfn.STDEV.S(AK42:AK45)</f>
        <v>85.101546612814602</v>
      </c>
    </row>
    <row r="43" spans="1:39" x14ac:dyDescent="0.3">
      <c r="A43" s="89" t="s">
        <v>25</v>
      </c>
      <c r="B43" s="30" t="s">
        <v>21</v>
      </c>
      <c r="C43" s="30" t="s">
        <v>15</v>
      </c>
      <c r="D43" s="30" t="str">
        <f t="shared" si="19"/>
        <v>Dic+6ppdqlow</v>
      </c>
      <c r="E43" s="30" t="s">
        <v>33</v>
      </c>
      <c r="F43" s="30">
        <v>3.43</v>
      </c>
      <c r="G43" s="30">
        <v>1.94</v>
      </c>
      <c r="H43" s="30">
        <v>2.31</v>
      </c>
      <c r="I43" s="31">
        <v>3.23</v>
      </c>
      <c r="X43">
        <f t="shared" si="20"/>
        <v>4.7001620745543109</v>
      </c>
      <c r="AA43">
        <f t="shared" si="21"/>
        <v>13.832599118942735</v>
      </c>
      <c r="AE43">
        <f t="shared" si="2"/>
        <v>-0.20000000000000018</v>
      </c>
      <c r="AH43">
        <f t="shared" si="22"/>
        <v>-51.219512195121929</v>
      </c>
      <c r="AK43">
        <f t="shared" si="23"/>
        <v>-63.470319634703166</v>
      </c>
    </row>
    <row r="44" spans="1:39" x14ac:dyDescent="0.3">
      <c r="A44" s="89" t="s">
        <v>25</v>
      </c>
      <c r="B44" s="30" t="s">
        <v>21</v>
      </c>
      <c r="C44" s="30" t="s">
        <v>15</v>
      </c>
      <c r="D44" s="30" t="str">
        <f t="shared" si="19"/>
        <v>Dic+6ppdqlow</v>
      </c>
      <c r="E44" s="30" t="s">
        <v>34</v>
      </c>
      <c r="F44" s="30">
        <v>3.38</v>
      </c>
      <c r="G44" s="30">
        <v>1.91</v>
      </c>
      <c r="H44" s="30">
        <v>2.44</v>
      </c>
      <c r="I44" s="31">
        <v>4.04</v>
      </c>
      <c r="X44">
        <f>((I44-S$6)/S$6)*100</f>
        <v>30.956239870340379</v>
      </c>
      <c r="AA44">
        <f t="shared" si="21"/>
        <v>42.378854625550666</v>
      </c>
      <c r="AE44">
        <f t="shared" si="2"/>
        <v>0.66000000000000014</v>
      </c>
      <c r="AH44">
        <f t="shared" si="22"/>
        <v>-260.97560975609753</v>
      </c>
      <c r="AK44">
        <f t="shared" si="23"/>
        <v>-220.54794520547944</v>
      </c>
    </row>
    <row r="45" spans="1:39" ht="15" thickBot="1" x14ac:dyDescent="0.35">
      <c r="A45" s="90" t="s">
        <v>25</v>
      </c>
      <c r="B45" s="91" t="s">
        <v>21</v>
      </c>
      <c r="C45" s="91" t="s">
        <v>15</v>
      </c>
      <c r="D45" s="91" t="str">
        <f t="shared" si="19"/>
        <v>Dic+6ppdqlow</v>
      </c>
      <c r="E45" s="91" t="s">
        <v>35</v>
      </c>
      <c r="F45" s="91">
        <v>3.52</v>
      </c>
      <c r="G45" s="91">
        <v>2.1</v>
      </c>
      <c r="H45" s="91">
        <v>2.66</v>
      </c>
      <c r="I45" s="92">
        <v>3.69</v>
      </c>
      <c r="X45">
        <f t="shared" si="20"/>
        <v>19.611021069692075</v>
      </c>
      <c r="AA45">
        <f t="shared" si="21"/>
        <v>30.044052863436129</v>
      </c>
      <c r="AE45">
        <f t="shared" si="2"/>
        <v>0.16999999999999993</v>
      </c>
      <c r="AH45">
        <f t="shared" si="22"/>
        <v>-141.46341463414632</v>
      </c>
      <c r="AK45">
        <f t="shared" si="23"/>
        <v>-131.05022831050229</v>
      </c>
    </row>
    <row r="46" spans="1:39" x14ac:dyDescent="0.3">
      <c r="A46" s="93" t="s">
        <v>25</v>
      </c>
      <c r="B46" s="94" t="s">
        <v>22</v>
      </c>
      <c r="C46" s="94" t="s">
        <v>15</v>
      </c>
      <c r="D46" s="94" t="str">
        <f t="shared" si="19"/>
        <v>Dic+6ppdqhigh</v>
      </c>
      <c r="E46" s="94" t="s">
        <v>32</v>
      </c>
      <c r="F46" s="94">
        <v>3.69</v>
      </c>
      <c r="G46" s="94">
        <v>1.87</v>
      </c>
      <c r="H46" s="94">
        <v>2.33</v>
      </c>
      <c r="I46" s="95">
        <v>2.95</v>
      </c>
      <c r="P46">
        <f>AVERAGE(F46:F49)</f>
        <v>3.45</v>
      </c>
      <c r="Q46">
        <f t="shared" ref="Q46:S46" si="68">AVERAGE(G46:G49)</f>
        <v>1.84</v>
      </c>
      <c r="R46">
        <f t="shared" si="68"/>
        <v>2.5249999999999999</v>
      </c>
      <c r="S46">
        <f t="shared" si="68"/>
        <v>3.0100000000000002</v>
      </c>
      <c r="T46">
        <f>_xlfn.STDEV.S(F46:F49)</f>
        <v>0.18991226044325488</v>
      </c>
      <c r="U46">
        <f t="shared" ref="U46:W46" si="69">_xlfn.STDEV.S(G46:G49)</f>
        <v>0.1023067283548187</v>
      </c>
      <c r="V46">
        <f t="shared" si="69"/>
        <v>0.21142374511865977</v>
      </c>
      <c r="W46">
        <f t="shared" si="69"/>
        <v>0.18129166187849519</v>
      </c>
      <c r="X46">
        <f t="shared" si="20"/>
        <v>-4.376012965964323</v>
      </c>
      <c r="Y46">
        <f>AVERAGE(X46:X49)</f>
        <v>-2.4311183144246202</v>
      </c>
      <c r="Z46">
        <f>_xlfn.STDEV.S(X46:X49)</f>
        <v>5.8765530592705089</v>
      </c>
      <c r="AA46">
        <f t="shared" si="21"/>
        <v>3.9647577092511108</v>
      </c>
      <c r="AB46">
        <f>AVERAGE(AA46:AA49)</f>
        <v>6.0792951541850258</v>
      </c>
      <c r="AC46">
        <f>_xlfn.STDEV.S(AA46:AA49)</f>
        <v>6.3891334582729575</v>
      </c>
      <c r="AE46">
        <f t="shared" si="2"/>
        <v>-0.73999999999999977</v>
      </c>
      <c r="AF46">
        <f t="shared" ref="AF46" si="70">AVERAGE(AE46:AE49)</f>
        <v>-0.43999999999999995</v>
      </c>
      <c r="AG46">
        <f t="shared" ref="AG46" si="71">_xlfn.STDEV.S(AE46:AE49)</f>
        <v>0.34244220923634183</v>
      </c>
      <c r="AH46">
        <f t="shared" si="22"/>
        <v>80.487804878048664</v>
      </c>
      <c r="AI46">
        <f t="shared" ref="AI46" si="72">AVERAGE(AH46:AH49)</f>
        <v>7.3170731707316534</v>
      </c>
      <c r="AJ46">
        <f t="shared" ref="AJ46" si="73">_xlfn.STDEV.S(AH46:AH49)</f>
        <v>83.522490057644333</v>
      </c>
      <c r="AK46">
        <f t="shared" si="23"/>
        <v>35.159817351598136</v>
      </c>
      <c r="AL46">
        <f t="shared" ref="AL46" si="74">AVERAGE(AK46:AK49)</f>
        <v>-19.634703196347036</v>
      </c>
      <c r="AM46">
        <f t="shared" ref="AM46" si="75">_xlfn.STDEV.S(AK46:AK49)</f>
        <v>62.546522234948291</v>
      </c>
    </row>
    <row r="47" spans="1:39" x14ac:dyDescent="0.3">
      <c r="A47" s="93" t="s">
        <v>25</v>
      </c>
      <c r="B47" s="94" t="s">
        <v>22</v>
      </c>
      <c r="C47" s="94" t="s">
        <v>15</v>
      </c>
      <c r="D47" s="94" t="str">
        <f t="shared" si="19"/>
        <v>Dic+6ppdqhigh</v>
      </c>
      <c r="E47" s="94" t="s">
        <v>33</v>
      </c>
      <c r="F47" s="94">
        <v>3.36</v>
      </c>
      <c r="G47" s="94">
        <v>1.74</v>
      </c>
      <c r="H47" s="94">
        <v>2.36</v>
      </c>
      <c r="I47" s="95">
        <v>3</v>
      </c>
      <c r="X47">
        <f t="shared" si="20"/>
        <v>-2.7552674230145713</v>
      </c>
      <c r="AA47">
        <f t="shared" si="21"/>
        <v>5.7268722466960389</v>
      </c>
      <c r="AE47">
        <f t="shared" si="2"/>
        <v>-0.35999999999999988</v>
      </c>
      <c r="AH47">
        <f t="shared" si="22"/>
        <v>-12.195121951219573</v>
      </c>
      <c r="AK47">
        <f t="shared" si="23"/>
        <v>-34.246575342465775</v>
      </c>
    </row>
    <row r="48" spans="1:39" x14ac:dyDescent="0.3">
      <c r="A48" s="93" t="s">
        <v>25</v>
      </c>
      <c r="B48" s="94" t="s">
        <v>22</v>
      </c>
      <c r="C48" s="94" t="s">
        <v>15</v>
      </c>
      <c r="D48" s="94" t="str">
        <f t="shared" si="19"/>
        <v>Dic+6ppdqhigh</v>
      </c>
      <c r="E48" s="94" t="s">
        <v>34</v>
      </c>
      <c r="F48" s="94">
        <v>3.25</v>
      </c>
      <c r="G48" s="94">
        <v>1.78</v>
      </c>
      <c r="H48" s="94">
        <v>2.66</v>
      </c>
      <c r="I48" s="95">
        <v>3.26</v>
      </c>
      <c r="X48">
        <f t="shared" si="20"/>
        <v>5.6726094003241583</v>
      </c>
      <c r="AA48">
        <f t="shared" si="21"/>
        <v>14.889867841409687</v>
      </c>
      <c r="AE48">
        <f t="shared" si="2"/>
        <v>9.9999999999997868E-3</v>
      </c>
      <c r="AH48">
        <f t="shared" si="22"/>
        <v>-102.43902439024386</v>
      </c>
      <c r="AK48">
        <f t="shared" si="23"/>
        <v>-101.82648401826479</v>
      </c>
    </row>
    <row r="49" spans="1:39" ht="15" thickBot="1" x14ac:dyDescent="0.35">
      <c r="A49" s="96" t="s">
        <v>25</v>
      </c>
      <c r="B49" s="33" t="s">
        <v>22</v>
      </c>
      <c r="C49" s="33" t="s">
        <v>15</v>
      </c>
      <c r="D49" s="33" t="str">
        <f t="shared" si="19"/>
        <v>Dic+6ppdqhigh</v>
      </c>
      <c r="E49" s="33" t="s">
        <v>35</v>
      </c>
      <c r="F49" s="33">
        <v>3.5</v>
      </c>
      <c r="G49" s="33">
        <v>1.97</v>
      </c>
      <c r="H49" s="33">
        <v>2.75</v>
      </c>
      <c r="I49" s="34">
        <v>2.83</v>
      </c>
      <c r="X49">
        <f t="shared" si="20"/>
        <v>-8.2658022690437445</v>
      </c>
      <c r="AA49">
        <f t="shared" si="21"/>
        <v>-0.26431718061673448</v>
      </c>
      <c r="AE49">
        <f t="shared" si="2"/>
        <v>-0.66999999999999993</v>
      </c>
      <c r="AH49">
        <f t="shared" si="22"/>
        <v>63.414634146341385</v>
      </c>
      <c r="AK49">
        <f t="shared" si="23"/>
        <v>22.374429223744283</v>
      </c>
    </row>
    <row r="50" spans="1:39" x14ac:dyDescent="0.3">
      <c r="A50" s="97" t="s">
        <v>20</v>
      </c>
      <c r="B50" s="98" t="s">
        <v>21</v>
      </c>
      <c r="C50" s="98" t="s">
        <v>19</v>
      </c>
      <c r="D50" s="98" t="str">
        <f>A50&amp;B50&amp;C50</f>
        <v>Diclownutrients</v>
      </c>
      <c r="E50" s="98" t="s">
        <v>32</v>
      </c>
      <c r="F50" s="98">
        <v>3.36</v>
      </c>
      <c r="G50" s="98">
        <v>1.8</v>
      </c>
      <c r="H50" s="98">
        <v>3.2</v>
      </c>
      <c r="I50" s="99">
        <v>7.58</v>
      </c>
      <c r="P50">
        <f>AVERAGE(F50:F53)</f>
        <v>3.32</v>
      </c>
      <c r="Q50">
        <f t="shared" ref="Q50:S50" si="76">AVERAGE(G50:G53)</f>
        <v>1.9649999999999999</v>
      </c>
      <c r="R50">
        <f t="shared" si="76"/>
        <v>3.9699999999999998</v>
      </c>
      <c r="S50">
        <f t="shared" si="76"/>
        <v>7.7975000000000003</v>
      </c>
      <c r="T50">
        <f>_xlfn.STDEV.S(F50:F53)</f>
        <v>0.10832051206181267</v>
      </c>
      <c r="U50">
        <f t="shared" ref="U50:W50" si="77">_xlfn.STDEV.S(G50:G53)</f>
        <v>0.11561430130683079</v>
      </c>
      <c r="V50">
        <f t="shared" si="77"/>
        <v>0.53429080720771271</v>
      </c>
      <c r="W50">
        <f t="shared" si="77"/>
        <v>0.31689903754981696</v>
      </c>
      <c r="X50">
        <f>((I50-$S$14)/$S$14)*100</f>
        <v>13.092129802312577</v>
      </c>
      <c r="Y50">
        <f>AVERAGE(X50:X53)</f>
        <v>16.337187616560993</v>
      </c>
      <c r="Z50">
        <f>_xlfn.STDEV.S(X50:X53)</f>
        <v>4.7280721753049875</v>
      </c>
      <c r="AA50">
        <f>((I50-$S$10)/$S$10)*100</f>
        <v>19.558359621451089</v>
      </c>
      <c r="AB50">
        <f>AVERAGE(AA50:AA53)</f>
        <v>22.988958990536268</v>
      </c>
      <c r="AC50">
        <f>_xlfn.STDEV.S(AA50:AA53)</f>
        <v>4.9984075323314805</v>
      </c>
      <c r="AE50">
        <f t="shared" si="2"/>
        <v>4.2200000000000006</v>
      </c>
      <c r="AF50">
        <f t="shared" ref="AF50" si="78">AVERAGE(AE50:AE53)</f>
        <v>4.4775</v>
      </c>
      <c r="AG50">
        <f t="shared" ref="AG50" si="79">_xlfn.STDEV.S(AE50:AE53)</f>
        <v>0.25329495323305073</v>
      </c>
      <c r="AH50">
        <f>((AE50-$AF$14)/$AF$14)*100</f>
        <v>20.916905444126087</v>
      </c>
      <c r="AI50">
        <f t="shared" ref="AI50" si="80">AVERAGE(AH50:AH53)</f>
        <v>28.295128939828075</v>
      </c>
      <c r="AJ50">
        <f t="shared" ref="AJ50" si="81">_xlfn.STDEV.S(AH50:AH53)</f>
        <v>7.2577350496575939</v>
      </c>
      <c r="AK50">
        <f>((AE50-$AF$10)/$AF$10)*100</f>
        <v>41.492036881810584</v>
      </c>
      <c r="AL50">
        <f t="shared" ref="AL50" si="82">AVERAGE(AK50:AK53)</f>
        <v>50.125733445096394</v>
      </c>
      <c r="AM50">
        <f t="shared" ref="AM50" si="83">_xlfn.STDEV.S(AK50:AK53)</f>
        <v>8.4927058921392025</v>
      </c>
    </row>
    <row r="51" spans="1:39" x14ac:dyDescent="0.3">
      <c r="A51" s="97" t="s">
        <v>20</v>
      </c>
      <c r="B51" s="98" t="s">
        <v>21</v>
      </c>
      <c r="C51" s="98" t="s">
        <v>19</v>
      </c>
      <c r="D51" s="98" t="str">
        <f t="shared" ref="D51:D81" si="84">A51&amp;B51&amp;C51</f>
        <v>Diclownutrients</v>
      </c>
      <c r="E51" s="98" t="s">
        <v>33</v>
      </c>
      <c r="F51" s="98">
        <v>3.4</v>
      </c>
      <c r="G51" s="98">
        <v>2.0499999999999998</v>
      </c>
      <c r="H51" s="98">
        <v>4.0599999999999996</v>
      </c>
      <c r="I51" s="99">
        <v>8.2100000000000009</v>
      </c>
      <c r="X51">
        <f t="shared" ref="X51:X81" si="85">((I51-$S$14)/$S$14)*100</f>
        <v>22.491607609101099</v>
      </c>
      <c r="AA51">
        <f t="shared" ref="AA51:AA81" si="86">((I51-$S$10)/$S$10)*100</f>
        <v>29.495268138801261</v>
      </c>
      <c r="AE51">
        <f t="shared" si="2"/>
        <v>4.8100000000000005</v>
      </c>
      <c r="AH51">
        <f>((AE51-$AF$14)/$AF$14)*100</f>
        <v>37.822349570200579</v>
      </c>
      <c r="AK51">
        <f t="shared" ref="AK51:AK81" si="87">((AE51-$AF$10)/$AF$10)*100</f>
        <v>61.274098910310158</v>
      </c>
    </row>
    <row r="52" spans="1:39" x14ac:dyDescent="0.3">
      <c r="A52" s="97" t="s">
        <v>20</v>
      </c>
      <c r="B52" s="98" t="s">
        <v>21</v>
      </c>
      <c r="C52" s="98" t="s">
        <v>19</v>
      </c>
      <c r="D52" s="98" t="str">
        <f t="shared" si="84"/>
        <v>Diclownutrients</v>
      </c>
      <c r="E52" s="98" t="s">
        <v>34</v>
      </c>
      <c r="F52" s="98">
        <v>3.36</v>
      </c>
      <c r="G52" s="98">
        <v>1.97</v>
      </c>
      <c r="H52" s="98">
        <v>4.42</v>
      </c>
      <c r="I52" s="99">
        <v>7.88</v>
      </c>
      <c r="X52">
        <f t="shared" si="85"/>
        <v>17.568071615069009</v>
      </c>
      <c r="AA52">
        <f t="shared" si="86"/>
        <v>24.290220820189258</v>
      </c>
      <c r="AE52">
        <f t="shared" si="2"/>
        <v>4.5199999999999996</v>
      </c>
      <c r="AH52">
        <f t="shared" ref="AH51:AH81" si="88">((AE52-$AF$14)/$AF$14)*100</f>
        <v>29.512893982808002</v>
      </c>
      <c r="AK52">
        <f t="shared" si="87"/>
        <v>51.550712489522198</v>
      </c>
    </row>
    <row r="53" spans="1:39" ht="15" thickBot="1" x14ac:dyDescent="0.35">
      <c r="A53" s="100" t="s">
        <v>20</v>
      </c>
      <c r="B53" s="101" t="s">
        <v>21</v>
      </c>
      <c r="C53" s="101" t="s">
        <v>19</v>
      </c>
      <c r="D53" s="101" t="str">
        <f t="shared" si="84"/>
        <v>Diclownutrients</v>
      </c>
      <c r="E53" s="101" t="s">
        <v>35</v>
      </c>
      <c r="F53" s="101">
        <v>3.16</v>
      </c>
      <c r="G53" s="101">
        <v>2.04</v>
      </c>
      <c r="H53" s="101">
        <v>4.2</v>
      </c>
      <c r="I53" s="102">
        <v>7.52</v>
      </c>
      <c r="X53">
        <f t="shared" si="85"/>
        <v>12.196941439761282</v>
      </c>
      <c r="AA53">
        <f t="shared" si="86"/>
        <v>18.61198738170345</v>
      </c>
      <c r="AE53">
        <f t="shared" si="2"/>
        <v>4.3599999999999994</v>
      </c>
      <c r="AH53">
        <f t="shared" si="88"/>
        <v>24.928366762177625</v>
      </c>
      <c r="AK53">
        <f>((AE53-$AF$10)/$AF$10)*100</f>
        <v>46.186085498742649</v>
      </c>
    </row>
    <row r="54" spans="1:39" x14ac:dyDescent="0.3">
      <c r="A54" s="103" t="s">
        <v>20</v>
      </c>
      <c r="B54" s="39" t="s">
        <v>22</v>
      </c>
      <c r="C54" s="39" t="s">
        <v>19</v>
      </c>
      <c r="D54" s="39" t="str">
        <f t="shared" si="84"/>
        <v>Dichighnutrients</v>
      </c>
      <c r="E54" s="39" t="s">
        <v>32</v>
      </c>
      <c r="F54" s="39">
        <v>3.36</v>
      </c>
      <c r="G54" s="39">
        <v>2.84</v>
      </c>
      <c r="H54" s="39">
        <v>3.79</v>
      </c>
      <c r="I54" s="40">
        <v>7.03</v>
      </c>
      <c r="P54">
        <f>AVERAGE(F54:F57)</f>
        <v>3.2399999999999998</v>
      </c>
      <c r="Q54">
        <f t="shared" ref="Q54:S54" si="89">AVERAGE(G54:G57)</f>
        <v>2.4699999999999998</v>
      </c>
      <c r="R54">
        <f t="shared" si="89"/>
        <v>3.59</v>
      </c>
      <c r="S54">
        <f t="shared" si="89"/>
        <v>7.1124999999999998</v>
      </c>
      <c r="T54">
        <f>_xlfn.STDEV.S(F54:F57)</f>
        <v>0.10099504938362076</v>
      </c>
      <c r="U54">
        <f t="shared" ref="U54:W54" si="90">_xlfn.STDEV.S(G54:G57)</f>
        <v>0.28925190866555994</v>
      </c>
      <c r="V54">
        <f t="shared" si="90"/>
        <v>0.16329931618554516</v>
      </c>
      <c r="W54">
        <f t="shared" si="90"/>
        <v>0.40235763527820206</v>
      </c>
      <c r="X54">
        <f t="shared" si="85"/>
        <v>4.8862364789257828</v>
      </c>
      <c r="Y54">
        <f>AVERAGE(X54:X57)</f>
        <v>6.1171204774337955</v>
      </c>
      <c r="Z54">
        <f>_xlfn.STDEV.S(X54:X57)</f>
        <v>6.0030978780783606</v>
      </c>
      <c r="AA54">
        <f t="shared" si="86"/>
        <v>10.883280757097783</v>
      </c>
      <c r="AB54">
        <f>AVERAGE(AA54:AA57)</f>
        <v>12.184542586750773</v>
      </c>
      <c r="AC54">
        <f>_xlfn.STDEV.S(AA54:AA57)</f>
        <v>6.3463349412965622</v>
      </c>
      <c r="AE54">
        <f t="shared" si="2"/>
        <v>3.6700000000000004</v>
      </c>
      <c r="AF54">
        <f t="shared" ref="AF54" si="91">AVERAGE(AE54:AE57)</f>
        <v>3.8724999999999996</v>
      </c>
      <c r="AG54">
        <f t="shared" ref="AG54" si="92">_xlfn.STDEV.S(AE54:AE57)</f>
        <v>0.36700363304287137</v>
      </c>
      <c r="AH54">
        <f t="shared" si="88"/>
        <v>5.157593123209173</v>
      </c>
      <c r="AI54">
        <f t="shared" ref="AI54" si="93">AVERAGE(AH54:AH57)</f>
        <v>10.959885386819476</v>
      </c>
      <c r="AJ54">
        <f t="shared" ref="AJ54" si="94">_xlfn.STDEV.S(AH54:AH57)</f>
        <v>10.515863410970525</v>
      </c>
      <c r="AK54">
        <f t="shared" si="87"/>
        <v>23.051131601005885</v>
      </c>
      <c r="AL54">
        <f t="shared" ref="AL54" si="95">AVERAGE(AK54:AK57)</f>
        <v>29.840737636211234</v>
      </c>
      <c r="AM54">
        <f t="shared" ref="AM54" si="96">_xlfn.STDEV.S(AK54:AK57)</f>
        <v>12.305234972099628</v>
      </c>
    </row>
    <row r="55" spans="1:39" x14ac:dyDescent="0.3">
      <c r="A55" s="103" t="s">
        <v>20</v>
      </c>
      <c r="B55" s="39" t="s">
        <v>22</v>
      </c>
      <c r="C55" s="39" t="s">
        <v>19</v>
      </c>
      <c r="D55" s="39" t="str">
        <f t="shared" si="84"/>
        <v>Dichighnutrients</v>
      </c>
      <c r="E55" s="39" t="s">
        <v>33</v>
      </c>
      <c r="F55" s="39">
        <v>3.19</v>
      </c>
      <c r="G55" s="39">
        <v>2.5299999999999998</v>
      </c>
      <c r="H55" s="39">
        <v>3.59</v>
      </c>
      <c r="I55" s="40">
        <v>7.27</v>
      </c>
      <c r="X55">
        <f t="shared" si="85"/>
        <v>8.4669899291309214</v>
      </c>
      <c r="AA55">
        <f>((I55-$S$10)/$S$10)*100</f>
        <v>14.66876971608831</v>
      </c>
      <c r="AE55">
        <f t="shared" si="2"/>
        <v>4.08</v>
      </c>
      <c r="AH55">
        <f t="shared" si="88"/>
        <v>16.905444126074492</v>
      </c>
      <c r="AK55">
        <f t="shared" si="87"/>
        <v>36.797988264878462</v>
      </c>
    </row>
    <row r="56" spans="1:39" x14ac:dyDescent="0.3">
      <c r="A56" s="103" t="s">
        <v>20</v>
      </c>
      <c r="B56" s="39" t="s">
        <v>22</v>
      </c>
      <c r="C56" s="39" t="s">
        <v>19</v>
      </c>
      <c r="D56" s="39" t="str">
        <f t="shared" si="84"/>
        <v>Dichighnutrients</v>
      </c>
      <c r="E56" s="39" t="s">
        <v>34</v>
      </c>
      <c r="F56" s="39">
        <v>3.13</v>
      </c>
      <c r="G56" s="39">
        <v>2.35</v>
      </c>
      <c r="H56" s="39">
        <v>3.59</v>
      </c>
      <c r="I56" s="40">
        <v>6.6</v>
      </c>
      <c r="X56">
        <f t="shared" si="85"/>
        <v>-1.5292801193584489</v>
      </c>
      <c r="AA56">
        <f>((I56-$S$10)/$S$10)*100</f>
        <v>4.1009463722397301</v>
      </c>
      <c r="AE56">
        <f t="shared" si="2"/>
        <v>3.4699999999999998</v>
      </c>
      <c r="AH56">
        <f t="shared" si="88"/>
        <v>-0.57306590257880974</v>
      </c>
      <c r="AK56">
        <f t="shared" si="87"/>
        <v>16.34534786253143</v>
      </c>
    </row>
    <row r="57" spans="1:39" ht="15" thickBot="1" x14ac:dyDescent="0.35">
      <c r="A57" s="104" t="s">
        <v>20</v>
      </c>
      <c r="B57" s="105" t="s">
        <v>22</v>
      </c>
      <c r="C57" s="105" t="s">
        <v>19</v>
      </c>
      <c r="D57" s="105" t="str">
        <f t="shared" si="84"/>
        <v>Dichighnutrients</v>
      </c>
      <c r="E57" s="105" t="s">
        <v>35</v>
      </c>
      <c r="F57" s="105">
        <v>3.28</v>
      </c>
      <c r="G57" s="105">
        <v>2.16</v>
      </c>
      <c r="H57" s="105">
        <v>3.39</v>
      </c>
      <c r="I57" s="106">
        <v>7.55</v>
      </c>
      <c r="X57">
        <f t="shared" si="85"/>
        <v>12.644535621036928</v>
      </c>
      <c r="AA57">
        <f t="shared" si="86"/>
        <v>19.08517350157727</v>
      </c>
      <c r="AE57">
        <f t="shared" si="2"/>
        <v>4.2699999999999996</v>
      </c>
      <c r="AH57">
        <f t="shared" si="88"/>
        <v>22.349570200573048</v>
      </c>
      <c r="AK57">
        <f t="shared" si="87"/>
        <v>43.168482816429162</v>
      </c>
    </row>
    <row r="58" spans="1:39" x14ac:dyDescent="0.3">
      <c r="A58" s="107" t="s">
        <v>23</v>
      </c>
      <c r="B58" s="42" t="s">
        <v>21</v>
      </c>
      <c r="C58" s="42" t="s">
        <v>19</v>
      </c>
      <c r="D58" s="42" t="str">
        <f t="shared" si="84"/>
        <v>Dic+Carblownutrients</v>
      </c>
      <c r="E58" s="42" t="s">
        <v>32</v>
      </c>
      <c r="F58" s="42">
        <v>3.25</v>
      </c>
      <c r="G58" s="42">
        <v>2.89</v>
      </c>
      <c r="H58" s="42">
        <v>3.86</v>
      </c>
      <c r="I58" s="43">
        <v>6.7</v>
      </c>
      <c r="P58">
        <f>AVERAGE(F58:F61)</f>
        <v>3.3624999999999998</v>
      </c>
      <c r="Q58">
        <f t="shared" ref="Q58:S58" si="97">AVERAGE(G58:G61)</f>
        <v>2.5100000000000002</v>
      </c>
      <c r="R58">
        <f t="shared" si="97"/>
        <v>3.4575</v>
      </c>
      <c r="S58">
        <f t="shared" si="97"/>
        <v>6.5200000000000005</v>
      </c>
      <c r="T58">
        <f>_xlfn.STDEV.S(F58:F61)</f>
        <v>8.9953691790090981E-2</v>
      </c>
      <c r="U58">
        <f t="shared" ref="U58:W58" si="98">_xlfn.STDEV.S(G58:G61)</f>
        <v>0.33256578296631484</v>
      </c>
      <c r="V58">
        <f t="shared" si="98"/>
        <v>0.34490336810958133</v>
      </c>
      <c r="W58">
        <f t="shared" si="98"/>
        <v>0.62551312269741133</v>
      </c>
      <c r="X58">
        <f>((I58-$S$14)/$S$14)*100</f>
        <v>-3.7299515106296199E-2</v>
      </c>
      <c r="Y58">
        <f>AVERAGE(X58:X61)</f>
        <v>-2.7228646027601551</v>
      </c>
      <c r="Z58">
        <f>_xlfn.STDEV.S(X58:X61)</f>
        <v>9.3325344676972968</v>
      </c>
      <c r="AA58">
        <f t="shared" si="86"/>
        <v>5.6782334384857949</v>
      </c>
      <c r="AB58">
        <f>AVERAGE(AA58:AA61)</f>
        <v>2.8391167192428934</v>
      </c>
      <c r="AC58">
        <f>_xlfn.STDEV.S(AA58:AA61)</f>
        <v>9.8661375819780961</v>
      </c>
      <c r="AE58">
        <f t="shared" si="2"/>
        <v>3.45</v>
      </c>
      <c r="AF58">
        <f t="shared" ref="AF58" si="99">AVERAGE(AE58:AE61)</f>
        <v>3.1575000000000002</v>
      </c>
      <c r="AG58">
        <f t="shared" ref="AG58" si="100">_xlfn.STDEV.S(AE58:AE61)</f>
        <v>0.6372532202089437</v>
      </c>
      <c r="AH58">
        <f t="shared" si="88"/>
        <v>-1.1461318051575942</v>
      </c>
      <c r="AI58">
        <f t="shared" ref="AI58" si="101">AVERAGE(AH58:AH61)</f>
        <v>-9.5272206303724918</v>
      </c>
      <c r="AJ58">
        <f t="shared" ref="AJ58" si="102">_xlfn.STDEV.S(AH58:AH61)</f>
        <v>18.259404590514109</v>
      </c>
      <c r="AK58">
        <f t="shared" si="87"/>
        <v>15.674769488683998</v>
      </c>
      <c r="AL58">
        <f t="shared" ref="AL58" si="103">AVERAGE(AK58:AK61)</f>
        <v>5.8675607711651381</v>
      </c>
      <c r="AM58">
        <f t="shared" ref="AM58" si="104">_xlfn.STDEV.S(AK58:AK61)</f>
        <v>21.366411406837965</v>
      </c>
    </row>
    <row r="59" spans="1:39" x14ac:dyDescent="0.3">
      <c r="A59" s="107" t="s">
        <v>23</v>
      </c>
      <c r="B59" s="42" t="s">
        <v>21</v>
      </c>
      <c r="C59" s="42" t="s">
        <v>19</v>
      </c>
      <c r="D59" s="42" t="str">
        <f t="shared" si="84"/>
        <v>Dic+Carblownutrients</v>
      </c>
      <c r="E59" s="42" t="s">
        <v>33</v>
      </c>
      <c r="F59" s="42">
        <v>3.37</v>
      </c>
      <c r="G59" s="42">
        <v>2.5099999999999998</v>
      </c>
      <c r="H59" s="42">
        <v>3.05</v>
      </c>
      <c r="I59" s="43">
        <v>5.62</v>
      </c>
      <c r="X59">
        <f t="shared" si="85"/>
        <v>-16.15069004102946</v>
      </c>
      <c r="AA59">
        <f t="shared" si="86"/>
        <v>-11.356466876971618</v>
      </c>
      <c r="AE59">
        <f t="shared" si="2"/>
        <v>2.25</v>
      </c>
      <c r="AH59">
        <f t="shared" si="88"/>
        <v>-35.53008595988539</v>
      </c>
      <c r="AK59">
        <f t="shared" si="87"/>
        <v>-24.559932942162614</v>
      </c>
    </row>
    <row r="60" spans="1:39" x14ac:dyDescent="0.3">
      <c r="A60" s="107" t="s">
        <v>23</v>
      </c>
      <c r="B60" s="42" t="s">
        <v>21</v>
      </c>
      <c r="C60" s="42" t="s">
        <v>19</v>
      </c>
      <c r="D60" s="42" t="str">
        <f t="shared" si="84"/>
        <v>Dic+Carblownutrients</v>
      </c>
      <c r="E60" s="42" t="s">
        <v>34</v>
      </c>
      <c r="F60" s="42">
        <v>3.47</v>
      </c>
      <c r="G60" s="42">
        <v>2.56</v>
      </c>
      <c r="H60" s="42">
        <v>3.58</v>
      </c>
      <c r="I60" s="43">
        <v>6.69</v>
      </c>
      <c r="X60">
        <f t="shared" si="85"/>
        <v>-0.1864975755315075</v>
      </c>
      <c r="AA60">
        <f t="shared" si="86"/>
        <v>5.5205047318611919</v>
      </c>
      <c r="AE60">
        <f t="shared" si="2"/>
        <v>3.22</v>
      </c>
      <c r="AH60">
        <f t="shared" si="88"/>
        <v>-7.7363896848137532</v>
      </c>
      <c r="AK60">
        <f t="shared" si="87"/>
        <v>7.9631181894383989</v>
      </c>
    </row>
    <row r="61" spans="1:39" ht="15" thickBot="1" x14ac:dyDescent="0.35">
      <c r="A61" s="108" t="s">
        <v>23</v>
      </c>
      <c r="B61" s="109" t="s">
        <v>21</v>
      </c>
      <c r="C61" s="109" t="s">
        <v>19</v>
      </c>
      <c r="D61" s="109" t="str">
        <f t="shared" si="84"/>
        <v>Dic+Carblownutrients</v>
      </c>
      <c r="E61" s="109" t="s">
        <v>35</v>
      </c>
      <c r="F61" s="109">
        <v>3.36</v>
      </c>
      <c r="G61" s="109">
        <v>2.08</v>
      </c>
      <c r="H61" s="109">
        <v>3.34</v>
      </c>
      <c r="I61" s="110">
        <v>7.07</v>
      </c>
      <c r="X61">
        <f t="shared" si="85"/>
        <v>5.483028720626641</v>
      </c>
      <c r="AA61">
        <f t="shared" si="86"/>
        <v>11.514195583596205</v>
      </c>
      <c r="AE61">
        <f t="shared" si="2"/>
        <v>3.7100000000000004</v>
      </c>
      <c r="AH61">
        <f t="shared" si="88"/>
        <v>6.3037249283667673</v>
      </c>
      <c r="AK61">
        <f>((AE61-$AF$10)/$AF$10)*100</f>
        <v>24.39228834870077</v>
      </c>
    </row>
    <row r="62" spans="1:39" x14ac:dyDescent="0.3">
      <c r="A62" s="111" t="s">
        <v>23</v>
      </c>
      <c r="B62" s="112" t="s">
        <v>22</v>
      </c>
      <c r="C62" s="112" t="s">
        <v>19</v>
      </c>
      <c r="D62" s="112" t="str">
        <f t="shared" si="84"/>
        <v>Dic+Carbhighnutrients</v>
      </c>
      <c r="E62" s="112" t="s">
        <v>32</v>
      </c>
      <c r="F62" s="112">
        <v>3.39</v>
      </c>
      <c r="G62" s="112">
        <v>2.4</v>
      </c>
      <c r="H62" s="112">
        <v>3.34</v>
      </c>
      <c r="I62" s="113">
        <v>5.37</v>
      </c>
      <c r="P62">
        <f>AVERAGE(F62:F65)</f>
        <v>3.4725000000000001</v>
      </c>
      <c r="Q62">
        <f t="shared" ref="Q62:S62" si="105">AVERAGE(G62:G65)</f>
        <v>2.4299999999999997</v>
      </c>
      <c r="R62">
        <f t="shared" si="105"/>
        <v>3.55</v>
      </c>
      <c r="S62">
        <f t="shared" si="105"/>
        <v>6.6425000000000001</v>
      </c>
      <c r="T62">
        <f>_xlfn.STDEV.S(F62:F65)</f>
        <v>0.27729346668586818</v>
      </c>
      <c r="U62">
        <f t="shared" ref="U62:W62" si="106">_xlfn.STDEV.S(G62:G65)</f>
        <v>8.831760866327848E-2</v>
      </c>
      <c r="V62">
        <f t="shared" si="106"/>
        <v>0.44996296143867898</v>
      </c>
      <c r="W62">
        <f t="shared" si="106"/>
        <v>1.1374642851536034</v>
      </c>
      <c r="X62">
        <f>((I62-$S$14)/$S$14)*100</f>
        <v>-19.880641551659821</v>
      </c>
      <c r="Y62">
        <f>AVERAGE(X62:X65)</f>
        <v>-0.89518836255127709</v>
      </c>
      <c r="Z62">
        <f>_xlfn.STDEV.S(X62:X65)</f>
        <v>16.970746514787088</v>
      </c>
      <c r="AA62">
        <f t="shared" si="86"/>
        <v>-15.299684542586759</v>
      </c>
      <c r="AB62">
        <f>AVERAGE(AA62:AA65)</f>
        <v>4.7712933753943139</v>
      </c>
      <c r="AC62">
        <f>_xlfn.STDEV.S(AA62:AA65)</f>
        <v>17.941077052895967</v>
      </c>
      <c r="AE62">
        <f t="shared" si="2"/>
        <v>1.98</v>
      </c>
      <c r="AF62">
        <f t="shared" ref="AF62" si="107">AVERAGE(AE62:AE65)</f>
        <v>3.1700000000000008</v>
      </c>
      <c r="AG62">
        <f t="shared" ref="AG62" si="108">_xlfn.STDEV.S(AE62:AE65)</f>
        <v>0.93041209507758693</v>
      </c>
      <c r="AH62">
        <f t="shared" si="88"/>
        <v>-43.266475644699142</v>
      </c>
      <c r="AI62">
        <f t="shared" ref="AI62" si="109">AVERAGE(AH62:AH65)</f>
        <v>-9.1690544412607391</v>
      </c>
      <c r="AJ62">
        <f t="shared" ref="AJ62" si="110">_xlfn.STDEV.S(AH62:AH65)</f>
        <v>26.659372351793362</v>
      </c>
      <c r="AK62">
        <f t="shared" si="87"/>
        <v>-33.612740989103102</v>
      </c>
      <c r="AL62">
        <f t="shared" ref="AL62" si="111">AVERAGE(AK62:AK65)</f>
        <v>6.2866722548197949</v>
      </c>
      <c r="AM62">
        <f t="shared" ref="AM62" si="112">_xlfn.STDEV.S(AK62:AK65)</f>
        <v>31.195711486256108</v>
      </c>
    </row>
    <row r="63" spans="1:39" x14ac:dyDescent="0.3">
      <c r="A63" s="111" t="s">
        <v>23</v>
      </c>
      <c r="B63" s="112" t="s">
        <v>22</v>
      </c>
      <c r="C63" s="112" t="s">
        <v>19</v>
      </c>
      <c r="D63" s="112" t="str">
        <f t="shared" si="84"/>
        <v>Dic+Carbhighnutrients</v>
      </c>
      <c r="E63" s="112" t="s">
        <v>33</v>
      </c>
      <c r="F63" s="112">
        <v>3.26</v>
      </c>
      <c r="G63" s="112">
        <v>2.4500000000000002</v>
      </c>
      <c r="H63" s="112">
        <v>3.05</v>
      </c>
      <c r="I63" s="113">
        <v>6.42</v>
      </c>
      <c r="X63">
        <f t="shared" si="85"/>
        <v>-4.2148452070123055</v>
      </c>
      <c r="AA63">
        <f t="shared" si="86"/>
        <v>1.2618296529968325</v>
      </c>
      <c r="AE63">
        <f t="shared" si="2"/>
        <v>3.16</v>
      </c>
      <c r="AH63">
        <f t="shared" si="88"/>
        <v>-9.4555873925501448</v>
      </c>
      <c r="AK63">
        <f t="shared" si="87"/>
        <v>5.9513830678960673</v>
      </c>
    </row>
    <row r="64" spans="1:39" x14ac:dyDescent="0.3">
      <c r="A64" s="111" t="s">
        <v>23</v>
      </c>
      <c r="B64" s="112" t="s">
        <v>22</v>
      </c>
      <c r="C64" s="112" t="s">
        <v>19</v>
      </c>
      <c r="D64" s="112" t="str">
        <f t="shared" si="84"/>
        <v>Dic+Carbhighnutrients</v>
      </c>
      <c r="E64" s="112" t="s">
        <v>34</v>
      </c>
      <c r="F64" s="112">
        <v>3.36</v>
      </c>
      <c r="G64" s="112">
        <v>2.54</v>
      </c>
      <c r="H64" s="112">
        <v>3.73</v>
      </c>
      <c r="I64" s="113">
        <v>6.65</v>
      </c>
      <c r="X64">
        <f t="shared" si="85"/>
        <v>-0.78328981723236601</v>
      </c>
      <c r="AA64">
        <f t="shared" si="86"/>
        <v>4.8895899053627696</v>
      </c>
      <c r="AE64">
        <f t="shared" si="2"/>
        <v>3.2900000000000005</v>
      </c>
      <c r="AH64">
        <f t="shared" si="88"/>
        <v>-5.7306590257879577</v>
      </c>
      <c r="AK64">
        <f t="shared" si="87"/>
        <v>10.31014249790446</v>
      </c>
    </row>
    <row r="65" spans="1:39" ht="15" thickBot="1" x14ac:dyDescent="0.35">
      <c r="A65" s="114" t="s">
        <v>23</v>
      </c>
      <c r="B65" s="115" t="s">
        <v>22</v>
      </c>
      <c r="C65" s="115" t="s">
        <v>19</v>
      </c>
      <c r="D65" s="115" t="str">
        <f t="shared" si="84"/>
        <v>Dic+Carbhighnutrients</v>
      </c>
      <c r="E65" s="115" t="s">
        <v>35</v>
      </c>
      <c r="F65" s="115">
        <v>3.88</v>
      </c>
      <c r="G65" s="115">
        <v>2.33</v>
      </c>
      <c r="H65" s="115">
        <v>4.08</v>
      </c>
      <c r="I65" s="116">
        <v>8.1300000000000008</v>
      </c>
      <c r="X65">
        <f t="shared" si="85"/>
        <v>21.298023125699384</v>
      </c>
      <c r="AA65">
        <f t="shared" si="86"/>
        <v>28.233438485804413</v>
      </c>
      <c r="AE65">
        <f t="shared" si="2"/>
        <v>4.2500000000000009</v>
      </c>
      <c r="AH65">
        <f t="shared" si="88"/>
        <v>21.776504297994286</v>
      </c>
      <c r="AK65">
        <f t="shared" si="87"/>
        <v>42.497904442581756</v>
      </c>
    </row>
    <row r="66" spans="1:39" x14ac:dyDescent="0.3">
      <c r="A66" s="117" t="s">
        <v>24</v>
      </c>
      <c r="B66" s="48" t="s">
        <v>21</v>
      </c>
      <c r="C66" s="48" t="s">
        <v>19</v>
      </c>
      <c r="D66" s="48" t="str">
        <f t="shared" si="84"/>
        <v>Dic+PFOSlownutrients</v>
      </c>
      <c r="E66" s="48" t="s">
        <v>32</v>
      </c>
      <c r="F66" s="48">
        <v>3.25</v>
      </c>
      <c r="G66" s="48">
        <v>1.7</v>
      </c>
      <c r="H66" s="48">
        <v>3.69</v>
      </c>
      <c r="I66" s="49">
        <v>5.12</v>
      </c>
      <c r="P66">
        <f>AVERAGE(F66:F69)</f>
        <v>3.335</v>
      </c>
      <c r="Q66">
        <f t="shared" ref="Q66:S66" si="113">AVERAGE(G66:G69)</f>
        <v>1.91</v>
      </c>
      <c r="R66">
        <f t="shared" si="113"/>
        <v>3.855</v>
      </c>
      <c r="S66">
        <f t="shared" si="113"/>
        <v>5.1375000000000002</v>
      </c>
      <c r="T66">
        <f>_xlfn.STDEV.S(F66:F69)</f>
        <v>0.34588051886935361</v>
      </c>
      <c r="U66">
        <f t="shared" ref="U66:W66" si="114">_xlfn.STDEV.S(G66:G69)</f>
        <v>0.1892088792842451</v>
      </c>
      <c r="V66">
        <f t="shared" si="114"/>
        <v>0.1859211302317913</v>
      </c>
      <c r="W66">
        <f t="shared" si="114"/>
        <v>0.27170756338387059</v>
      </c>
      <c r="X66">
        <f t="shared" si="85"/>
        <v>-23.610593062290185</v>
      </c>
      <c r="Y66">
        <f>AVERAGE(X66:X69)</f>
        <v>-23.34949645654606</v>
      </c>
      <c r="Z66">
        <f>_xlfn.STDEV.S(X66:X69)</f>
        <v>4.0538241459734436</v>
      </c>
      <c r="AA66">
        <f t="shared" si="86"/>
        <v>-19.242902208201901</v>
      </c>
      <c r="AB66">
        <f>AVERAGE(AA66:AA69)</f>
        <v>-18.966876971608841</v>
      </c>
      <c r="AC66">
        <f>_xlfn.STDEV.S(AA66:AA69)</f>
        <v>4.2856082552660837</v>
      </c>
      <c r="AE66">
        <f t="shared" si="2"/>
        <v>1.87</v>
      </c>
      <c r="AF66">
        <f t="shared" ref="AF66" si="115">AVERAGE(AE66:AE69)</f>
        <v>1.8025000000000002</v>
      </c>
      <c r="AG66">
        <f t="shared" ref="AG66" si="116">_xlfn.STDEV.S(AE66:AE69)</f>
        <v>0.4798176737053359</v>
      </c>
      <c r="AH66">
        <f t="shared" si="88"/>
        <v>-46.418338108882523</v>
      </c>
      <c r="AI66">
        <f t="shared" ref="AI66" si="117">AVERAGE(AH66:AH69)</f>
        <v>-48.352435530085955</v>
      </c>
      <c r="AJ66">
        <f t="shared" ref="AJ66" si="118">_xlfn.STDEV.S(AH66:AH69)</f>
        <v>13.748357412760342</v>
      </c>
      <c r="AK66">
        <f t="shared" si="87"/>
        <v>-37.300922045264038</v>
      </c>
      <c r="AL66">
        <f t="shared" ref="AL66" si="119">AVERAGE(AK66:AK69)</f>
        <v>-39.564124056999155</v>
      </c>
      <c r="AM66">
        <f t="shared" ref="AM66" si="120">_xlfn.STDEV.S(AK66:AK69)</f>
        <v>16.087767768829355</v>
      </c>
    </row>
    <row r="67" spans="1:39" x14ac:dyDescent="0.3">
      <c r="A67" s="117" t="s">
        <v>24</v>
      </c>
      <c r="B67" s="48" t="s">
        <v>21</v>
      </c>
      <c r="C67" s="48" t="s">
        <v>19</v>
      </c>
      <c r="D67" s="48" t="str">
        <f t="shared" si="84"/>
        <v>Dic+PFOSlownutrients</v>
      </c>
      <c r="E67" s="48" t="s">
        <v>33</v>
      </c>
      <c r="F67" s="48">
        <v>3.27</v>
      </c>
      <c r="G67" s="48">
        <v>1.89</v>
      </c>
      <c r="H67" s="48">
        <v>3.78</v>
      </c>
      <c r="I67" s="49">
        <v>4.79</v>
      </c>
      <c r="X67">
        <f t="shared" si="85"/>
        <v>-28.534129056322264</v>
      </c>
      <c r="AA67">
        <f t="shared" si="86"/>
        <v>-24.44794952681389</v>
      </c>
      <c r="AE67">
        <f t="shared" ref="AE67:AE81" si="121">I67-F67</f>
        <v>1.52</v>
      </c>
      <c r="AH67">
        <f t="shared" si="88"/>
        <v>-56.446991404011456</v>
      </c>
      <c r="AK67">
        <f t="shared" si="87"/>
        <v>-49.0360435875943</v>
      </c>
    </row>
    <row r="68" spans="1:39" x14ac:dyDescent="0.3">
      <c r="A68" s="117" t="s">
        <v>24</v>
      </c>
      <c r="B68" s="48" t="s">
        <v>21</v>
      </c>
      <c r="C68" s="48" t="s">
        <v>19</v>
      </c>
      <c r="D68" s="48" t="str">
        <f t="shared" si="84"/>
        <v>Dic+PFOSlownutrients</v>
      </c>
      <c r="E68" s="48" t="s">
        <v>34</v>
      </c>
      <c r="F68" s="48">
        <v>3</v>
      </c>
      <c r="G68" s="48">
        <v>2.16</v>
      </c>
      <c r="H68" s="48">
        <v>4.12</v>
      </c>
      <c r="I68" s="49">
        <v>5.45</v>
      </c>
      <c r="X68">
        <f t="shared" si="85"/>
        <v>-18.687057068258106</v>
      </c>
      <c r="AA68">
        <f t="shared" si="86"/>
        <v>-14.037854889589912</v>
      </c>
      <c r="AE68">
        <f t="shared" si="121"/>
        <v>2.4500000000000002</v>
      </c>
      <c r="AH68">
        <f t="shared" si="88"/>
        <v>-29.799426934097422</v>
      </c>
      <c r="AK68">
        <f t="shared" si="87"/>
        <v>-17.854149203688173</v>
      </c>
    </row>
    <row r="69" spans="1:39" ht="15" thickBot="1" x14ac:dyDescent="0.35">
      <c r="A69" s="118" t="s">
        <v>24</v>
      </c>
      <c r="B69" s="119" t="s">
        <v>21</v>
      </c>
      <c r="C69" s="119" t="s">
        <v>19</v>
      </c>
      <c r="D69" s="119" t="str">
        <f t="shared" si="84"/>
        <v>Dic+PFOSlownutrients</v>
      </c>
      <c r="E69" s="119" t="s">
        <v>35</v>
      </c>
      <c r="F69" s="119">
        <v>3.82</v>
      </c>
      <c r="G69" s="119">
        <v>1.89</v>
      </c>
      <c r="H69" s="119">
        <v>3.83</v>
      </c>
      <c r="I69" s="120">
        <v>5.19</v>
      </c>
      <c r="X69">
        <f t="shared" si="85"/>
        <v>-22.56620663931368</v>
      </c>
      <c r="AA69">
        <f t="shared" si="86"/>
        <v>-18.138801261829656</v>
      </c>
      <c r="AE69">
        <f t="shared" si="121"/>
        <v>1.3700000000000006</v>
      </c>
      <c r="AH69">
        <f t="shared" si="88"/>
        <v>-60.744985673352424</v>
      </c>
      <c r="AK69">
        <f>((AE69-$AF$10)/$AF$10)*100</f>
        <v>-54.06538139145011</v>
      </c>
    </row>
    <row r="70" spans="1:39" x14ac:dyDescent="0.3">
      <c r="A70" s="121" t="s">
        <v>24</v>
      </c>
      <c r="B70" s="51" t="s">
        <v>22</v>
      </c>
      <c r="C70" s="51" t="s">
        <v>19</v>
      </c>
      <c r="D70" s="51" t="str">
        <f t="shared" si="84"/>
        <v>Dic+PFOShighnutrients</v>
      </c>
      <c r="E70" s="51" t="s">
        <v>32</v>
      </c>
      <c r="F70" s="51">
        <v>3.19</v>
      </c>
      <c r="G70" s="51">
        <v>2.29</v>
      </c>
      <c r="H70" s="51">
        <v>3.77</v>
      </c>
      <c r="I70" s="52">
        <v>4.5599999999999996</v>
      </c>
      <c r="P70">
        <f>AVERAGE(F70:F73)</f>
        <v>3.1049999999999995</v>
      </c>
      <c r="Q70">
        <f t="shared" ref="Q70:S70" si="122">AVERAGE(G70:G73)</f>
        <v>2.38</v>
      </c>
      <c r="R70">
        <f t="shared" si="122"/>
        <v>3.7275</v>
      </c>
      <c r="S70">
        <f t="shared" si="122"/>
        <v>4.4574999999999996</v>
      </c>
      <c r="T70">
        <f>_xlfn.STDEV.S(F70:F73)</f>
        <v>0.16093476939431078</v>
      </c>
      <c r="U70">
        <f t="shared" ref="U70:W70" si="123">_xlfn.STDEV.S(G70:G73)</f>
        <v>0.20992061991778377</v>
      </c>
      <c r="V70">
        <f t="shared" si="123"/>
        <v>0.21077238908357984</v>
      </c>
      <c r="W70">
        <f t="shared" si="123"/>
        <v>0.73631401815620612</v>
      </c>
      <c r="X70">
        <f t="shared" si="85"/>
        <v>-31.965684446102205</v>
      </c>
      <c r="Y70">
        <f>AVERAGE(X70:X73)</f>
        <v>-33.494964565460648</v>
      </c>
      <c r="Z70">
        <f>_xlfn.STDEV.S(X70:X73)</f>
        <v>10.98566233728017</v>
      </c>
      <c r="AA70">
        <f t="shared" si="86"/>
        <v>-28.075709779179824</v>
      </c>
      <c r="AB70">
        <f>AVERAGE(AA70:AA73)</f>
        <v>-29.692429022082031</v>
      </c>
      <c r="AC70">
        <f>_xlfn.STDEV.S(AA70:AA73)</f>
        <v>11.613785775334435</v>
      </c>
      <c r="AE70">
        <f t="shared" si="121"/>
        <v>1.3699999999999997</v>
      </c>
      <c r="AF70">
        <f t="shared" ref="AF70" si="124">AVERAGE(AE70:AE73)</f>
        <v>1.3525</v>
      </c>
      <c r="AG70">
        <f t="shared" ref="AG70" si="125">_xlfn.STDEV.S(AE70:AE73)</f>
        <v>0.58448695451652366</v>
      </c>
      <c r="AH70">
        <f t="shared" si="88"/>
        <v>-60.744985673352446</v>
      </c>
      <c r="AI70">
        <f t="shared" ref="AI70" si="126">AVERAGE(AH70:AH73)</f>
        <v>-61.246418338108882</v>
      </c>
      <c r="AJ70">
        <f t="shared" ref="AJ70" si="127">_xlfn.STDEV.S(AH70:AH73)</f>
        <v>16.74747720677718</v>
      </c>
      <c r="AK70">
        <f t="shared" si="87"/>
        <v>-54.065381391450138</v>
      </c>
      <c r="AL70">
        <f t="shared" ref="AL70" si="128">AVERAGE(AK70:AK73)</f>
        <v>-54.652137468566636</v>
      </c>
      <c r="AM70">
        <f t="shared" ref="AM70" si="129">_xlfn.STDEV.S(AK70:AK73)</f>
        <v>19.59721557473674</v>
      </c>
    </row>
    <row r="71" spans="1:39" x14ac:dyDescent="0.3">
      <c r="A71" s="121" t="s">
        <v>24</v>
      </c>
      <c r="B71" s="51" t="s">
        <v>22</v>
      </c>
      <c r="C71" s="51" t="s">
        <v>19</v>
      </c>
      <c r="D71" s="51" t="str">
        <f t="shared" si="84"/>
        <v>Dic+PFOShighnutrients</v>
      </c>
      <c r="E71" s="51" t="s">
        <v>33</v>
      </c>
      <c r="F71" s="51">
        <v>2.92</v>
      </c>
      <c r="G71" s="51">
        <v>2.1800000000000002</v>
      </c>
      <c r="H71" s="51">
        <v>3.69</v>
      </c>
      <c r="I71" s="52">
        <v>3.57</v>
      </c>
      <c r="X71">
        <f t="shared" si="85"/>
        <v>-46.736292428198432</v>
      </c>
      <c r="AA71">
        <f t="shared" si="86"/>
        <v>-43.690851735015784</v>
      </c>
      <c r="AE71">
        <f t="shared" si="121"/>
        <v>0.64999999999999991</v>
      </c>
      <c r="AH71">
        <f t="shared" si="88"/>
        <v>-81.375358166189116</v>
      </c>
      <c r="AK71">
        <f>((AE71-$AF$10)/$AF$10)*100</f>
        <v>-78.206202849958089</v>
      </c>
    </row>
    <row r="72" spans="1:39" x14ac:dyDescent="0.3">
      <c r="A72" s="121" t="s">
        <v>24</v>
      </c>
      <c r="B72" s="51" t="s">
        <v>22</v>
      </c>
      <c r="C72" s="51" t="s">
        <v>19</v>
      </c>
      <c r="D72" s="51" t="str">
        <f t="shared" si="84"/>
        <v>Dic+PFOShighnutrients</v>
      </c>
      <c r="E72" s="51" t="s">
        <v>34</v>
      </c>
      <c r="F72" s="51">
        <v>3.03</v>
      </c>
      <c r="G72" s="51">
        <v>2.38</v>
      </c>
      <c r="H72" s="51">
        <v>3.47</v>
      </c>
      <c r="I72" s="52">
        <v>4.34</v>
      </c>
      <c r="X72">
        <f t="shared" si="85"/>
        <v>-35.248041775456919</v>
      </c>
      <c r="AA72">
        <f t="shared" si="86"/>
        <v>-31.545741324921146</v>
      </c>
      <c r="AE72">
        <f t="shared" si="121"/>
        <v>1.31</v>
      </c>
      <c r="AH72">
        <f>((AE72-$AF$14)/$AF$14)*100</f>
        <v>-62.464183381088823</v>
      </c>
      <c r="AK72">
        <f t="shared" si="87"/>
        <v>-56.077116512992454</v>
      </c>
    </row>
    <row r="73" spans="1:39" ht="15" thickBot="1" x14ac:dyDescent="0.35">
      <c r="A73" s="122" t="s">
        <v>24</v>
      </c>
      <c r="B73" s="123" t="s">
        <v>22</v>
      </c>
      <c r="C73" s="123" t="s">
        <v>19</v>
      </c>
      <c r="D73" s="123" t="str">
        <f t="shared" si="84"/>
        <v>Dic+PFOShighnutrients</v>
      </c>
      <c r="E73" s="123" t="s">
        <v>35</v>
      </c>
      <c r="F73" s="123">
        <v>3.28</v>
      </c>
      <c r="G73" s="123">
        <v>2.67</v>
      </c>
      <c r="H73" s="123">
        <v>3.98</v>
      </c>
      <c r="I73" s="124">
        <v>5.36</v>
      </c>
      <c r="X73">
        <f t="shared" si="85"/>
        <v>-20.029839612085034</v>
      </c>
      <c r="AA73">
        <f t="shared" si="86"/>
        <v>-15.45741324921136</v>
      </c>
      <c r="AE73">
        <f t="shared" si="121"/>
        <v>2.0800000000000005</v>
      </c>
      <c r="AH73">
        <f t="shared" si="88"/>
        <v>-40.401146131805149</v>
      </c>
      <c r="AK73">
        <f t="shared" si="87"/>
        <v>-30.259849119865866</v>
      </c>
    </row>
    <row r="74" spans="1:39" x14ac:dyDescent="0.3">
      <c r="A74" s="125" t="s">
        <v>25</v>
      </c>
      <c r="B74" s="54" t="s">
        <v>21</v>
      </c>
      <c r="C74" s="54" t="s">
        <v>19</v>
      </c>
      <c r="D74" s="54" t="str">
        <f t="shared" si="84"/>
        <v>Dic+6ppdqlownutrients</v>
      </c>
      <c r="E74" s="54" t="s">
        <v>32</v>
      </c>
      <c r="F74" s="54">
        <v>3.33</v>
      </c>
      <c r="G74" s="54">
        <v>2.15</v>
      </c>
      <c r="H74" s="54">
        <v>3.9</v>
      </c>
      <c r="I74" s="55">
        <v>5.05</v>
      </c>
      <c r="P74">
        <f>AVERAGE(F74:F77)</f>
        <v>3.21</v>
      </c>
      <c r="Q74">
        <f t="shared" ref="Q74:S74" si="130">AVERAGE(G74:G77)</f>
        <v>2.0650000000000004</v>
      </c>
      <c r="R74">
        <f t="shared" si="130"/>
        <v>3.9474999999999998</v>
      </c>
      <c r="S74">
        <f t="shared" si="130"/>
        <v>4.6674999999999995</v>
      </c>
      <c r="T74">
        <f>_xlfn.STDEV.S(F74:F77)</f>
        <v>9.0553851381374229E-2</v>
      </c>
      <c r="U74">
        <f t="shared" ref="U74:W74" si="131">_xlfn.STDEV.S(G74:G77)</f>
        <v>0.13025615788386621</v>
      </c>
      <c r="V74">
        <f t="shared" si="131"/>
        <v>0.29680240340446484</v>
      </c>
      <c r="W74">
        <f t="shared" si="131"/>
        <v>0.7603233961063347</v>
      </c>
      <c r="X74">
        <f t="shared" si="85"/>
        <v>-24.65497948526669</v>
      </c>
      <c r="Y74">
        <f>AVERAGE(X74:X77)</f>
        <v>-30.361805296531138</v>
      </c>
      <c r="Z74">
        <f>_xlfn.STDEV.S(X74:X77)</f>
        <v>11.343877599497697</v>
      </c>
      <c r="AA74">
        <f t="shared" si="86"/>
        <v>-20.347003154574146</v>
      </c>
      <c r="AB74">
        <f>AVERAGE(AA74:AA77)</f>
        <v>-26.380126182965309</v>
      </c>
      <c r="AC74">
        <f>_xlfn.STDEV.S(AA74:AA77)</f>
        <v>11.992482588427961</v>
      </c>
      <c r="AE74">
        <f t="shared" si="121"/>
        <v>1.7199999999999998</v>
      </c>
      <c r="AF74">
        <f t="shared" ref="AF74" si="132">AVERAGE(AE74:AE77)</f>
        <v>1.4574999999999998</v>
      </c>
      <c r="AG74">
        <f t="shared" ref="AG74" si="133">_xlfn.STDEV.S(AE74:AE77)</f>
        <v>0.72380361056481768</v>
      </c>
      <c r="AH74">
        <f t="shared" si="88"/>
        <v>-50.716332378223505</v>
      </c>
      <c r="AI74">
        <f t="shared" ref="AI74" si="134">AVERAGE(AH74:AH77)</f>
        <v>-58.237822349570216</v>
      </c>
      <c r="AJ74">
        <f t="shared" ref="AJ74" si="135">_xlfn.STDEV.S(AH74:AH77)</f>
        <v>20.739358468905937</v>
      </c>
      <c r="AK74">
        <f t="shared" si="87"/>
        <v>-42.330259849119869</v>
      </c>
      <c r="AL74">
        <f t="shared" ref="AL74" si="136">AVERAGE(AK74:AK77)</f>
        <v>-51.131601005867566</v>
      </c>
      <c r="AM74">
        <f t="shared" ref="AM74" si="137">_xlfn.STDEV.S(AK74:AK77)</f>
        <v>24.268352407873202</v>
      </c>
    </row>
    <row r="75" spans="1:39" x14ac:dyDescent="0.3">
      <c r="A75" s="125" t="s">
        <v>25</v>
      </c>
      <c r="B75" s="54" t="s">
        <v>21</v>
      </c>
      <c r="C75" s="54" t="s">
        <v>19</v>
      </c>
      <c r="D75" s="54" t="str">
        <f t="shared" si="84"/>
        <v>Dic+6ppdqlownutrients</v>
      </c>
      <c r="E75" s="54" t="s">
        <v>33</v>
      </c>
      <c r="F75" s="54">
        <v>3.2</v>
      </c>
      <c r="G75" s="54">
        <v>1.93</v>
      </c>
      <c r="H75" s="54">
        <v>4.22</v>
      </c>
      <c r="I75" s="55">
        <v>3.9</v>
      </c>
      <c r="X75">
        <f t="shared" si="85"/>
        <v>-41.812756434166353</v>
      </c>
      <c r="AA75">
        <f t="shared" si="86"/>
        <v>-38.485804416403795</v>
      </c>
      <c r="AE75">
        <f t="shared" si="121"/>
        <v>0.69999999999999973</v>
      </c>
      <c r="AH75">
        <f t="shared" si="88"/>
        <v>-79.942693409742134</v>
      </c>
      <c r="AK75">
        <f t="shared" si="87"/>
        <v>-76.52975691533949</v>
      </c>
    </row>
    <row r="76" spans="1:39" x14ac:dyDescent="0.3">
      <c r="A76" s="125" t="s">
        <v>25</v>
      </c>
      <c r="B76" s="54" t="s">
        <v>21</v>
      </c>
      <c r="C76" s="54" t="s">
        <v>19</v>
      </c>
      <c r="D76" s="54" t="str">
        <f t="shared" si="84"/>
        <v>Dic+6ppdqlownutrients</v>
      </c>
      <c r="E76" s="54" t="s">
        <v>34</v>
      </c>
      <c r="F76" s="54">
        <v>3.11</v>
      </c>
      <c r="G76" s="54">
        <v>1.98</v>
      </c>
      <c r="H76" s="54">
        <v>3.55</v>
      </c>
      <c r="I76" s="55">
        <v>4.18</v>
      </c>
      <c r="X76">
        <f t="shared" si="85"/>
        <v>-37.635210742260348</v>
      </c>
      <c r="AA76">
        <f t="shared" si="86"/>
        <v>-34.069400630914835</v>
      </c>
      <c r="AE76">
        <f t="shared" si="121"/>
        <v>1.0699999999999998</v>
      </c>
      <c r="AH76">
        <f t="shared" si="88"/>
        <v>-69.340974212034396</v>
      </c>
      <c r="AK76">
        <f t="shared" si="87"/>
        <v>-64.12405699916178</v>
      </c>
    </row>
    <row r="77" spans="1:39" ht="15" thickBot="1" x14ac:dyDescent="0.35">
      <c r="A77" s="126" t="s">
        <v>25</v>
      </c>
      <c r="B77" s="127" t="s">
        <v>21</v>
      </c>
      <c r="C77" s="127" t="s">
        <v>19</v>
      </c>
      <c r="D77" s="127" t="str">
        <f t="shared" si="84"/>
        <v>Dic+6ppdqlownutrients</v>
      </c>
      <c r="E77" s="127" t="s">
        <v>35</v>
      </c>
      <c r="F77" s="127">
        <v>3.2</v>
      </c>
      <c r="G77" s="127">
        <v>2.2000000000000002</v>
      </c>
      <c r="H77" s="127">
        <v>4.12</v>
      </c>
      <c r="I77" s="128">
        <v>5.54</v>
      </c>
      <c r="X77">
        <f t="shared" si="85"/>
        <v>-17.344274524431178</v>
      </c>
      <c r="AA77">
        <f t="shared" si="86"/>
        <v>-12.618296529968465</v>
      </c>
      <c r="AE77">
        <f t="shared" si="121"/>
        <v>2.34</v>
      </c>
      <c r="AH77">
        <f t="shared" si="88"/>
        <v>-32.951289398280807</v>
      </c>
      <c r="AK77">
        <f t="shared" si="87"/>
        <v>-21.542330259849123</v>
      </c>
    </row>
    <row r="78" spans="1:39" x14ac:dyDescent="0.3">
      <c r="A78" s="129" t="s">
        <v>25</v>
      </c>
      <c r="B78" s="130" t="s">
        <v>22</v>
      </c>
      <c r="C78" s="130" t="s">
        <v>19</v>
      </c>
      <c r="D78" s="130" t="str">
        <f t="shared" si="84"/>
        <v>Dic+6ppdqhighnutrients</v>
      </c>
      <c r="E78" s="130" t="s">
        <v>32</v>
      </c>
      <c r="F78" s="130">
        <v>3.24</v>
      </c>
      <c r="G78" s="130">
        <v>2.06</v>
      </c>
      <c r="H78" s="130">
        <v>3.99</v>
      </c>
      <c r="I78" s="131">
        <v>7.64</v>
      </c>
      <c r="P78">
        <f>AVERAGE(F78:F81)</f>
        <v>3.3474999999999997</v>
      </c>
      <c r="Q78">
        <f t="shared" ref="Q78:S78" si="138">AVERAGE(G78:G81)</f>
        <v>1.9975000000000001</v>
      </c>
      <c r="R78">
        <f t="shared" si="138"/>
        <v>4.0225</v>
      </c>
      <c r="S78">
        <f t="shared" si="138"/>
        <v>7.2725</v>
      </c>
      <c r="T78">
        <f>_xlfn.STDEV.S(F78:F81)</f>
        <v>0.17576025337563284</v>
      </c>
      <c r="U78">
        <f t="shared" ref="U78:W78" si="139">_xlfn.STDEV.S(G78:G81)</f>
        <v>0.28616720054308492</v>
      </c>
      <c r="V78">
        <f t="shared" si="139"/>
        <v>0.45345892868042631</v>
      </c>
      <c r="W78">
        <f t="shared" si="139"/>
        <v>1.0870564229453159</v>
      </c>
      <c r="X78">
        <f>((I78-$S$14)/$S$14)*100</f>
        <v>13.987318164863858</v>
      </c>
      <c r="Y78">
        <f>AVERAGE(X78:X81)</f>
        <v>8.5042894442372265</v>
      </c>
      <c r="Z78">
        <f>_xlfn.STDEV.S(X78:X81)</f>
        <v>16.218670987621277</v>
      </c>
      <c r="AA78">
        <f t="shared" si="86"/>
        <v>20.504731861198717</v>
      </c>
      <c r="AB78">
        <f>AVERAGE(AA78:AA81)</f>
        <v>14.708201892744462</v>
      </c>
      <c r="AC78">
        <f>_xlfn.STDEV.S(AA78:AA81)</f>
        <v>17.146000361913501</v>
      </c>
      <c r="AE78">
        <f t="shared" si="121"/>
        <v>4.3999999999999995</v>
      </c>
      <c r="AF78">
        <f t="shared" ref="AF78" si="140">AVERAGE(AE78:AE81)</f>
        <v>3.9249999999999998</v>
      </c>
      <c r="AG78">
        <f t="shared" ref="AG78" si="141">_xlfn.STDEV.S(AE78:AE81)</f>
        <v>1.0109566426575043</v>
      </c>
      <c r="AH78">
        <f t="shared" si="88"/>
        <v>26.074498567335219</v>
      </c>
      <c r="AI78">
        <f t="shared" ref="AI78" si="142">AVERAGE(AH78:AH81)</f>
        <v>12.464183381088816</v>
      </c>
      <c r="AJ78">
        <f t="shared" ref="AJ78" si="143">_xlfn.STDEV.S(AH78:AH81)</f>
        <v>28.967239044627629</v>
      </c>
      <c r="AK78">
        <f t="shared" si="87"/>
        <v>47.527242246437538</v>
      </c>
      <c r="AL78">
        <f t="shared" ref="AL78" si="144">AVERAGE(AK78:AK81)</f>
        <v>31.601005867560769</v>
      </c>
      <c r="AM78">
        <f t="shared" ref="AM78" si="145">_xlfn.STDEV.S(AK78:AK81)</f>
        <v>33.89628307317701</v>
      </c>
    </row>
    <row r="79" spans="1:39" x14ac:dyDescent="0.3">
      <c r="A79" s="129" t="s">
        <v>25</v>
      </c>
      <c r="B79" s="130" t="s">
        <v>22</v>
      </c>
      <c r="C79" s="130" t="s">
        <v>19</v>
      </c>
      <c r="D79" s="130" t="str">
        <f t="shared" si="84"/>
        <v>Dic+6ppdqhighnutrients</v>
      </c>
      <c r="E79" s="130" t="s">
        <v>33</v>
      </c>
      <c r="F79" s="130">
        <v>3.28</v>
      </c>
      <c r="G79" s="130">
        <v>1.59</v>
      </c>
      <c r="H79" s="130">
        <v>3.42</v>
      </c>
      <c r="I79" s="131">
        <v>5.7</v>
      </c>
      <c r="X79">
        <f t="shared" si="85"/>
        <v>-14.957105557627745</v>
      </c>
      <c r="AA79">
        <f t="shared" si="86"/>
        <v>-10.094637223974772</v>
      </c>
      <c r="AE79">
        <f t="shared" si="121"/>
        <v>2.4200000000000004</v>
      </c>
      <c r="AH79">
        <f t="shared" si="88"/>
        <v>-30.659025787965611</v>
      </c>
      <c r="AK79">
        <f t="shared" si="87"/>
        <v>-18.860016764459331</v>
      </c>
    </row>
    <row r="80" spans="1:39" x14ac:dyDescent="0.3">
      <c r="A80" s="129" t="s">
        <v>25</v>
      </c>
      <c r="B80" s="130" t="s">
        <v>22</v>
      </c>
      <c r="C80" s="130" t="s">
        <v>19</v>
      </c>
      <c r="D80" s="130" t="str">
        <f t="shared" si="84"/>
        <v>Dic+6ppdqhighnutrients</v>
      </c>
      <c r="E80" s="130" t="s">
        <v>34</v>
      </c>
      <c r="F80" s="130">
        <v>3.26</v>
      </c>
      <c r="G80" s="130">
        <v>2.08</v>
      </c>
      <c r="H80" s="130">
        <v>4.18</v>
      </c>
      <c r="I80" s="131">
        <v>7.55</v>
      </c>
      <c r="X80">
        <f t="shared" si="85"/>
        <v>12.644535621036928</v>
      </c>
      <c r="AA80">
        <f t="shared" si="86"/>
        <v>19.08517350157727</v>
      </c>
      <c r="AE80">
        <f>I80-F80</f>
        <v>4.29</v>
      </c>
      <c r="AH80">
        <f t="shared" si="88"/>
        <v>22.922636103151856</v>
      </c>
      <c r="AK80">
        <f t="shared" si="87"/>
        <v>43.839061190276617</v>
      </c>
    </row>
    <row r="81" spans="1:37" ht="15" thickBot="1" x14ac:dyDescent="0.35">
      <c r="A81" s="132" t="s">
        <v>25</v>
      </c>
      <c r="B81" s="133" t="s">
        <v>22</v>
      </c>
      <c r="C81" s="133" t="s">
        <v>19</v>
      </c>
      <c r="D81" s="133" t="str">
        <f t="shared" si="84"/>
        <v>Dic+6ppdqhighnutrients</v>
      </c>
      <c r="E81" s="133" t="s">
        <v>35</v>
      </c>
      <c r="F81" s="133">
        <v>3.61</v>
      </c>
      <c r="G81" s="133">
        <v>2.2599999999999998</v>
      </c>
      <c r="H81" s="133">
        <v>4.5</v>
      </c>
      <c r="I81" s="134">
        <v>8.1999999999999993</v>
      </c>
      <c r="X81">
        <f t="shared" si="85"/>
        <v>22.342409548675864</v>
      </c>
      <c r="AA81">
        <f t="shared" si="86"/>
        <v>29.33753943217663</v>
      </c>
      <c r="AE81">
        <f t="shared" si="121"/>
        <v>4.59</v>
      </c>
      <c r="AH81">
        <f t="shared" si="88"/>
        <v>31.518624641833799</v>
      </c>
      <c r="AK81">
        <f t="shared" si="87"/>
        <v>53.897736797988259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CE4EE-FF19-476F-9DE1-F50897D8E27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3CDA8-AB56-4E28-8EFB-F240A629E21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14985-902A-4A78-9EA2-A1DE0B5FA82F}">
  <dimension ref="A1:Q24"/>
  <sheetViews>
    <sheetView workbookViewId="0">
      <selection activeCell="A2" sqref="A2:Q21"/>
    </sheetView>
  </sheetViews>
  <sheetFormatPr defaultRowHeight="14.4" x14ac:dyDescent="0.3"/>
  <cols>
    <col min="1" max="1" width="9.33203125" bestFit="1" customWidth="1"/>
    <col min="5" max="5" width="24.33203125" bestFit="1" customWidth="1"/>
  </cols>
  <sheetData>
    <row r="1" spans="1:17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50</v>
      </c>
      <c r="F1" s="2" t="s">
        <v>4</v>
      </c>
      <c r="G1" s="2" t="s">
        <v>5</v>
      </c>
      <c r="H1" s="2" t="s">
        <v>6</v>
      </c>
      <c r="I1" s="3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8</v>
      </c>
      <c r="P1" s="2" t="s">
        <v>13</v>
      </c>
      <c r="Q1" s="4" t="s">
        <v>10</v>
      </c>
    </row>
    <row r="2" spans="1:17" x14ac:dyDescent="0.3">
      <c r="A2" s="5">
        <v>45856</v>
      </c>
      <c r="B2" s="2" t="s">
        <v>14</v>
      </c>
      <c r="C2" s="2"/>
      <c r="D2" s="2" t="s">
        <v>15</v>
      </c>
      <c r="E2" s="2" t="str">
        <f>B2&amp;C2</f>
        <v>control</v>
      </c>
      <c r="F2" s="2">
        <v>0.49</v>
      </c>
      <c r="G2" s="2">
        <v>0.50600000000000001</v>
      </c>
      <c r="H2" s="2">
        <v>0.498</v>
      </c>
      <c r="I2">
        <f>AVERAGE(F2:H2)</f>
        <v>0.498</v>
      </c>
      <c r="J2" s="2"/>
      <c r="K2" s="2"/>
      <c r="L2" s="2"/>
      <c r="M2" s="2"/>
      <c r="N2" s="2"/>
      <c r="O2" s="2">
        <v>0.14799999999999999</v>
      </c>
      <c r="P2" s="2">
        <v>45.578000000000003</v>
      </c>
      <c r="Q2" s="4">
        <v>308.41899999999998</v>
      </c>
    </row>
    <row r="3" spans="1:17" x14ac:dyDescent="0.3">
      <c r="A3" s="6">
        <v>45856</v>
      </c>
      <c r="B3" t="s">
        <v>16</v>
      </c>
      <c r="D3" t="s">
        <v>15</v>
      </c>
      <c r="E3" t="str">
        <f t="shared" ref="E3:E13" si="0">B3&amp;C3</f>
        <v>solvent control</v>
      </c>
      <c r="F3">
        <v>0.52300000000000002</v>
      </c>
      <c r="G3">
        <v>0.52700000000000002</v>
      </c>
      <c r="H3">
        <v>0.51900000000000002</v>
      </c>
      <c r="I3">
        <f>AVERAGE(F3:H3)</f>
        <v>0.52300000000000002</v>
      </c>
      <c r="J3">
        <v>0.193</v>
      </c>
      <c r="K3">
        <v>42.311999999999998</v>
      </c>
      <c r="L3">
        <v>219.126</v>
      </c>
      <c r="M3">
        <v>8.9999999999999993E-3</v>
      </c>
      <c r="N3">
        <v>51.32</v>
      </c>
      <c r="O3">
        <v>0.156</v>
      </c>
      <c r="P3">
        <v>41.668999999999997</v>
      </c>
      <c r="Q3" s="7">
        <v>267.92099999999999</v>
      </c>
    </row>
    <row r="4" spans="1:17" x14ac:dyDescent="0.3">
      <c r="A4" s="6">
        <v>45856</v>
      </c>
      <c r="B4" t="s">
        <v>17</v>
      </c>
      <c r="E4" t="str">
        <f t="shared" si="0"/>
        <v>nutrient control</v>
      </c>
      <c r="F4">
        <v>0.56299999999999994</v>
      </c>
      <c r="G4">
        <v>0.57699999999999996</v>
      </c>
      <c r="H4">
        <v>0.56200000000000006</v>
      </c>
      <c r="I4">
        <f t="shared" ref="I4:I21" si="1">AVERAGE(F4:H4)</f>
        <v>0.56733333333333336</v>
      </c>
      <c r="J4">
        <v>0.20899999999999999</v>
      </c>
      <c r="K4">
        <v>48.997999999999998</v>
      </c>
      <c r="L4">
        <v>234.15100000000001</v>
      </c>
      <c r="M4">
        <v>3.6999999999999998E-2</v>
      </c>
      <c r="N4">
        <v>80.745000000000005</v>
      </c>
      <c r="O4">
        <v>0.18</v>
      </c>
      <c r="P4">
        <v>47.076000000000001</v>
      </c>
      <c r="Q4" s="7">
        <v>261.56799999999998</v>
      </c>
    </row>
    <row r="5" spans="1:17" ht="15" thickBot="1" x14ac:dyDescent="0.35">
      <c r="A5" s="8">
        <v>45856</v>
      </c>
      <c r="B5" s="9" t="s">
        <v>18</v>
      </c>
      <c r="C5" s="9"/>
      <c r="D5" s="9" t="s">
        <v>19</v>
      </c>
      <c r="E5" s="9" t="str">
        <f t="shared" si="0"/>
        <v>nutrient control (with solvent)</v>
      </c>
      <c r="F5" s="9">
        <v>0.6</v>
      </c>
      <c r="G5" s="9">
        <v>0.59299999999999997</v>
      </c>
      <c r="H5" s="9">
        <v>0.59499999999999997</v>
      </c>
      <c r="I5" s="9">
        <f t="shared" si="1"/>
        <v>0.59599999999999997</v>
      </c>
      <c r="J5" s="9">
        <v>0.24</v>
      </c>
      <c r="K5" s="9">
        <v>62.723999999999997</v>
      </c>
      <c r="L5" s="9">
        <v>261.65199999999999</v>
      </c>
      <c r="M5" s="9">
        <v>5.3280000000000003</v>
      </c>
      <c r="N5" s="9">
        <v>3874.268</v>
      </c>
      <c r="O5" s="9">
        <v>0.21</v>
      </c>
      <c r="P5" s="9">
        <v>59.289000000000001</v>
      </c>
      <c r="Q5" s="10">
        <v>282.24900000000002</v>
      </c>
    </row>
    <row r="6" spans="1:17" x14ac:dyDescent="0.3">
      <c r="A6" s="11">
        <v>45856</v>
      </c>
      <c r="B6" s="12" t="s">
        <v>20</v>
      </c>
      <c r="C6" s="12" t="s">
        <v>21</v>
      </c>
      <c r="D6" s="12" t="s">
        <v>15</v>
      </c>
      <c r="E6" s="12" t="str">
        <f t="shared" si="0"/>
        <v>Diclow</v>
      </c>
      <c r="F6" s="12">
        <v>0.52500000000000002</v>
      </c>
      <c r="G6" s="12">
        <v>0.504</v>
      </c>
      <c r="H6" s="12">
        <v>0.497</v>
      </c>
      <c r="I6" s="12">
        <f t="shared" si="1"/>
        <v>0.5086666666666666</v>
      </c>
      <c r="J6" s="12">
        <v>0.185</v>
      </c>
      <c r="K6" s="12">
        <v>45.530999999999999</v>
      </c>
      <c r="L6" s="12">
        <v>245.50399999999999</v>
      </c>
      <c r="M6" s="12">
        <v>0.249</v>
      </c>
      <c r="N6" s="12">
        <v>225.05799999999999</v>
      </c>
      <c r="O6" s="12">
        <v>0.17</v>
      </c>
      <c r="P6" s="12">
        <v>42.139000000000003</v>
      </c>
      <c r="Q6" s="13">
        <v>248.02099999999999</v>
      </c>
    </row>
    <row r="7" spans="1:17" x14ac:dyDescent="0.3">
      <c r="A7" s="14">
        <v>45856</v>
      </c>
      <c r="B7" s="15" t="s">
        <v>20</v>
      </c>
      <c r="C7" s="15" t="s">
        <v>22</v>
      </c>
      <c r="D7" s="15" t="s">
        <v>15</v>
      </c>
      <c r="E7" s="15" t="str">
        <f t="shared" si="0"/>
        <v>Dichigh</v>
      </c>
      <c r="F7" s="15">
        <v>0.496</v>
      </c>
      <c r="G7" s="15">
        <v>0.51500000000000001</v>
      </c>
      <c r="H7" s="15">
        <v>0.51800000000000002</v>
      </c>
      <c r="I7" s="15">
        <f t="shared" si="1"/>
        <v>0.50966666666666671</v>
      </c>
      <c r="J7" s="15">
        <v>0.17799999999999999</v>
      </c>
      <c r="K7" s="15">
        <v>45.710999999999999</v>
      </c>
      <c r="L7" s="15">
        <v>256.541</v>
      </c>
      <c r="M7" s="15">
        <v>4.5999999999999999E-2</v>
      </c>
      <c r="N7" s="15">
        <v>86.64</v>
      </c>
      <c r="O7" s="15">
        <v>0.154</v>
      </c>
      <c r="P7" s="15">
        <v>44.164000000000001</v>
      </c>
      <c r="Q7" s="16">
        <v>287.26400000000001</v>
      </c>
    </row>
    <row r="8" spans="1:17" x14ac:dyDescent="0.3">
      <c r="A8" s="17">
        <v>45856</v>
      </c>
      <c r="B8" s="18" t="s">
        <v>23</v>
      </c>
      <c r="C8" s="18" t="s">
        <v>21</v>
      </c>
      <c r="D8" s="18" t="s">
        <v>15</v>
      </c>
      <c r="E8" s="18" t="str">
        <f t="shared" si="0"/>
        <v>Dic+Carblow</v>
      </c>
      <c r="F8" s="18">
        <v>0.49299999999999999</v>
      </c>
      <c r="G8" s="18">
        <v>0.498</v>
      </c>
      <c r="H8" s="18">
        <v>0.505</v>
      </c>
      <c r="I8" s="18">
        <f t="shared" si="1"/>
        <v>0.49866666666666665</v>
      </c>
      <c r="J8" s="18">
        <v>0.17399999999999999</v>
      </c>
      <c r="K8" s="18">
        <v>45.737000000000002</v>
      </c>
      <c r="L8" s="18">
        <v>263.26100000000002</v>
      </c>
      <c r="M8" s="18">
        <v>4.3280000000000003</v>
      </c>
      <c r="N8" s="18">
        <v>3158.904</v>
      </c>
      <c r="O8" s="18">
        <v>0.154</v>
      </c>
      <c r="P8" s="18">
        <v>43.118000000000002</v>
      </c>
      <c r="Q8" s="19">
        <v>279.20400000000001</v>
      </c>
    </row>
    <row r="9" spans="1:17" x14ac:dyDescent="0.3">
      <c r="A9" s="20">
        <v>45856</v>
      </c>
      <c r="B9" s="21" t="s">
        <v>23</v>
      </c>
      <c r="C9" s="21" t="s">
        <v>22</v>
      </c>
      <c r="D9" s="21" t="s">
        <v>15</v>
      </c>
      <c r="E9" s="21" t="str">
        <f t="shared" si="0"/>
        <v>Dic+Carbhigh</v>
      </c>
      <c r="F9" s="21">
        <v>0.51700000000000002</v>
      </c>
      <c r="G9" s="21">
        <v>0.55000000000000004</v>
      </c>
      <c r="H9" s="21">
        <v>0.53</v>
      </c>
      <c r="I9" s="21">
        <f t="shared" si="1"/>
        <v>0.53233333333333344</v>
      </c>
      <c r="J9" s="21">
        <v>0.186</v>
      </c>
      <c r="K9" s="21">
        <v>40.152000000000001</v>
      </c>
      <c r="L9" s="21">
        <v>215.67599999999999</v>
      </c>
      <c r="M9" s="21">
        <v>7.1999999999999995E-2</v>
      </c>
      <c r="N9" s="21">
        <v>91.153000000000006</v>
      </c>
      <c r="O9" s="21">
        <v>0.17</v>
      </c>
      <c r="P9" s="21">
        <v>36.844999999999999</v>
      </c>
      <c r="Q9" s="22">
        <v>217.01499999999999</v>
      </c>
    </row>
    <row r="10" spans="1:17" x14ac:dyDescent="0.3">
      <c r="A10" s="23">
        <v>45856</v>
      </c>
      <c r="B10" s="24" t="s">
        <v>24</v>
      </c>
      <c r="C10" s="24" t="s">
        <v>21</v>
      </c>
      <c r="D10" s="24" t="s">
        <v>15</v>
      </c>
      <c r="E10" s="24" t="str">
        <f t="shared" si="0"/>
        <v>Dic+PFOSlow</v>
      </c>
      <c r="F10" s="24">
        <v>0.51400000000000001</v>
      </c>
      <c r="G10" s="24">
        <v>0.52300000000000002</v>
      </c>
      <c r="H10" s="24">
        <v>0.51500000000000001</v>
      </c>
      <c r="I10" s="24">
        <f t="shared" si="1"/>
        <v>0.51733333333333331</v>
      </c>
      <c r="J10" s="24">
        <v>0.20300000000000001</v>
      </c>
      <c r="K10" s="24">
        <v>38.713000000000001</v>
      </c>
      <c r="L10" s="24">
        <v>191.017</v>
      </c>
      <c r="M10" s="24">
        <v>0.01</v>
      </c>
      <c r="N10" s="24">
        <v>46.9</v>
      </c>
      <c r="O10" s="24">
        <v>0.16500000000000001</v>
      </c>
      <c r="P10" s="24">
        <v>37.729999999999997</v>
      </c>
      <c r="Q10" s="25">
        <v>229.291</v>
      </c>
    </row>
    <row r="11" spans="1:17" x14ac:dyDescent="0.3">
      <c r="A11" s="26">
        <v>45856</v>
      </c>
      <c r="B11" s="27" t="s">
        <v>24</v>
      </c>
      <c r="C11" s="27" t="s">
        <v>22</v>
      </c>
      <c r="D11" s="27" t="s">
        <v>15</v>
      </c>
      <c r="E11" s="27" t="str">
        <f t="shared" si="0"/>
        <v>Dic+PFOShigh</v>
      </c>
      <c r="F11" s="27">
        <v>0.53600000000000003</v>
      </c>
      <c r="G11" s="27">
        <v>0.52500000000000002</v>
      </c>
      <c r="H11" s="27">
        <v>0.502</v>
      </c>
      <c r="I11" s="27">
        <f t="shared" si="1"/>
        <v>0.52100000000000002</v>
      </c>
      <c r="J11" s="27">
        <v>0.17799999999999999</v>
      </c>
      <c r="K11" s="27">
        <v>44.960999999999999</v>
      </c>
      <c r="L11" s="27">
        <v>252.53399999999999</v>
      </c>
      <c r="M11" s="27">
        <v>0.1</v>
      </c>
      <c r="N11" s="27">
        <v>124.996</v>
      </c>
      <c r="O11" s="27">
        <v>0.16300000000000001</v>
      </c>
      <c r="P11" s="27">
        <v>42.143000000000001</v>
      </c>
      <c r="Q11" s="28">
        <v>258.36399999999998</v>
      </c>
    </row>
    <row r="12" spans="1:17" x14ac:dyDescent="0.3">
      <c r="A12" s="29">
        <v>45856</v>
      </c>
      <c r="B12" s="30" t="s">
        <v>25</v>
      </c>
      <c r="C12" s="30" t="s">
        <v>21</v>
      </c>
      <c r="D12" s="30" t="s">
        <v>15</v>
      </c>
      <c r="E12" s="30" t="str">
        <f t="shared" si="0"/>
        <v>Dic+6ppdqlow</v>
      </c>
      <c r="F12" s="30">
        <v>0.53500000000000003</v>
      </c>
      <c r="G12" s="30">
        <v>0.53500000000000003</v>
      </c>
      <c r="H12" s="30">
        <v>0.52300000000000002</v>
      </c>
      <c r="I12" s="30">
        <f t="shared" si="1"/>
        <v>0.53100000000000003</v>
      </c>
      <c r="J12" s="30">
        <v>0.20200000000000001</v>
      </c>
      <c r="K12" s="30">
        <v>49.393999999999998</v>
      </c>
      <c r="L12" s="30">
        <v>244.45699999999999</v>
      </c>
      <c r="M12" s="30">
        <v>1.2E-2</v>
      </c>
      <c r="N12" s="30">
        <v>62.273000000000003</v>
      </c>
      <c r="O12" s="30">
        <v>0.16600000000000001</v>
      </c>
      <c r="P12" s="30">
        <v>48.57</v>
      </c>
      <c r="Q12" s="31">
        <v>291.96100000000001</v>
      </c>
    </row>
    <row r="13" spans="1:17" ht="15" thickBot="1" x14ac:dyDescent="0.35">
      <c r="A13" s="32">
        <v>45856</v>
      </c>
      <c r="B13" s="33" t="s">
        <v>25</v>
      </c>
      <c r="C13" s="33" t="s">
        <v>22</v>
      </c>
      <c r="D13" s="33" t="s">
        <v>15</v>
      </c>
      <c r="E13" s="33" t="str">
        <f t="shared" si="0"/>
        <v>Dic+6ppdqhigh</v>
      </c>
      <c r="F13" s="33">
        <v>0.51500000000000001</v>
      </c>
      <c r="G13" s="33">
        <v>0.51200000000000001</v>
      </c>
      <c r="H13" s="33">
        <v>0.51700000000000002</v>
      </c>
      <c r="I13" s="33">
        <f t="shared" si="1"/>
        <v>0.51466666666666672</v>
      </c>
      <c r="J13" s="33">
        <v>0.20899999999999999</v>
      </c>
      <c r="K13" s="33">
        <v>42.957000000000001</v>
      </c>
      <c r="L13" s="33">
        <v>205.649</v>
      </c>
      <c r="M13" s="33">
        <v>0.01</v>
      </c>
      <c r="N13" s="33">
        <v>52.165999999999997</v>
      </c>
      <c r="O13" s="33">
        <v>0.17</v>
      </c>
      <c r="P13" s="33">
        <v>42.012</v>
      </c>
      <c r="Q13" s="34">
        <v>246.81700000000001</v>
      </c>
    </row>
    <row r="14" spans="1:17" x14ac:dyDescent="0.3">
      <c r="A14" s="35">
        <v>45856</v>
      </c>
      <c r="B14" s="36" t="s">
        <v>20</v>
      </c>
      <c r="C14" s="36" t="s">
        <v>21</v>
      </c>
      <c r="D14" s="36" t="s">
        <v>19</v>
      </c>
      <c r="E14" s="36" t="str">
        <f>B14&amp;C14&amp;D14</f>
        <v>Diclownutrients</v>
      </c>
      <c r="F14" s="36">
        <v>0.57899999999999996</v>
      </c>
      <c r="G14" s="36">
        <v>0.56499999999999995</v>
      </c>
      <c r="H14" s="36">
        <v>0.57599999999999996</v>
      </c>
      <c r="I14" s="36">
        <f t="shared" si="1"/>
        <v>0.57333333333333325</v>
      </c>
      <c r="J14" s="36">
        <v>0.22900000000000001</v>
      </c>
      <c r="K14" s="36">
        <v>67.503</v>
      </c>
      <c r="L14" s="36">
        <v>294.76100000000002</v>
      </c>
      <c r="M14" s="36">
        <v>3.0000000000000001E-3</v>
      </c>
      <c r="N14" s="36">
        <v>72.751999999999995</v>
      </c>
      <c r="O14" s="36">
        <v>0.183</v>
      </c>
      <c r="P14" s="36">
        <v>66.180999999999997</v>
      </c>
      <c r="Q14" s="37">
        <v>362.61099999999999</v>
      </c>
    </row>
    <row r="15" spans="1:17" x14ac:dyDescent="0.3">
      <c r="A15" s="38">
        <v>45856</v>
      </c>
      <c r="B15" s="39" t="s">
        <v>20</v>
      </c>
      <c r="C15" s="39" t="s">
        <v>22</v>
      </c>
      <c r="D15" s="39" t="s">
        <v>19</v>
      </c>
      <c r="E15" s="39" t="str">
        <f t="shared" ref="E15:E21" si="2">B15&amp;C15&amp;D15</f>
        <v>Dichighnutrients</v>
      </c>
      <c r="F15" s="39">
        <v>0.60299999999999998</v>
      </c>
      <c r="G15" s="39">
        <v>0.59099999999999997</v>
      </c>
      <c r="H15" s="39">
        <v>0.57699999999999996</v>
      </c>
      <c r="I15" s="39">
        <f t="shared" si="1"/>
        <v>0.59033333333333327</v>
      </c>
      <c r="J15" s="39">
        <v>0.21199999999999999</v>
      </c>
      <c r="K15" s="39">
        <v>58.06</v>
      </c>
      <c r="L15" s="39">
        <v>273.87</v>
      </c>
      <c r="M15" s="39">
        <v>3.5449999999999999</v>
      </c>
      <c r="N15" s="39">
        <v>2717.4929999999999</v>
      </c>
      <c r="O15" s="39">
        <v>0.191</v>
      </c>
      <c r="P15" s="39">
        <v>54.975000000000001</v>
      </c>
      <c r="Q15" s="40">
        <v>287.40499999999997</v>
      </c>
    </row>
    <row r="16" spans="1:17" x14ac:dyDescent="0.3">
      <c r="A16" s="41">
        <v>45856</v>
      </c>
      <c r="B16" s="42" t="s">
        <v>23</v>
      </c>
      <c r="C16" s="42" t="s">
        <v>21</v>
      </c>
      <c r="D16" s="42" t="s">
        <v>19</v>
      </c>
      <c r="E16" s="42" t="str">
        <f t="shared" si="2"/>
        <v>Dic+Carblownutrients</v>
      </c>
      <c r="F16" s="42">
        <v>0.56699999999999995</v>
      </c>
      <c r="G16" s="42">
        <v>0.59299999999999997</v>
      </c>
      <c r="H16" s="42">
        <v>0.58199999999999996</v>
      </c>
      <c r="I16" s="42">
        <f t="shared" si="1"/>
        <v>0.58066666666666666</v>
      </c>
      <c r="J16" s="42">
        <v>0.23</v>
      </c>
      <c r="K16" s="42">
        <v>70.278000000000006</v>
      </c>
      <c r="L16" s="42">
        <v>305.44200000000001</v>
      </c>
      <c r="M16" s="42">
        <v>4.1000000000000002E-2</v>
      </c>
      <c r="N16" s="42">
        <v>115.753</v>
      </c>
      <c r="O16" s="42">
        <v>0.19600000000000001</v>
      </c>
      <c r="P16" s="42">
        <v>69.475999999999999</v>
      </c>
      <c r="Q16" s="43">
        <v>354.423</v>
      </c>
    </row>
    <row r="17" spans="1:17" x14ac:dyDescent="0.3">
      <c r="A17" s="44">
        <v>45856</v>
      </c>
      <c r="B17" s="45" t="s">
        <v>23</v>
      </c>
      <c r="C17" s="45" t="s">
        <v>22</v>
      </c>
      <c r="D17" s="45" t="s">
        <v>19</v>
      </c>
      <c r="E17" s="45" t="str">
        <f t="shared" si="2"/>
        <v>Dic+Carbhighnutrients</v>
      </c>
      <c r="F17" s="45">
        <v>0.59499999999999997</v>
      </c>
      <c r="G17" s="45">
        <v>0.58099999999999996</v>
      </c>
      <c r="H17" s="45">
        <v>0.59599999999999997</v>
      </c>
      <c r="I17" s="45">
        <f t="shared" si="1"/>
        <v>0.59066666666666656</v>
      </c>
      <c r="J17" s="45">
        <v>0.23100000000000001</v>
      </c>
      <c r="K17" s="45">
        <v>72.739000000000004</v>
      </c>
      <c r="L17" s="45">
        <v>314.61900000000003</v>
      </c>
      <c r="M17" s="45">
        <v>1.4999999999999999E-2</v>
      </c>
      <c r="N17" s="45">
        <v>92.323999999999998</v>
      </c>
      <c r="O17" s="45">
        <v>0.191</v>
      </c>
      <c r="P17" s="45">
        <v>72.08</v>
      </c>
      <c r="Q17" s="46">
        <v>378.12200000000001</v>
      </c>
    </row>
    <row r="18" spans="1:17" x14ac:dyDescent="0.3">
      <c r="A18" s="47">
        <v>45856</v>
      </c>
      <c r="B18" s="48" t="s">
        <v>24</v>
      </c>
      <c r="C18" s="48" t="s">
        <v>21</v>
      </c>
      <c r="D18" s="48" t="s">
        <v>19</v>
      </c>
      <c r="E18" s="48" t="str">
        <f t="shared" si="2"/>
        <v>Dic+PFOSlownutrients</v>
      </c>
      <c r="F18" s="48">
        <v>0.59699999999999998</v>
      </c>
      <c r="G18" s="48">
        <v>0.59399999999999997</v>
      </c>
      <c r="H18" s="48">
        <v>0.57799999999999996</v>
      </c>
      <c r="I18" s="48">
        <f t="shared" si="1"/>
        <v>0.58966666666666656</v>
      </c>
      <c r="J18" s="48">
        <v>0.20799999999999999</v>
      </c>
      <c r="K18" s="48">
        <v>53.225999999999999</v>
      </c>
      <c r="L18" s="48">
        <v>255.43299999999999</v>
      </c>
      <c r="M18" s="48">
        <v>1.099</v>
      </c>
      <c r="N18" s="48">
        <v>834.59799999999996</v>
      </c>
      <c r="O18" s="48">
        <v>0.19</v>
      </c>
      <c r="P18" s="48">
        <v>49.578000000000003</v>
      </c>
      <c r="Q18" s="49">
        <v>260.93599999999998</v>
      </c>
    </row>
    <row r="19" spans="1:17" x14ac:dyDescent="0.3">
      <c r="A19" s="50">
        <v>45856</v>
      </c>
      <c r="B19" s="51" t="s">
        <v>24</v>
      </c>
      <c r="C19" s="51" t="s">
        <v>22</v>
      </c>
      <c r="D19" s="51" t="s">
        <v>19</v>
      </c>
      <c r="E19" s="51" t="str">
        <f t="shared" si="2"/>
        <v>Dic+PFOShighnutrients</v>
      </c>
      <c r="F19" s="51">
        <v>0.61399999999999999</v>
      </c>
      <c r="G19" s="51">
        <v>0.59799999999999998</v>
      </c>
      <c r="H19" s="51">
        <v>0.60899999999999999</v>
      </c>
      <c r="I19" s="51">
        <f t="shared" si="1"/>
        <v>0.60699999999999998</v>
      </c>
      <c r="J19" s="51">
        <v>0.24299999999999999</v>
      </c>
      <c r="K19" s="51">
        <v>69.706999999999994</v>
      </c>
      <c r="L19" s="51">
        <v>286.61900000000003</v>
      </c>
      <c r="M19" s="51">
        <v>7.4340000000000002</v>
      </c>
      <c r="N19" s="51">
        <v>5886.585</v>
      </c>
      <c r="O19" s="51">
        <v>0.217</v>
      </c>
      <c r="P19" s="51">
        <v>66.778000000000006</v>
      </c>
      <c r="Q19" s="52">
        <v>307.786</v>
      </c>
    </row>
    <row r="20" spans="1:17" x14ac:dyDescent="0.3">
      <c r="A20" s="53">
        <v>45856</v>
      </c>
      <c r="B20" s="54" t="s">
        <v>25</v>
      </c>
      <c r="C20" s="54" t="s">
        <v>21</v>
      </c>
      <c r="D20" s="54" t="s">
        <v>19</v>
      </c>
      <c r="E20" s="54" t="str">
        <f t="shared" si="2"/>
        <v>Dic+6ppdqlownutrients</v>
      </c>
      <c r="F20" s="54">
        <v>0.59699999999999998</v>
      </c>
      <c r="G20" s="54">
        <v>0.59899999999999998</v>
      </c>
      <c r="H20" s="54">
        <v>0.58799999999999997</v>
      </c>
      <c r="I20" s="54">
        <f t="shared" si="1"/>
        <v>0.59466666666666657</v>
      </c>
      <c r="J20" s="54">
        <v>0.23</v>
      </c>
      <c r="K20" s="54">
        <v>65.331000000000003</v>
      </c>
      <c r="L20" s="54">
        <v>283.654</v>
      </c>
      <c r="M20" s="54">
        <v>3.1549999999999998</v>
      </c>
      <c r="N20" s="54">
        <v>2521.1880000000001</v>
      </c>
      <c r="O20" s="54">
        <v>0.20899999999999999</v>
      </c>
      <c r="P20" s="54">
        <v>62.164000000000001</v>
      </c>
      <c r="Q20" s="55">
        <v>297.16500000000002</v>
      </c>
    </row>
    <row r="21" spans="1:17" ht="15" thickBot="1" x14ac:dyDescent="0.35">
      <c r="A21" s="56">
        <v>45856</v>
      </c>
      <c r="B21" s="57" t="s">
        <v>25</v>
      </c>
      <c r="C21" s="57" t="s">
        <v>22</v>
      </c>
      <c r="D21" s="57" t="s">
        <v>19</v>
      </c>
      <c r="E21" s="57" t="str">
        <f t="shared" si="2"/>
        <v>Dic+6ppdqhighnutrients</v>
      </c>
      <c r="F21" s="57">
        <v>0.60699999999999998</v>
      </c>
      <c r="G21" s="57">
        <v>0.59099999999999997</v>
      </c>
      <c r="H21" s="57">
        <v>0.57399999999999995</v>
      </c>
      <c r="I21" s="57">
        <f t="shared" si="1"/>
        <v>0.59066666666666656</v>
      </c>
      <c r="J21" s="57">
        <v>0.224</v>
      </c>
      <c r="K21" s="57">
        <v>69.63</v>
      </c>
      <c r="L21" s="57">
        <v>310.62400000000002</v>
      </c>
      <c r="M21" s="57">
        <v>0.251</v>
      </c>
      <c r="N21" s="57">
        <v>301.23599999999999</v>
      </c>
      <c r="O21" s="57">
        <v>0.2</v>
      </c>
      <c r="P21" s="57">
        <v>67.81</v>
      </c>
      <c r="Q21" s="58">
        <v>339.82</v>
      </c>
    </row>
    <row r="24" spans="1:17" x14ac:dyDescent="0.3">
      <c r="E24" t="str">
        <f>B24&amp;C24</f>
        <v/>
      </c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83C96-18EB-4EAF-9934-F47B3D3A0422}">
  <dimension ref="A1:AM81"/>
  <sheetViews>
    <sheetView topLeftCell="M1" workbookViewId="0">
      <selection activeCell="X19" sqref="X19"/>
    </sheetView>
  </sheetViews>
  <sheetFormatPr defaultRowHeight="14.4" x14ac:dyDescent="0.3"/>
  <sheetData>
    <row r="1" spans="1:36" ht="15" thickBot="1" x14ac:dyDescent="0.35">
      <c r="A1" s="59" t="s">
        <v>26</v>
      </c>
      <c r="B1" s="3" t="s">
        <v>2</v>
      </c>
      <c r="C1" s="3" t="s">
        <v>3</v>
      </c>
      <c r="D1" s="3" t="s">
        <v>50</v>
      </c>
      <c r="E1" s="3" t="s">
        <v>27</v>
      </c>
      <c r="F1" s="3" t="s">
        <v>28</v>
      </c>
      <c r="G1" s="3" t="s">
        <v>101</v>
      </c>
      <c r="H1" s="3" t="s">
        <v>30</v>
      </c>
      <c r="I1" s="60" t="s">
        <v>31</v>
      </c>
      <c r="J1" t="s">
        <v>121</v>
      </c>
      <c r="K1" t="s">
        <v>122</v>
      </c>
      <c r="P1" t="s">
        <v>127</v>
      </c>
      <c r="Q1" t="s">
        <v>128</v>
      </c>
      <c r="R1" t="s">
        <v>129</v>
      </c>
      <c r="S1" t="s">
        <v>130</v>
      </c>
      <c r="T1" t="s">
        <v>131</v>
      </c>
      <c r="U1" t="s">
        <v>132</v>
      </c>
      <c r="V1" t="s">
        <v>133</v>
      </c>
      <c r="W1" t="s">
        <v>134</v>
      </c>
      <c r="X1" t="s">
        <v>135</v>
      </c>
      <c r="Y1" t="s">
        <v>136</v>
      </c>
      <c r="Z1" t="s">
        <v>137</v>
      </c>
      <c r="AE1" t="s">
        <v>163</v>
      </c>
      <c r="AF1" t="s">
        <v>164</v>
      </c>
      <c r="AG1" t="s">
        <v>165</v>
      </c>
      <c r="AH1" t="s">
        <v>177</v>
      </c>
      <c r="AI1" t="s">
        <v>178</v>
      </c>
      <c r="AJ1" t="s">
        <v>179</v>
      </c>
    </row>
    <row r="2" spans="1:36" x14ac:dyDescent="0.3">
      <c r="A2" s="61" t="s">
        <v>14</v>
      </c>
      <c r="B2" t="s">
        <v>15</v>
      </c>
      <c r="C2" t="s">
        <v>15</v>
      </c>
      <c r="D2" t="s">
        <v>14</v>
      </c>
      <c r="E2" t="s">
        <v>32</v>
      </c>
      <c r="F2">
        <v>3.1</v>
      </c>
      <c r="G2">
        <v>1.45</v>
      </c>
      <c r="H2">
        <v>2.66</v>
      </c>
      <c r="I2" s="7">
        <v>2.42</v>
      </c>
      <c r="J2" t="s">
        <v>28</v>
      </c>
      <c r="K2" s="135" t="s">
        <v>102</v>
      </c>
      <c r="M2" t="s">
        <v>103</v>
      </c>
      <c r="P2">
        <f>AVERAGE(F2:F5)</f>
        <v>3.105</v>
      </c>
      <c r="Q2">
        <f t="shared" ref="Q2:S2" si="0">AVERAGE(G2:G5)</f>
        <v>1.6324999999999998</v>
      </c>
      <c r="R2">
        <f t="shared" si="0"/>
        <v>2.74</v>
      </c>
      <c r="S2">
        <f t="shared" si="0"/>
        <v>2.2575000000000003</v>
      </c>
      <c r="T2">
        <f>_xlfn.STDEV.S(F2:F5)</f>
        <v>0.12288205727444508</v>
      </c>
      <c r="U2">
        <f t="shared" ref="U2:V2" si="1">_xlfn.STDEV.S(G2:G5)</f>
        <v>0.19085334683992491</v>
      </c>
      <c r="V2">
        <f t="shared" si="1"/>
        <v>0.16472198800807789</v>
      </c>
      <c r="W2">
        <f>_xlfn.STDEV.S(I2:I5)</f>
        <v>0.20369503348551884</v>
      </c>
      <c r="AE2">
        <f>I2-F2</f>
        <v>-0.68000000000000016</v>
      </c>
      <c r="AF2">
        <f>AVERAGE(AE2:AE5)</f>
        <v>-0.84749999999999992</v>
      </c>
      <c r="AG2">
        <f>_xlfn.STDEV.S(AE2:AE5)</f>
        <v>0.23556669260883789</v>
      </c>
    </row>
    <row r="3" spans="1:36" x14ac:dyDescent="0.3">
      <c r="A3" s="61" t="s">
        <v>14</v>
      </c>
      <c r="B3" t="s">
        <v>15</v>
      </c>
      <c r="C3" t="s">
        <v>15</v>
      </c>
      <c r="D3" t="s">
        <v>14</v>
      </c>
      <c r="E3" t="s">
        <v>33</v>
      </c>
      <c r="F3">
        <v>3.03</v>
      </c>
      <c r="G3">
        <v>1.57</v>
      </c>
      <c r="H3">
        <v>2.5499999999999998</v>
      </c>
      <c r="I3" s="7">
        <v>1.98</v>
      </c>
      <c r="J3" t="s">
        <v>101</v>
      </c>
      <c r="K3" s="135">
        <v>0.51736111111111116</v>
      </c>
      <c r="AE3">
        <f>I3-F3</f>
        <v>-1.0499999999999998</v>
      </c>
    </row>
    <row r="4" spans="1:36" x14ac:dyDescent="0.3">
      <c r="A4" s="61" t="s">
        <v>14</v>
      </c>
      <c r="B4" t="s">
        <v>15</v>
      </c>
      <c r="C4" t="s">
        <v>15</v>
      </c>
      <c r="D4" t="s">
        <v>14</v>
      </c>
      <c r="E4" t="s">
        <v>34</v>
      </c>
      <c r="F4">
        <v>3.01</v>
      </c>
      <c r="G4">
        <v>1.61</v>
      </c>
      <c r="H4">
        <v>2.84</v>
      </c>
      <c r="I4" s="7">
        <v>2.4</v>
      </c>
      <c r="J4" t="s">
        <v>30</v>
      </c>
      <c r="K4" s="135">
        <v>0.52777777777777779</v>
      </c>
      <c r="AE4">
        <f t="shared" ref="AE4:AE67" si="2">I4-F4</f>
        <v>-0.60999999999999988</v>
      </c>
    </row>
    <row r="5" spans="1:36" ht="15" thickBot="1" x14ac:dyDescent="0.35">
      <c r="A5" s="62" t="s">
        <v>14</v>
      </c>
      <c r="B5" s="9" t="s">
        <v>15</v>
      </c>
      <c r="C5" s="9" t="s">
        <v>15</v>
      </c>
      <c r="D5" s="9" t="s">
        <v>14</v>
      </c>
      <c r="E5" s="9" t="s">
        <v>35</v>
      </c>
      <c r="F5" s="9">
        <v>3.28</v>
      </c>
      <c r="G5" s="9">
        <v>1.9</v>
      </c>
      <c r="H5" s="9">
        <v>2.91</v>
      </c>
      <c r="I5" s="10">
        <v>2.23</v>
      </c>
      <c r="J5" t="s">
        <v>31</v>
      </c>
      <c r="K5" s="135">
        <v>0.52430555555555558</v>
      </c>
      <c r="AE5">
        <f t="shared" si="2"/>
        <v>-1.0499999999999998</v>
      </c>
    </row>
    <row r="6" spans="1:36" x14ac:dyDescent="0.3">
      <c r="A6" s="61" t="s">
        <v>16</v>
      </c>
      <c r="B6" t="s">
        <v>15</v>
      </c>
      <c r="C6" t="s">
        <v>15</v>
      </c>
      <c r="D6" t="s">
        <v>16</v>
      </c>
      <c r="E6" t="s">
        <v>32</v>
      </c>
      <c r="F6">
        <v>3.26</v>
      </c>
      <c r="G6">
        <v>1.76</v>
      </c>
      <c r="H6">
        <v>2.2200000000000002</v>
      </c>
      <c r="I6" s="7">
        <v>3.04</v>
      </c>
      <c r="P6">
        <f>AVERAGE(F6:F9)</f>
        <v>3.335</v>
      </c>
      <c r="Q6">
        <f t="shared" ref="Q6:S6" si="3">AVERAGE(G6:G9)</f>
        <v>1.76</v>
      </c>
      <c r="R6">
        <f t="shared" si="3"/>
        <v>2.3825000000000003</v>
      </c>
      <c r="S6">
        <f t="shared" si="3"/>
        <v>3.1375000000000002</v>
      </c>
      <c r="T6">
        <f>_xlfn.STDEV.S(F6:F9)</f>
        <v>0.1967231557290601</v>
      </c>
      <c r="U6">
        <f t="shared" ref="U6:W6" si="4">_xlfn.STDEV.S(G6:G9)</f>
        <v>3.5590260840104401E-2</v>
      </c>
      <c r="V6">
        <f t="shared" si="4"/>
        <v>0.50268446033935243</v>
      </c>
      <c r="W6">
        <f t="shared" si="4"/>
        <v>1.1692269525916106</v>
      </c>
      <c r="AE6">
        <f t="shared" si="2"/>
        <v>-0.21999999999999975</v>
      </c>
      <c r="AF6">
        <f t="shared" ref="AF6" si="5">AVERAGE(AE6:AE9)</f>
        <v>-0.19750000000000006</v>
      </c>
      <c r="AG6">
        <f t="shared" ref="AG6" si="6">_xlfn.STDEV.S(AE6:AE9)</f>
        <v>1.0083112945249926</v>
      </c>
    </row>
    <row r="7" spans="1:36" x14ac:dyDescent="0.3">
      <c r="A7" s="61" t="s">
        <v>16</v>
      </c>
      <c r="B7" t="s">
        <v>15</v>
      </c>
      <c r="C7" t="s">
        <v>15</v>
      </c>
      <c r="D7" t="s">
        <v>16</v>
      </c>
      <c r="E7" t="s">
        <v>33</v>
      </c>
      <c r="F7">
        <v>3.29</v>
      </c>
      <c r="G7">
        <v>1.78</v>
      </c>
      <c r="H7">
        <v>2.12</v>
      </c>
      <c r="I7" s="7">
        <v>1.99</v>
      </c>
      <c r="AE7">
        <f t="shared" si="2"/>
        <v>-1.3</v>
      </c>
    </row>
    <row r="8" spans="1:36" x14ac:dyDescent="0.3">
      <c r="A8" s="61" t="s">
        <v>16</v>
      </c>
      <c r="B8" t="s">
        <v>15</v>
      </c>
      <c r="C8" t="s">
        <v>15</v>
      </c>
      <c r="D8" t="s">
        <v>16</v>
      </c>
      <c r="E8" t="s">
        <v>34</v>
      </c>
      <c r="F8">
        <v>3.17</v>
      </c>
      <c r="G8">
        <v>1.71</v>
      </c>
      <c r="H8">
        <v>2.06</v>
      </c>
      <c r="I8" s="7">
        <v>2.76</v>
      </c>
      <c r="AE8">
        <f t="shared" si="2"/>
        <v>-0.41000000000000014</v>
      </c>
    </row>
    <row r="9" spans="1:36" ht="15" thickBot="1" x14ac:dyDescent="0.35">
      <c r="A9" s="62" t="s">
        <v>16</v>
      </c>
      <c r="B9" s="9" t="s">
        <v>15</v>
      </c>
      <c r="C9" s="9" t="s">
        <v>15</v>
      </c>
      <c r="D9" s="9" t="s">
        <v>16</v>
      </c>
      <c r="E9" s="9" t="s">
        <v>35</v>
      </c>
      <c r="F9" s="9">
        <v>3.62</v>
      </c>
      <c r="G9" s="9">
        <v>1.79</v>
      </c>
      <c r="H9" s="9">
        <v>3.13</v>
      </c>
      <c r="I9" s="10">
        <v>4.76</v>
      </c>
      <c r="AE9">
        <f t="shared" si="2"/>
        <v>1.1399999999999997</v>
      </c>
    </row>
    <row r="10" spans="1:36" x14ac:dyDescent="0.3">
      <c r="A10" s="61" t="s">
        <v>36</v>
      </c>
      <c r="B10" t="s">
        <v>15</v>
      </c>
      <c r="C10" t="s">
        <v>19</v>
      </c>
      <c r="D10" t="s">
        <v>36</v>
      </c>
      <c r="E10" t="s">
        <v>32</v>
      </c>
      <c r="F10">
        <v>3.05</v>
      </c>
      <c r="G10">
        <v>1.34</v>
      </c>
      <c r="H10">
        <v>3.88</v>
      </c>
      <c r="I10" s="7">
        <v>5.3</v>
      </c>
      <c r="P10">
        <f>AVERAGE(F10:F13)</f>
        <v>3.0824999999999996</v>
      </c>
      <c r="Q10">
        <f t="shared" ref="Q10:S10" si="7">AVERAGE(G10:G13)</f>
        <v>1.5174999999999998</v>
      </c>
      <c r="R10">
        <f t="shared" si="7"/>
        <v>3.66</v>
      </c>
      <c r="S10">
        <f t="shared" si="7"/>
        <v>5.8174999999999999</v>
      </c>
      <c r="T10">
        <f>_xlfn.STDEV.S(F10:F13)</f>
        <v>8.4606934309980356E-2</v>
      </c>
      <c r="U10">
        <f t="shared" ref="U10:W10" si="8">_xlfn.STDEV.S(G10:G13)</f>
        <v>0.1584034932274748</v>
      </c>
      <c r="V10">
        <f t="shared" si="8"/>
        <v>0.3229034943549956</v>
      </c>
      <c r="W10">
        <f t="shared" si="8"/>
        <v>0.65024995194155888</v>
      </c>
      <c r="AE10">
        <f t="shared" si="2"/>
        <v>2.25</v>
      </c>
      <c r="AF10">
        <f t="shared" ref="AF10" si="9">AVERAGE(AE10:AE13)</f>
        <v>2.7349999999999999</v>
      </c>
      <c r="AG10">
        <f>_xlfn.STDEV.S(AE10:AE13)</f>
        <v>0.56999999999999962</v>
      </c>
    </row>
    <row r="11" spans="1:36" x14ac:dyDescent="0.3">
      <c r="A11" s="61" t="s">
        <v>36</v>
      </c>
      <c r="B11" t="s">
        <v>15</v>
      </c>
      <c r="C11" t="s">
        <v>19</v>
      </c>
      <c r="D11" t="s">
        <v>36</v>
      </c>
      <c r="E11" t="s">
        <v>33</v>
      </c>
      <c r="F11">
        <v>3.17</v>
      </c>
      <c r="G11">
        <v>1.47</v>
      </c>
      <c r="H11">
        <v>3.54</v>
      </c>
      <c r="I11" s="7">
        <v>6.52</v>
      </c>
      <c r="AE11">
        <f t="shared" si="2"/>
        <v>3.3499999999999996</v>
      </c>
    </row>
    <row r="12" spans="1:36" x14ac:dyDescent="0.3">
      <c r="A12" s="61" t="s">
        <v>36</v>
      </c>
      <c r="B12" t="s">
        <v>15</v>
      </c>
      <c r="C12" t="s">
        <v>19</v>
      </c>
      <c r="D12" t="s">
        <v>36</v>
      </c>
      <c r="E12" t="s">
        <v>34</v>
      </c>
      <c r="F12">
        <v>2.98</v>
      </c>
      <c r="G12">
        <v>1.54</v>
      </c>
      <c r="H12">
        <v>3.26</v>
      </c>
      <c r="I12" s="7">
        <v>5.23</v>
      </c>
      <c r="AE12">
        <f t="shared" si="2"/>
        <v>2.2500000000000004</v>
      </c>
    </row>
    <row r="13" spans="1:36" ht="15" thickBot="1" x14ac:dyDescent="0.35">
      <c r="A13" s="62" t="s">
        <v>36</v>
      </c>
      <c r="B13" s="9" t="s">
        <v>15</v>
      </c>
      <c r="C13" s="9" t="s">
        <v>19</v>
      </c>
      <c r="D13" s="9" t="s">
        <v>36</v>
      </c>
      <c r="E13" s="9" t="s">
        <v>35</v>
      </c>
      <c r="F13" s="9">
        <v>3.13</v>
      </c>
      <c r="G13" s="9">
        <v>1.72</v>
      </c>
      <c r="H13" s="9">
        <v>3.96</v>
      </c>
      <c r="I13" s="10">
        <v>6.22</v>
      </c>
      <c r="AE13">
        <f t="shared" si="2"/>
        <v>3.09</v>
      </c>
    </row>
    <row r="14" spans="1:36" x14ac:dyDescent="0.3">
      <c r="A14" s="61" t="s">
        <v>37</v>
      </c>
      <c r="B14" t="s">
        <v>15</v>
      </c>
      <c r="C14" t="s">
        <v>19</v>
      </c>
      <c r="D14" t="s">
        <v>37</v>
      </c>
      <c r="E14" t="s">
        <v>32</v>
      </c>
      <c r="F14">
        <v>2.93</v>
      </c>
      <c r="G14">
        <v>1.84</v>
      </c>
      <c r="H14">
        <v>5.43</v>
      </c>
      <c r="I14" s="7">
        <v>3.5</v>
      </c>
      <c r="J14">
        <v>3.8</v>
      </c>
      <c r="P14">
        <f>AVERAGE(F14:F17)</f>
        <v>3.0500000000000003</v>
      </c>
      <c r="Q14">
        <f t="shared" ref="Q14:S14" si="10">AVERAGE(G14:G17)</f>
        <v>2.0625</v>
      </c>
      <c r="R14">
        <f t="shared" si="10"/>
        <v>5.3400000000000007</v>
      </c>
      <c r="S14">
        <f t="shared" si="10"/>
        <v>3.6524999999999999</v>
      </c>
      <c r="T14">
        <f>_xlfn.STDEV.S(F14:F17)</f>
        <v>0.18239152027072592</v>
      </c>
      <c r="U14">
        <f t="shared" ref="U14:W14" si="11">_xlfn.STDEV.S(G14:G17)</f>
        <v>0.33069371529155611</v>
      </c>
      <c r="V14">
        <f t="shared" si="11"/>
        <v>0.4873055167619863</v>
      </c>
      <c r="W14">
        <f t="shared" si="11"/>
        <v>0.89930992062432902</v>
      </c>
      <c r="AE14">
        <f t="shared" si="2"/>
        <v>0.56999999999999984</v>
      </c>
      <c r="AF14">
        <f t="shared" ref="AF14" si="12">AVERAGE(AE14:AE17)</f>
        <v>0.60250000000000004</v>
      </c>
      <c r="AG14">
        <f t="shared" ref="AG14" si="13">_xlfn.STDEV.S(AE14:AE17)</f>
        <v>0.93891337903628458</v>
      </c>
    </row>
    <row r="15" spans="1:36" x14ac:dyDescent="0.3">
      <c r="A15" s="61" t="s">
        <v>37</v>
      </c>
      <c r="B15" t="s">
        <v>15</v>
      </c>
      <c r="C15" t="s">
        <v>19</v>
      </c>
      <c r="D15" t="s">
        <v>37</v>
      </c>
      <c r="E15" t="s">
        <v>33</v>
      </c>
      <c r="F15">
        <v>2.95</v>
      </c>
      <c r="G15">
        <v>1.84</v>
      </c>
      <c r="H15">
        <v>5.37</v>
      </c>
      <c r="I15" s="7">
        <v>2.86</v>
      </c>
      <c r="J15">
        <v>2.72</v>
      </c>
      <c r="AE15">
        <f t="shared" si="2"/>
        <v>-9.0000000000000302E-2</v>
      </c>
    </row>
    <row r="16" spans="1:36" x14ac:dyDescent="0.3">
      <c r="A16" s="61" t="s">
        <v>37</v>
      </c>
      <c r="B16" t="s">
        <v>15</v>
      </c>
      <c r="C16" t="s">
        <v>19</v>
      </c>
      <c r="D16" t="s">
        <v>37</v>
      </c>
      <c r="E16" t="s">
        <v>34</v>
      </c>
      <c r="F16">
        <v>3.32</v>
      </c>
      <c r="G16">
        <v>2.0299999999999998</v>
      </c>
      <c r="H16">
        <v>4.6900000000000004</v>
      </c>
      <c r="I16" s="7">
        <v>3.31</v>
      </c>
      <c r="J16">
        <v>3.09</v>
      </c>
      <c r="AE16">
        <f t="shared" si="2"/>
        <v>-9.9999999999997868E-3</v>
      </c>
    </row>
    <row r="17" spans="1:39" ht="15" thickBot="1" x14ac:dyDescent="0.35">
      <c r="A17" s="62" t="s">
        <v>37</v>
      </c>
      <c r="B17" s="9" t="s">
        <v>15</v>
      </c>
      <c r="C17" s="9" t="s">
        <v>19</v>
      </c>
      <c r="D17" s="9" t="s">
        <v>37</v>
      </c>
      <c r="E17" s="9" t="s">
        <v>35</v>
      </c>
      <c r="F17" s="9">
        <v>3</v>
      </c>
      <c r="G17" s="9">
        <v>2.54</v>
      </c>
      <c r="H17" s="9">
        <v>5.87</v>
      </c>
      <c r="I17" s="10">
        <v>4.9400000000000004</v>
      </c>
      <c r="J17">
        <v>4.9000000000000004</v>
      </c>
      <c r="AE17">
        <f t="shared" si="2"/>
        <v>1.9400000000000004</v>
      </c>
    </row>
    <row r="18" spans="1:39" x14ac:dyDescent="0.3">
      <c r="A18" s="63" t="s">
        <v>98</v>
      </c>
      <c r="B18" s="64" t="s">
        <v>21</v>
      </c>
      <c r="C18" s="64" t="s">
        <v>15</v>
      </c>
      <c r="D18" s="64" t="str">
        <f t="shared" ref="D18:D49" si="14">A18&amp;B18</f>
        <v>PFOSlow</v>
      </c>
      <c r="E18" s="64" t="s">
        <v>32</v>
      </c>
      <c r="F18" s="64">
        <v>3.23</v>
      </c>
      <c r="G18" s="64">
        <v>1.66</v>
      </c>
      <c r="H18" s="64">
        <v>3.87</v>
      </c>
      <c r="I18" s="65">
        <v>4.8899999999999997</v>
      </c>
      <c r="P18">
        <f>AVERAGE(F18:F21)</f>
        <v>3.16</v>
      </c>
      <c r="Q18">
        <f t="shared" ref="Q18:S18" si="15">AVERAGE(G18:G21)</f>
        <v>1.5249999999999999</v>
      </c>
      <c r="R18">
        <f t="shared" si="15"/>
        <v>2.86</v>
      </c>
      <c r="S18">
        <f t="shared" si="15"/>
        <v>3.4999999999999996</v>
      </c>
      <c r="T18">
        <f>_xlfn.STDEV.S(F18:F21)</f>
        <v>0.19899748742132403</v>
      </c>
      <c r="U18">
        <f t="shared" ref="U18:W18" si="16">_xlfn.STDEV.S(G18:G21)</f>
        <v>0.10082988974836114</v>
      </c>
      <c r="V18">
        <f t="shared" si="16"/>
        <v>0.69055533208184594</v>
      </c>
      <c r="W18">
        <f t="shared" si="16"/>
        <v>0.95278539031620302</v>
      </c>
      <c r="X18">
        <f>((I18-S$6)/S$6)*100</f>
        <v>55.856573705179272</v>
      </c>
      <c r="Y18">
        <f>AVERAGE(X18:X21)</f>
        <v>11.55378486055776</v>
      </c>
      <c r="Z18">
        <f>_xlfn.STDEV.S(X18:X21)</f>
        <v>30.367661842747516</v>
      </c>
      <c r="AA18">
        <f>((I18-$S$2)/$S$2)*100</f>
        <v>116.61129568106307</v>
      </c>
      <c r="AB18">
        <f>AVERAGE(AA18:AA21)</f>
        <v>55.038759689922458</v>
      </c>
      <c r="AC18">
        <f>_xlfn.STDEV.S(AA18:AA21)</f>
        <v>42.205332904372234</v>
      </c>
      <c r="AE18">
        <f t="shared" si="2"/>
        <v>1.6599999999999997</v>
      </c>
      <c r="AF18">
        <f t="shared" ref="AF18" si="17">AVERAGE(AE18:AE21)</f>
        <v>0.33999999999999986</v>
      </c>
      <c r="AG18">
        <f t="shared" ref="AG18" si="18">_xlfn.STDEV.S(AE18:AE21)</f>
        <v>0.95229547235438783</v>
      </c>
      <c r="AH18">
        <f>((AE18-$AF$6)/$AF$6)*100</f>
        <v>-940.50632911392358</v>
      </c>
      <c r="AI18">
        <f>AVERAGE(AH18:AH21)</f>
        <v>-272.15189873417705</v>
      </c>
      <c r="AJ18">
        <f>_xlfn.STDEV.S(AH18:AH21)</f>
        <v>482.17492271108227</v>
      </c>
      <c r="AK18">
        <f>((AE18-$AF$2)/$AF$2)*100</f>
        <v>-295.87020648967547</v>
      </c>
      <c r="AL18">
        <f>AVERAGE(AK18:AK21)</f>
        <v>-140.11799410029496</v>
      </c>
      <c r="AM18">
        <f>_xlfn.STDEV.S(AK18:AK21)</f>
        <v>112.36524747544399</v>
      </c>
    </row>
    <row r="19" spans="1:39" x14ac:dyDescent="0.3">
      <c r="A19" s="63" t="s">
        <v>98</v>
      </c>
      <c r="B19" s="64" t="s">
        <v>21</v>
      </c>
      <c r="C19" s="64" t="s">
        <v>15</v>
      </c>
      <c r="D19" s="64" t="str">
        <f t="shared" si="14"/>
        <v>PFOSlow</v>
      </c>
      <c r="E19" s="64" t="s">
        <v>33</v>
      </c>
      <c r="F19" s="64">
        <v>3.41</v>
      </c>
      <c r="G19" s="64">
        <v>1.47</v>
      </c>
      <c r="H19" s="64">
        <v>2.56</v>
      </c>
      <c r="I19" s="65">
        <v>2.88</v>
      </c>
      <c r="X19">
        <f t="shared" ref="X19:X49" si="19">((I19-S$6)/S$6)*100</f>
        <v>-8.2071713147410446</v>
      </c>
      <c r="AA19">
        <f t="shared" ref="AA19:AA49" si="20">((I19-$S$2)/$S$2)*100</f>
        <v>27.574750830564764</v>
      </c>
      <c r="AE19">
        <f t="shared" si="2"/>
        <v>-0.53000000000000025</v>
      </c>
      <c r="AH19">
        <f t="shared" ref="AH19:AH49" si="21">((AE19-$AF$6)/$AF$6)*100</f>
        <v>168.35443037974687</v>
      </c>
      <c r="AK19">
        <f t="shared" ref="AK19:AK49" si="22">((AE19-$AF$2)/$AF$2)*100</f>
        <v>-37.463126843657776</v>
      </c>
    </row>
    <row r="20" spans="1:39" x14ac:dyDescent="0.3">
      <c r="A20" s="63" t="s">
        <v>98</v>
      </c>
      <c r="B20" s="64" t="s">
        <v>21</v>
      </c>
      <c r="C20" s="64" t="s">
        <v>15</v>
      </c>
      <c r="D20" s="64" t="str">
        <f t="shared" si="14"/>
        <v>PFOSlow</v>
      </c>
      <c r="E20" s="64" t="s">
        <v>34</v>
      </c>
      <c r="F20" s="64">
        <v>3.01</v>
      </c>
      <c r="G20" s="64">
        <v>1.43</v>
      </c>
      <c r="H20" s="64">
        <v>2.3199999999999998</v>
      </c>
      <c r="I20" s="65">
        <v>2.88</v>
      </c>
      <c r="X20">
        <f t="shared" si="19"/>
        <v>-8.2071713147410446</v>
      </c>
      <c r="AA20">
        <f t="shared" si="20"/>
        <v>27.574750830564764</v>
      </c>
      <c r="AE20">
        <f t="shared" si="2"/>
        <v>-0.12999999999999989</v>
      </c>
      <c r="AH20">
        <f t="shared" si="21"/>
        <v>-34.177215189873493</v>
      </c>
      <c r="AK20">
        <f t="shared" si="22"/>
        <v>-84.660766961651916</v>
      </c>
    </row>
    <row r="21" spans="1:39" ht="15" thickBot="1" x14ac:dyDescent="0.35">
      <c r="A21" s="136" t="s">
        <v>98</v>
      </c>
      <c r="B21" s="67" t="s">
        <v>21</v>
      </c>
      <c r="C21" s="67" t="s">
        <v>15</v>
      </c>
      <c r="D21" s="67" t="str">
        <f t="shared" si="14"/>
        <v>PFOSlow</v>
      </c>
      <c r="E21" s="67" t="s">
        <v>35</v>
      </c>
      <c r="F21" s="67">
        <v>2.99</v>
      </c>
      <c r="G21" s="67">
        <v>1.54</v>
      </c>
      <c r="H21" s="67">
        <v>2.69</v>
      </c>
      <c r="I21" s="68">
        <v>3.35</v>
      </c>
      <c r="X21">
        <f t="shared" si="19"/>
        <v>6.7729083665338612</v>
      </c>
      <c r="AA21">
        <f t="shared" si="20"/>
        <v>48.39424141749722</v>
      </c>
      <c r="AE21">
        <f t="shared" si="2"/>
        <v>0.35999999999999988</v>
      </c>
      <c r="AH21">
        <f t="shared" si="21"/>
        <v>-282.27848101265806</v>
      </c>
      <c r="AK21">
        <f t="shared" si="22"/>
        <v>-142.47787610619469</v>
      </c>
    </row>
    <row r="22" spans="1:39" x14ac:dyDescent="0.3">
      <c r="A22" s="69" t="s">
        <v>98</v>
      </c>
      <c r="B22" s="15" t="s">
        <v>22</v>
      </c>
      <c r="C22" s="15" t="s">
        <v>15</v>
      </c>
      <c r="D22" s="15" t="str">
        <f t="shared" si="14"/>
        <v>PFOShigh</v>
      </c>
      <c r="E22" s="15" t="s">
        <v>32</v>
      </c>
      <c r="F22" s="15">
        <v>3.05</v>
      </c>
      <c r="G22" s="15">
        <v>1.56</v>
      </c>
      <c r="H22" s="15">
        <v>1.65</v>
      </c>
      <c r="I22" s="16">
        <v>2.65</v>
      </c>
      <c r="P22">
        <f>AVERAGE(F22:F25)</f>
        <v>3.25</v>
      </c>
      <c r="Q22">
        <f t="shared" ref="Q22:S22" si="23">AVERAGE(G22:G25)</f>
        <v>1.7225000000000001</v>
      </c>
      <c r="R22">
        <f t="shared" si="23"/>
        <v>1.9975000000000001</v>
      </c>
      <c r="S22">
        <f t="shared" si="23"/>
        <v>2.9375</v>
      </c>
      <c r="T22">
        <f>_xlfn.STDEV.S(F22:F25)</f>
        <v>0.22730302828309754</v>
      </c>
      <c r="U22">
        <f t="shared" ref="U22:W22" si="24">_xlfn.STDEV.S(G22:G25)</f>
        <v>0.21234798484248935</v>
      </c>
      <c r="V22">
        <f t="shared" si="24"/>
        <v>0.27633011658762913</v>
      </c>
      <c r="W22">
        <f t="shared" si="24"/>
        <v>0.50222007128349433</v>
      </c>
      <c r="X22">
        <f t="shared" si="19"/>
        <v>-15.537848605577697</v>
      </c>
      <c r="Y22">
        <f>AVERAGE(X22:X25)</f>
        <v>-6.3745019920318819</v>
      </c>
      <c r="Z22">
        <f>_xlfn.STDEV.S(X22:X25)</f>
        <v>16.007014224175176</v>
      </c>
      <c r="AA22">
        <f t="shared" si="20"/>
        <v>17.386489479512719</v>
      </c>
      <c r="AB22">
        <f>AVERAGE(AA22:AA25)</f>
        <v>30.121816168327776</v>
      </c>
      <c r="AC22">
        <f>_xlfn.STDEV.S(AA22:AA25)</f>
        <v>22.246736269479339</v>
      </c>
      <c r="AE22">
        <f t="shared" si="2"/>
        <v>-0.39999999999999991</v>
      </c>
      <c r="AF22">
        <f t="shared" ref="AF22" si="25">AVERAGE(AE22:AE25)</f>
        <v>-0.3125</v>
      </c>
      <c r="AG22">
        <f t="shared" ref="AG22" si="26">_xlfn.STDEV.S(AE22:AE25)</f>
        <v>0.28790912918257167</v>
      </c>
      <c r="AH22">
        <f t="shared" si="21"/>
        <v>102.53164556962014</v>
      </c>
      <c r="AI22">
        <f t="shared" ref="AI22" si="27">AVERAGE(AH22:AH25)</f>
        <v>58.227848101265785</v>
      </c>
      <c r="AJ22">
        <f t="shared" ref="AJ22" si="28">_xlfn.STDEV.S(AH22:AH25)</f>
        <v>145.7767742696565</v>
      </c>
      <c r="AK22">
        <f t="shared" si="22"/>
        <v>-52.802359882005902</v>
      </c>
      <c r="AL22">
        <f t="shared" ref="AL22" si="29">AVERAGE(AK22:AK25)</f>
        <v>-63.126843657817105</v>
      </c>
      <c r="AM22">
        <f t="shared" ref="AM22" si="30">_xlfn.STDEV.S(AK22:AK25)</f>
        <v>33.97157866461022</v>
      </c>
    </row>
    <row r="23" spans="1:39" x14ac:dyDescent="0.3">
      <c r="A23" s="69" t="s">
        <v>98</v>
      </c>
      <c r="B23" s="15" t="s">
        <v>22</v>
      </c>
      <c r="C23" s="15" t="s">
        <v>15</v>
      </c>
      <c r="D23" s="15" t="str">
        <f t="shared" si="14"/>
        <v>PFOShigh</v>
      </c>
      <c r="E23" s="15" t="s">
        <v>33</v>
      </c>
      <c r="F23" s="15">
        <v>3.1</v>
      </c>
      <c r="G23" s="15">
        <v>1.58</v>
      </c>
      <c r="H23" s="15">
        <v>1.91</v>
      </c>
      <c r="I23" s="16">
        <v>2.5299999999999998</v>
      </c>
      <c r="X23">
        <f t="shared" si="19"/>
        <v>-19.362549800796824</v>
      </c>
      <c r="AA23">
        <f t="shared" si="20"/>
        <v>12.070874861572513</v>
      </c>
      <c r="AE23">
        <f t="shared" si="2"/>
        <v>-0.57000000000000028</v>
      </c>
      <c r="AH23">
        <f t="shared" si="21"/>
        <v>188.60759493670892</v>
      </c>
      <c r="AK23">
        <f t="shared" si="22"/>
        <v>-32.74336283185837</v>
      </c>
    </row>
    <row r="24" spans="1:39" x14ac:dyDescent="0.3">
      <c r="A24" s="69" t="s">
        <v>98</v>
      </c>
      <c r="B24" s="15" t="s">
        <v>22</v>
      </c>
      <c r="C24" s="15" t="s">
        <v>15</v>
      </c>
      <c r="D24" s="15" t="str">
        <f t="shared" si="14"/>
        <v>PFOShigh</v>
      </c>
      <c r="E24" s="15" t="s">
        <v>34</v>
      </c>
      <c r="F24" s="15">
        <v>3.3</v>
      </c>
      <c r="G24" s="15">
        <v>1.73</v>
      </c>
      <c r="H24" s="15">
        <v>2.27</v>
      </c>
      <c r="I24" s="16">
        <v>2.92</v>
      </c>
      <c r="X24">
        <f t="shared" si="19"/>
        <v>-6.9322709163346694</v>
      </c>
      <c r="AA24">
        <f t="shared" si="20"/>
        <v>29.346622369878165</v>
      </c>
      <c r="AE24">
        <f t="shared" si="2"/>
        <v>-0.37999999999999989</v>
      </c>
      <c r="AH24">
        <f t="shared" si="21"/>
        <v>92.405063291139129</v>
      </c>
      <c r="AK24">
        <f t="shared" si="22"/>
        <v>-55.162241887905616</v>
      </c>
    </row>
    <row r="25" spans="1:39" ht="15" thickBot="1" x14ac:dyDescent="0.35">
      <c r="A25" s="137" t="s">
        <v>98</v>
      </c>
      <c r="B25" s="71" t="s">
        <v>22</v>
      </c>
      <c r="C25" s="71" t="s">
        <v>15</v>
      </c>
      <c r="D25" s="71" t="str">
        <f t="shared" si="14"/>
        <v>PFOShigh</v>
      </c>
      <c r="E25" s="71" t="s">
        <v>35</v>
      </c>
      <c r="F25" s="71">
        <v>3.55</v>
      </c>
      <c r="G25" s="71">
        <v>2.02</v>
      </c>
      <c r="H25" s="71">
        <v>2.16</v>
      </c>
      <c r="I25" s="72">
        <v>3.65</v>
      </c>
      <c r="X25">
        <f>((I25-S$6)/S$6)*100</f>
        <v>16.334661354581666</v>
      </c>
      <c r="AA25">
        <f t="shared" si="20"/>
        <v>61.683277962347702</v>
      </c>
      <c r="AE25">
        <f t="shared" si="2"/>
        <v>0.10000000000000009</v>
      </c>
      <c r="AH25">
        <f t="shared" si="21"/>
        <v>-150.63291139240508</v>
      </c>
      <c r="AK25">
        <f t="shared" si="22"/>
        <v>-111.79941002949853</v>
      </c>
    </row>
    <row r="26" spans="1:39" x14ac:dyDescent="0.3">
      <c r="A26" s="73" t="s">
        <v>97</v>
      </c>
      <c r="B26" s="18" t="s">
        <v>21</v>
      </c>
      <c r="C26" s="18" t="s">
        <v>15</v>
      </c>
      <c r="D26" s="18" t="str">
        <f t="shared" si="14"/>
        <v>PFOS+Carblow</v>
      </c>
      <c r="E26" s="18" t="s">
        <v>32</v>
      </c>
      <c r="F26" s="18">
        <v>3.02</v>
      </c>
      <c r="G26" s="18">
        <v>2.06</v>
      </c>
      <c r="H26" s="18">
        <v>2.2200000000000002</v>
      </c>
      <c r="I26" s="19">
        <v>3.06</v>
      </c>
      <c r="P26">
        <f>AVERAGE(F26:F29)</f>
        <v>3.0749999999999997</v>
      </c>
      <c r="Q26">
        <f t="shared" ref="Q26:S26" si="31">AVERAGE(G26:G29)</f>
        <v>2.2400000000000002</v>
      </c>
      <c r="R26">
        <f t="shared" si="31"/>
        <v>2.3475000000000001</v>
      </c>
      <c r="S26">
        <f t="shared" si="31"/>
        <v>3.5025000000000004</v>
      </c>
      <c r="T26">
        <f>_xlfn.STDEV.S(F26:F29)</f>
        <v>0.13964240043768927</v>
      </c>
      <c r="U26">
        <f t="shared" ref="U26:W26" si="32">_xlfn.STDEV.S(G26:G29)</f>
        <v>0.16990193249832883</v>
      </c>
      <c r="V26">
        <f t="shared" si="32"/>
        <v>0.18463928798245149</v>
      </c>
      <c r="W26">
        <f t="shared" si="32"/>
        <v>0.40532908440755477</v>
      </c>
      <c r="X26">
        <f t="shared" si="19"/>
        <v>-2.4701195219123546</v>
      </c>
      <c r="Y26">
        <f>AVERAGE(X26:X29)</f>
        <v>11.633466135458159</v>
      </c>
      <c r="Z26">
        <f>_xlfn.STDEV.S(X26:X29)</f>
        <v>12.918855279922063</v>
      </c>
      <c r="AA26">
        <f t="shared" si="20"/>
        <v>35.548172757475065</v>
      </c>
      <c r="AB26">
        <f>AVERAGE(AA26:AA29)</f>
        <v>55.149501661129548</v>
      </c>
      <c r="AC26">
        <f>_xlfn.STDEV.S(AA26:AA29)</f>
        <v>17.954776717942611</v>
      </c>
      <c r="AE26">
        <f t="shared" si="2"/>
        <v>4.0000000000000036E-2</v>
      </c>
      <c r="AF26">
        <f>AVERAGE(AE26:AE29)</f>
        <v>0.42749999999999999</v>
      </c>
      <c r="AG26">
        <f t="shared" ref="AG26" si="33">_xlfn.STDEV.S(AE26:AE29)</f>
        <v>0.35621856586464812</v>
      </c>
      <c r="AH26">
        <f t="shared" si="21"/>
        <v>-120.25316455696205</v>
      </c>
      <c r="AI26">
        <f t="shared" ref="AI26" si="34">AVERAGE(AH26:AH29)</f>
        <v>-316.45569620253161</v>
      </c>
      <c r="AJ26">
        <f t="shared" ref="AJ26" si="35">_xlfn.STDEV.S(AH26:AH29)</f>
        <v>180.36383081754329</v>
      </c>
      <c r="AK26">
        <f>((AE26-$AF$2)/$AF$2)*100</f>
        <v>-104.71976401179941</v>
      </c>
      <c r="AL26">
        <f t="shared" ref="AL26" si="36">AVERAGE(AK26:AK29)</f>
        <v>-150.44247787610621</v>
      </c>
      <c r="AM26">
        <f t="shared" ref="AM26" si="37">_xlfn.STDEV.S(AK26:AK29)</f>
        <v>42.031689187569043</v>
      </c>
    </row>
    <row r="27" spans="1:39" x14ac:dyDescent="0.3">
      <c r="A27" s="73" t="s">
        <v>97</v>
      </c>
      <c r="B27" s="18" t="s">
        <v>21</v>
      </c>
      <c r="C27" s="18" t="s">
        <v>15</v>
      </c>
      <c r="D27" s="18" t="str">
        <f t="shared" si="14"/>
        <v>PFOS+Carblow</v>
      </c>
      <c r="E27" s="18" t="s">
        <v>33</v>
      </c>
      <c r="F27" s="18">
        <v>2.93</v>
      </c>
      <c r="G27" s="18">
        <v>2.2200000000000002</v>
      </c>
      <c r="H27" s="18">
        <v>2.2000000000000002</v>
      </c>
      <c r="I27" s="19">
        <v>3.67</v>
      </c>
      <c r="X27">
        <f t="shared" si="19"/>
        <v>16.972111553784853</v>
      </c>
      <c r="AA27">
        <f t="shared" si="20"/>
        <v>62.5692137320044</v>
      </c>
      <c r="AE27">
        <f t="shared" si="2"/>
        <v>0.73999999999999977</v>
      </c>
      <c r="AH27">
        <f t="shared" si="21"/>
        <v>-474.68354430379725</v>
      </c>
      <c r="AK27">
        <f t="shared" si="22"/>
        <v>-187.31563421828906</v>
      </c>
    </row>
    <row r="28" spans="1:39" x14ac:dyDescent="0.3">
      <c r="A28" s="73" t="s">
        <v>97</v>
      </c>
      <c r="B28" s="18" t="s">
        <v>21</v>
      </c>
      <c r="C28" s="18" t="s">
        <v>15</v>
      </c>
      <c r="D28" s="18" t="str">
        <f t="shared" si="14"/>
        <v>PFOS+Carblow</v>
      </c>
      <c r="E28" s="18" t="s">
        <v>34</v>
      </c>
      <c r="F28" s="18">
        <v>3.09</v>
      </c>
      <c r="G28" s="18">
        <v>2.4700000000000002</v>
      </c>
      <c r="H28" s="18">
        <v>2.37</v>
      </c>
      <c r="I28" s="19">
        <v>3.3</v>
      </c>
      <c r="X28">
        <f t="shared" si="19"/>
        <v>5.1792828685258847</v>
      </c>
      <c r="AA28">
        <f t="shared" si="20"/>
        <v>46.179401993355455</v>
      </c>
      <c r="AE28">
        <f t="shared" si="2"/>
        <v>0.20999999999999996</v>
      </c>
      <c r="AH28">
        <f t="shared" si="21"/>
        <v>-206.32911392405057</v>
      </c>
      <c r="AK28">
        <f>((AE28-$AF$2)/$AF$2)*100</f>
        <v>-124.77876106194689</v>
      </c>
    </row>
    <row r="29" spans="1:39" ht="15" thickBot="1" x14ac:dyDescent="0.35">
      <c r="A29" s="138" t="s">
        <v>97</v>
      </c>
      <c r="B29" s="75" t="s">
        <v>21</v>
      </c>
      <c r="C29" s="75" t="s">
        <v>15</v>
      </c>
      <c r="D29" s="75" t="str">
        <f t="shared" si="14"/>
        <v>PFOS+Carblow</v>
      </c>
      <c r="E29" s="75" t="s">
        <v>35</v>
      </c>
      <c r="F29" s="75">
        <v>3.26</v>
      </c>
      <c r="G29" s="75">
        <v>2.21</v>
      </c>
      <c r="H29" s="75">
        <v>2.6</v>
      </c>
      <c r="I29" s="76">
        <v>3.98</v>
      </c>
      <c r="X29">
        <f t="shared" si="19"/>
        <v>26.852589641434253</v>
      </c>
      <c r="AA29">
        <f t="shared" si="20"/>
        <v>76.301218161683266</v>
      </c>
      <c r="AE29">
        <f t="shared" si="2"/>
        <v>0.7200000000000002</v>
      </c>
      <c r="AH29">
        <f t="shared" si="21"/>
        <v>-464.55696202531647</v>
      </c>
      <c r="AK29">
        <f t="shared" si="22"/>
        <v>-184.9557522123894</v>
      </c>
    </row>
    <row r="30" spans="1:39" x14ac:dyDescent="0.3">
      <c r="A30" s="77" t="s">
        <v>97</v>
      </c>
      <c r="B30" s="21" t="s">
        <v>22</v>
      </c>
      <c r="C30" s="21" t="s">
        <v>15</v>
      </c>
      <c r="D30" s="21" t="str">
        <f t="shared" si="14"/>
        <v>PFOS+Carbhigh</v>
      </c>
      <c r="E30" s="21" t="s">
        <v>32</v>
      </c>
      <c r="F30" s="21">
        <v>3.06</v>
      </c>
      <c r="G30" s="21">
        <v>1.74</v>
      </c>
      <c r="H30" s="21">
        <v>2.39</v>
      </c>
      <c r="I30" s="22">
        <v>3.44</v>
      </c>
      <c r="P30">
        <f>AVERAGE(F30:F33)</f>
        <v>3.3325000000000005</v>
      </c>
      <c r="Q30">
        <f t="shared" ref="Q30:S30" si="38">AVERAGE(G30:G33)</f>
        <v>1.8900000000000001</v>
      </c>
      <c r="R30">
        <f t="shared" si="38"/>
        <v>2.7675000000000001</v>
      </c>
      <c r="S30">
        <f t="shared" si="38"/>
        <v>3.3400000000000003</v>
      </c>
      <c r="T30">
        <f>_xlfn.STDEV.S(F30:F33)</f>
        <v>0.18839232114570564</v>
      </c>
      <c r="U30">
        <f t="shared" ref="U30:W30" si="39">_xlfn.STDEV.S(G30:G33)</f>
        <v>0.13589211407092999</v>
      </c>
      <c r="V30">
        <f t="shared" si="39"/>
        <v>0.25824729750118713</v>
      </c>
      <c r="W30">
        <f t="shared" si="39"/>
        <v>0.2679552201394852</v>
      </c>
      <c r="X30">
        <f t="shared" si="19"/>
        <v>9.6414342629481986</v>
      </c>
      <c r="Y30">
        <f>AVERAGE(X30:X33)</f>
        <v>6.454183266932267</v>
      </c>
      <c r="Z30">
        <f>_xlfn.STDEV.S(X30:X33)</f>
        <v>8.5404054227724338</v>
      </c>
      <c r="AA30">
        <f t="shared" si="20"/>
        <v>52.380952380952358</v>
      </c>
      <c r="AB30">
        <f>AVERAGE(AA30:AA33)</f>
        <v>47.951273532668864</v>
      </c>
      <c r="AC30">
        <f>_xlfn.STDEV.S(AA30:AA33)</f>
        <v>11.869555709390257</v>
      </c>
      <c r="AE30">
        <f>I30-F30</f>
        <v>0.37999999999999989</v>
      </c>
      <c r="AF30">
        <f t="shared" ref="AF30" si="40">AVERAGE(AE30:AE33)</f>
        <v>7.4999999999999512E-3</v>
      </c>
      <c r="AG30">
        <f t="shared" ref="AG30" si="41">_xlfn.STDEV.S(AE30:AE33)</f>
        <v>0.36436016979540076</v>
      </c>
      <c r="AH30">
        <f t="shared" si="21"/>
        <v>-292.40506329113913</v>
      </c>
      <c r="AI30">
        <f t="shared" ref="AI30" si="42">AVERAGE(AH30:AH33)</f>
        <v>-103.79746835443035</v>
      </c>
      <c r="AJ30">
        <f t="shared" ref="AJ30" si="43">_xlfn.STDEV.S(AH30:AH33)</f>
        <v>184.48616192172187</v>
      </c>
      <c r="AK30">
        <f t="shared" si="22"/>
        <v>-144.83775811209438</v>
      </c>
      <c r="AL30">
        <f t="shared" ref="AL30" si="44">AVERAGE(AK30:AK33)</f>
        <v>-100.88495575221239</v>
      </c>
      <c r="AM30">
        <f>_xlfn.STDEV.S(AK30:AK33)</f>
        <v>42.992350418336351</v>
      </c>
    </row>
    <row r="31" spans="1:39" x14ac:dyDescent="0.3">
      <c r="A31" s="77" t="s">
        <v>97</v>
      </c>
      <c r="B31" s="21" t="s">
        <v>22</v>
      </c>
      <c r="C31" s="21" t="s">
        <v>15</v>
      </c>
      <c r="D31" s="21" t="str">
        <f t="shared" si="14"/>
        <v>PFOS+Carbhigh</v>
      </c>
      <c r="E31" s="21" t="s">
        <v>33</v>
      </c>
      <c r="F31" s="21">
        <v>3.49</v>
      </c>
      <c r="G31" s="21">
        <v>2.0099999999999998</v>
      </c>
      <c r="H31" s="21">
        <v>2.88</v>
      </c>
      <c r="I31" s="22">
        <v>3.41</v>
      </c>
      <c r="X31">
        <f t="shared" si="19"/>
        <v>8.6852589641434239</v>
      </c>
      <c r="AA31">
        <f t="shared" si="20"/>
        <v>51.052048726467312</v>
      </c>
      <c r="AE31">
        <f t="shared" si="2"/>
        <v>-8.0000000000000071E-2</v>
      </c>
      <c r="AH31">
        <f t="shared" si="21"/>
        <v>-59.493670886075925</v>
      </c>
      <c r="AK31">
        <f t="shared" si="22"/>
        <v>-90.560471976401175</v>
      </c>
    </row>
    <row r="32" spans="1:39" x14ac:dyDescent="0.3">
      <c r="A32" s="77" t="s">
        <v>97</v>
      </c>
      <c r="B32" s="21" t="s">
        <v>22</v>
      </c>
      <c r="C32" s="21" t="s">
        <v>15</v>
      </c>
      <c r="D32" s="21" t="str">
        <f t="shared" si="14"/>
        <v>PFOS+Carbhigh</v>
      </c>
      <c r="E32" s="21" t="s">
        <v>34</v>
      </c>
      <c r="F32" s="21">
        <v>3.41</v>
      </c>
      <c r="G32" s="21">
        <v>2</v>
      </c>
      <c r="H32" s="21">
        <v>2.97</v>
      </c>
      <c r="I32" s="22">
        <v>2.95</v>
      </c>
      <c r="X32">
        <f t="shared" si="19"/>
        <v>-5.9760956175298796</v>
      </c>
      <c r="AA32">
        <f t="shared" si="20"/>
        <v>30.675526024363226</v>
      </c>
      <c r="AE32">
        <f t="shared" si="2"/>
        <v>-0.45999999999999996</v>
      </c>
      <c r="AH32">
        <f t="shared" si="21"/>
        <v>132.9113924050632</v>
      </c>
      <c r="AK32">
        <f t="shared" si="22"/>
        <v>-45.722713864306783</v>
      </c>
    </row>
    <row r="33" spans="1:39" ht="15" thickBot="1" x14ac:dyDescent="0.35">
      <c r="A33" s="139" t="s">
        <v>97</v>
      </c>
      <c r="B33" s="79" t="s">
        <v>22</v>
      </c>
      <c r="C33" s="79" t="s">
        <v>15</v>
      </c>
      <c r="D33" s="79" t="str">
        <f t="shared" si="14"/>
        <v>PFOS+Carbhigh</v>
      </c>
      <c r="E33" s="79" t="s">
        <v>35</v>
      </c>
      <c r="F33" s="79">
        <v>3.37</v>
      </c>
      <c r="G33" s="79">
        <v>1.81</v>
      </c>
      <c r="H33" s="79">
        <v>2.83</v>
      </c>
      <c r="I33" s="80">
        <v>3.56</v>
      </c>
      <c r="X33">
        <f t="shared" si="19"/>
        <v>13.466135458167324</v>
      </c>
      <c r="AA33">
        <f t="shared" si="20"/>
        <v>57.696566998892564</v>
      </c>
      <c r="AE33">
        <f t="shared" si="2"/>
        <v>0.18999999999999995</v>
      </c>
      <c r="AH33">
        <f t="shared" si="21"/>
        <v>-196.20253164556956</v>
      </c>
      <c r="AK33">
        <f t="shared" si="22"/>
        <v>-122.4188790560472</v>
      </c>
    </row>
    <row r="34" spans="1:39" x14ac:dyDescent="0.3">
      <c r="A34" s="81" t="s">
        <v>99</v>
      </c>
      <c r="B34" s="24" t="s">
        <v>21</v>
      </c>
      <c r="C34" s="24" t="s">
        <v>15</v>
      </c>
      <c r="D34" s="24" t="str">
        <f t="shared" si="14"/>
        <v>PFOS+Diclow</v>
      </c>
      <c r="E34" s="24" t="s">
        <v>32</v>
      </c>
      <c r="F34" s="24">
        <v>3.17</v>
      </c>
      <c r="G34" s="24">
        <v>1.64</v>
      </c>
      <c r="H34" s="24">
        <v>1.76</v>
      </c>
      <c r="I34" s="25">
        <v>2.95</v>
      </c>
      <c r="P34">
        <f>AVERAGE(F34:F37)</f>
        <v>3.23</v>
      </c>
      <c r="Q34">
        <f t="shared" ref="Q34:S34" si="45">AVERAGE(G34:G37)</f>
        <v>1.6850000000000001</v>
      </c>
      <c r="R34">
        <f t="shared" si="45"/>
        <v>2.0625</v>
      </c>
      <c r="S34">
        <f t="shared" si="45"/>
        <v>2.7775000000000003</v>
      </c>
      <c r="T34">
        <f>_xlfn.STDEV.S(F34:F37)</f>
        <v>7.1180521680208803E-2</v>
      </c>
      <c r="U34">
        <f t="shared" ref="U34:W34" si="46">_xlfn.STDEV.S(G34:G37)</f>
        <v>8.8128693776015246E-2</v>
      </c>
      <c r="V34">
        <f t="shared" si="46"/>
        <v>0.26787745954695924</v>
      </c>
      <c r="W34">
        <f t="shared" si="46"/>
        <v>0.398277541420549</v>
      </c>
      <c r="X34">
        <f t="shared" si="19"/>
        <v>-5.9760956175298796</v>
      </c>
      <c r="Y34">
        <f>AVERAGE(X34:X37)</f>
        <v>-11.474103585657373</v>
      </c>
      <c r="Z34">
        <f>_xlfn.STDEV.S(X34:X37)</f>
        <v>12.694104905834347</v>
      </c>
      <c r="AA34">
        <f t="shared" si="20"/>
        <v>30.675526024363226</v>
      </c>
      <c r="AB34">
        <f>AVERAGE(AA34:AA37)</f>
        <v>23.034330011074182</v>
      </c>
      <c r="AC34">
        <f>_xlfn.STDEV.S(AA34:AA37)</f>
        <v>17.642416009769775</v>
      </c>
      <c r="AE34">
        <f t="shared" si="2"/>
        <v>-0.21999999999999975</v>
      </c>
      <c r="AF34">
        <f t="shared" ref="AF34" si="47">AVERAGE(AE34:AE37)</f>
        <v>-0.4524999999999999</v>
      </c>
      <c r="AG34">
        <f t="shared" ref="AG34" si="48">_xlfn.STDEV.S(AE34:AE37)</f>
        <v>0.38064638007823842</v>
      </c>
      <c r="AH34">
        <f t="shared" si="21"/>
        <v>11.392405063290976</v>
      </c>
      <c r="AI34">
        <f t="shared" ref="AI34" si="49">AVERAGE(AH34:AH37)</f>
        <v>129.11392405063279</v>
      </c>
      <c r="AJ34">
        <f t="shared" ref="AJ34" si="50">_xlfn.STDEV.S(AH34:AH37)</f>
        <v>192.7323443434118</v>
      </c>
      <c r="AK34">
        <f t="shared" si="22"/>
        <v>-74.041297935103273</v>
      </c>
      <c r="AL34">
        <f t="shared" ref="AL34" si="51">AVERAGE(AK34:AK37)</f>
        <v>-46.607669616519182</v>
      </c>
      <c r="AM34">
        <f t="shared" ref="AM34" si="52">_xlfn.STDEV.S(AK34:AK37)</f>
        <v>44.914027147874741</v>
      </c>
    </row>
    <row r="35" spans="1:39" x14ac:dyDescent="0.3">
      <c r="A35" s="81" t="s">
        <v>99</v>
      </c>
      <c r="B35" s="24" t="s">
        <v>21</v>
      </c>
      <c r="C35" s="24" t="s">
        <v>15</v>
      </c>
      <c r="D35" s="24" t="str">
        <f t="shared" si="14"/>
        <v>PFOS+Diclow</v>
      </c>
      <c r="E35" s="24" t="s">
        <v>33</v>
      </c>
      <c r="F35" s="24">
        <v>3.19</v>
      </c>
      <c r="G35" s="24">
        <v>1.72</v>
      </c>
      <c r="H35" s="24">
        <v>1.96</v>
      </c>
      <c r="I35" s="25">
        <v>2.77</v>
      </c>
      <c r="X35">
        <f t="shared" si="19"/>
        <v>-11.71314741035857</v>
      </c>
      <c r="AA35">
        <f t="shared" si="20"/>
        <v>22.702104097452917</v>
      </c>
      <c r="AE35">
        <f t="shared" si="2"/>
        <v>-0.41999999999999993</v>
      </c>
      <c r="AH35">
        <f t="shared" si="21"/>
        <v>112.65822784810115</v>
      </c>
      <c r="AK35">
        <f t="shared" si="22"/>
        <v>-50.442477876106196</v>
      </c>
    </row>
    <row r="36" spans="1:39" x14ac:dyDescent="0.3">
      <c r="A36" s="81" t="s">
        <v>99</v>
      </c>
      <c r="B36" s="24" t="s">
        <v>21</v>
      </c>
      <c r="C36" s="24" t="s">
        <v>15</v>
      </c>
      <c r="D36" s="24" t="str">
        <f t="shared" si="14"/>
        <v>PFOS+Diclow</v>
      </c>
      <c r="E36" s="24" t="s">
        <v>34</v>
      </c>
      <c r="F36" s="24">
        <v>3.23</v>
      </c>
      <c r="G36" s="24">
        <v>1.79</v>
      </c>
      <c r="H36" s="24">
        <v>2.14</v>
      </c>
      <c r="I36" s="25">
        <v>2.23</v>
      </c>
      <c r="X36">
        <f t="shared" si="19"/>
        <v>-28.924302788844624</v>
      </c>
      <c r="AA36">
        <f t="shared" si="20"/>
        <v>-1.2181616832779756</v>
      </c>
      <c r="AE36">
        <f t="shared" si="2"/>
        <v>-1</v>
      </c>
      <c r="AH36">
        <f t="shared" si="21"/>
        <v>406.32911392405049</v>
      </c>
      <c r="AK36">
        <f t="shared" si="22"/>
        <v>17.994100294985262</v>
      </c>
    </row>
    <row r="37" spans="1:39" ht="15" thickBot="1" x14ac:dyDescent="0.35">
      <c r="A37" s="140" t="s">
        <v>99</v>
      </c>
      <c r="B37" s="83" t="s">
        <v>21</v>
      </c>
      <c r="C37" s="83" t="s">
        <v>15</v>
      </c>
      <c r="D37" s="83" t="str">
        <f t="shared" si="14"/>
        <v>PFOS+Diclow</v>
      </c>
      <c r="E37" s="83" t="s">
        <v>35</v>
      </c>
      <c r="F37" s="83">
        <v>3.33</v>
      </c>
      <c r="G37" s="83">
        <v>1.59</v>
      </c>
      <c r="H37" s="83">
        <v>2.39</v>
      </c>
      <c r="I37" s="84">
        <v>3.16</v>
      </c>
      <c r="X37">
        <f t="shared" si="19"/>
        <v>0.71713147410358447</v>
      </c>
      <c r="AA37">
        <f t="shared" si="20"/>
        <v>39.977851605758566</v>
      </c>
      <c r="AE37">
        <f t="shared" si="2"/>
        <v>-0.16999999999999993</v>
      </c>
      <c r="AH37">
        <f t="shared" si="21"/>
        <v>-13.924050632911456</v>
      </c>
      <c r="AK37">
        <f t="shared" si="22"/>
        <v>-79.941002949852518</v>
      </c>
    </row>
    <row r="38" spans="1:39" x14ac:dyDescent="0.3">
      <c r="A38" s="85" t="s">
        <v>99</v>
      </c>
      <c r="B38" s="27" t="s">
        <v>22</v>
      </c>
      <c r="C38" s="27" t="s">
        <v>15</v>
      </c>
      <c r="D38" s="27" t="str">
        <f t="shared" si="14"/>
        <v>PFOS+Dichigh</v>
      </c>
      <c r="E38" s="27" t="s">
        <v>32</v>
      </c>
      <c r="F38" s="27">
        <v>3.35</v>
      </c>
      <c r="G38" s="27">
        <v>2.1800000000000002</v>
      </c>
      <c r="H38" s="27">
        <v>1.97</v>
      </c>
      <c r="I38" s="28">
        <v>3.31</v>
      </c>
      <c r="P38">
        <f>AVERAGE(F38:F41)</f>
        <v>3.2549999999999999</v>
      </c>
      <c r="Q38">
        <f t="shared" ref="Q38:S38" si="53">AVERAGE(G38:G41)</f>
        <v>1.9925000000000002</v>
      </c>
      <c r="R38">
        <f t="shared" si="53"/>
        <v>2.2124999999999999</v>
      </c>
      <c r="S38">
        <f t="shared" si="53"/>
        <v>3.2350000000000003</v>
      </c>
      <c r="T38">
        <f>_xlfn.STDEV.S(F38:F41)</f>
        <v>0.11733143937865359</v>
      </c>
      <c r="U38">
        <f t="shared" ref="U38:W38" si="54">_xlfn.STDEV.S(G38:G41)</f>
        <v>0.27109346481733343</v>
      </c>
      <c r="V38">
        <f t="shared" si="54"/>
        <v>0.24129857024027307</v>
      </c>
      <c r="W38">
        <f t="shared" si="54"/>
        <v>0.36464594700430547</v>
      </c>
      <c r="X38">
        <f t="shared" si="19"/>
        <v>5.498007968127486</v>
      </c>
      <c r="Y38">
        <f>AVERAGE(X38:X41)</f>
        <v>3.1075697211155315</v>
      </c>
      <c r="Z38">
        <f>_xlfn.STDEV.S(X38:X41)</f>
        <v>11.622181577826469</v>
      </c>
      <c r="AA38">
        <f t="shared" si="20"/>
        <v>46.622369878183818</v>
      </c>
      <c r="AB38">
        <f>AVERAGE(AA38:AA41)</f>
        <v>43.300110741971189</v>
      </c>
      <c r="AC38">
        <f>_xlfn.STDEV.S(AA38:AA41)</f>
        <v>16.152644385572774</v>
      </c>
      <c r="AE38">
        <f t="shared" si="2"/>
        <v>-4.0000000000000036E-2</v>
      </c>
      <c r="AF38">
        <f t="shared" ref="AF38" si="55">AVERAGE(AE38:AE41)</f>
        <v>-2.0000000000000018E-2</v>
      </c>
      <c r="AG38">
        <f>_xlfn.STDEV.S(AE38:AE41)</f>
        <v>0.41368264809311678</v>
      </c>
      <c r="AH38">
        <f t="shared" si="21"/>
        <v>-79.746835443037966</v>
      </c>
      <c r="AI38">
        <f t="shared" ref="AI38" si="56">AVERAGE(AH38:AH41)</f>
        <v>-89.873417721518976</v>
      </c>
      <c r="AJ38">
        <f t="shared" ref="AJ38" si="57">_xlfn.STDEV.S(AH38:AH41)</f>
        <v>209.45956865474264</v>
      </c>
      <c r="AK38">
        <f t="shared" si="22"/>
        <v>-95.280235988200587</v>
      </c>
      <c r="AL38">
        <f t="shared" ref="AL38" si="58">AVERAGE(AK38:AK41)</f>
        <v>-97.640117994100294</v>
      </c>
      <c r="AM38">
        <f t="shared" ref="AM38" si="59">_xlfn.STDEV.S(AK38:AK41)</f>
        <v>48.812111869394293</v>
      </c>
    </row>
    <row r="39" spans="1:39" x14ac:dyDescent="0.3">
      <c r="A39" s="85" t="s">
        <v>99</v>
      </c>
      <c r="B39" s="27" t="s">
        <v>22</v>
      </c>
      <c r="C39" s="27" t="s">
        <v>15</v>
      </c>
      <c r="D39" s="27" t="str">
        <f t="shared" si="14"/>
        <v>PFOS+Dichigh</v>
      </c>
      <c r="E39" s="27" t="s">
        <v>33</v>
      </c>
      <c r="F39" s="27">
        <v>3.36</v>
      </c>
      <c r="G39" s="27">
        <v>1.67</v>
      </c>
      <c r="H39" s="27">
        <v>2.04</v>
      </c>
      <c r="I39" s="28">
        <v>3.09</v>
      </c>
      <c r="X39">
        <f t="shared" si="19"/>
        <v>-1.5139442231075799</v>
      </c>
      <c r="AA39">
        <f t="shared" si="20"/>
        <v>36.877076411960111</v>
      </c>
      <c r="AE39">
        <f t="shared" si="2"/>
        <v>-0.27</v>
      </c>
      <c r="AH39">
        <f t="shared" si="21"/>
        <v>36.708860759493632</v>
      </c>
      <c r="AK39">
        <f t="shared" si="22"/>
        <v>-68.141592920353972</v>
      </c>
    </row>
    <row r="40" spans="1:39" x14ac:dyDescent="0.3">
      <c r="A40" s="85" t="s">
        <v>99</v>
      </c>
      <c r="B40" s="27" t="s">
        <v>22</v>
      </c>
      <c r="C40" s="27" t="s">
        <v>15</v>
      </c>
      <c r="D40" s="27" t="str">
        <f t="shared" si="14"/>
        <v>PFOS+Dichigh</v>
      </c>
      <c r="E40" s="27" t="s">
        <v>34</v>
      </c>
      <c r="F40" s="27">
        <v>3.18</v>
      </c>
      <c r="G40" s="27">
        <v>1.87</v>
      </c>
      <c r="H40" s="27">
        <v>2.42</v>
      </c>
      <c r="I40" s="28">
        <v>2.84</v>
      </c>
      <c r="X40">
        <f t="shared" si="19"/>
        <v>-9.4820717131474197</v>
      </c>
      <c r="AA40">
        <f t="shared" si="20"/>
        <v>25.802879291251362</v>
      </c>
      <c r="AE40">
        <f t="shared" si="2"/>
        <v>-0.3400000000000003</v>
      </c>
      <c r="AH40">
        <f t="shared" si="21"/>
        <v>72.151898734177308</v>
      </c>
      <c r="AK40">
        <f t="shared" si="22"/>
        <v>-59.882005899704971</v>
      </c>
    </row>
    <row r="41" spans="1:39" ht="15" thickBot="1" x14ac:dyDescent="0.35">
      <c r="A41" s="141" t="s">
        <v>99</v>
      </c>
      <c r="B41" s="87" t="s">
        <v>22</v>
      </c>
      <c r="C41" s="87" t="s">
        <v>15</v>
      </c>
      <c r="D41" s="87" t="str">
        <f t="shared" si="14"/>
        <v>PFOS+Dichigh</v>
      </c>
      <c r="E41" s="87" t="s">
        <v>35</v>
      </c>
      <c r="F41" s="87">
        <v>3.13</v>
      </c>
      <c r="G41" s="87">
        <v>2.25</v>
      </c>
      <c r="H41" s="87">
        <v>2.42</v>
      </c>
      <c r="I41" s="88">
        <v>3.7</v>
      </c>
      <c r="X41">
        <f t="shared" si="19"/>
        <v>17.92828685258964</v>
      </c>
      <c r="AA41">
        <f t="shared" si="20"/>
        <v>63.89811738648946</v>
      </c>
      <c r="AE41">
        <f t="shared" si="2"/>
        <v>0.57000000000000028</v>
      </c>
      <c r="AH41">
        <f t="shared" si="21"/>
        <v>-388.60759493670889</v>
      </c>
      <c r="AK41">
        <f t="shared" si="22"/>
        <v>-167.25663716814162</v>
      </c>
    </row>
    <row r="42" spans="1:39" x14ac:dyDescent="0.3">
      <c r="A42" s="89" t="s">
        <v>100</v>
      </c>
      <c r="B42" s="30" t="s">
        <v>21</v>
      </c>
      <c r="C42" s="30" t="s">
        <v>15</v>
      </c>
      <c r="D42" s="30" t="str">
        <f t="shared" si="14"/>
        <v>PFOS+6ppdqlow</v>
      </c>
      <c r="E42" s="30" t="s">
        <v>32</v>
      </c>
      <c r="F42" s="30">
        <v>3.1</v>
      </c>
      <c r="G42" s="30">
        <v>1.74</v>
      </c>
      <c r="H42" s="30">
        <v>2.33</v>
      </c>
      <c r="I42" s="31">
        <v>2.98</v>
      </c>
      <c r="P42">
        <f>AVERAGE(F42:F45)</f>
        <v>3.1850000000000001</v>
      </c>
      <c r="Q42">
        <f t="shared" ref="Q42:S42" si="60">AVERAGE(G42:G45)</f>
        <v>1.5874999999999999</v>
      </c>
      <c r="R42">
        <f t="shared" si="60"/>
        <v>2.2174999999999998</v>
      </c>
      <c r="S42">
        <f t="shared" si="60"/>
        <v>3.1050000000000004</v>
      </c>
      <c r="T42">
        <f>_xlfn.STDEV.S(F42:F45)</f>
        <v>0.12261049438499666</v>
      </c>
      <c r="U42">
        <f t="shared" ref="U42:W42" si="61">_xlfn.STDEV.S(G42:G45)</f>
        <v>0.11701139545645403</v>
      </c>
      <c r="V42">
        <f t="shared" si="61"/>
        <v>0.1486326567974437</v>
      </c>
      <c r="W42">
        <f t="shared" si="61"/>
        <v>0.14525839046333947</v>
      </c>
      <c r="X42">
        <f t="shared" si="19"/>
        <v>-5.0199203187251049</v>
      </c>
      <c r="Y42">
        <f>AVERAGE(X42:X45)</f>
        <v>-1.0358565737051886</v>
      </c>
      <c r="Z42">
        <f>_xlfn.STDEV.S(X42:X45)</f>
        <v>4.6297494968395041</v>
      </c>
      <c r="AA42">
        <f t="shared" si="20"/>
        <v>32.004429678848268</v>
      </c>
      <c r="AB42">
        <f>AVERAGE(AA42:AA45)</f>
        <v>37.541528239202634</v>
      </c>
      <c r="AC42">
        <f>_xlfn.STDEV.S(AA42:AA45)</f>
        <v>6.434480197711606</v>
      </c>
      <c r="AE42">
        <f t="shared" si="2"/>
        <v>-0.12000000000000011</v>
      </c>
      <c r="AF42">
        <f t="shared" ref="AF42" si="62">AVERAGE(AE42:AE45)</f>
        <v>-8.0000000000000071E-2</v>
      </c>
      <c r="AG42">
        <f t="shared" ref="AG42" si="63">_xlfn.STDEV.S(AE42:AE45)</f>
        <v>0.22226110770892857</v>
      </c>
      <c r="AH42">
        <f t="shared" si="21"/>
        <v>-39.240506329113892</v>
      </c>
      <c r="AI42">
        <f t="shared" ref="AI42" si="64">AVERAGE(AH42:AH45)</f>
        <v>-59.493670886075932</v>
      </c>
      <c r="AJ42">
        <f t="shared" ref="AJ42" si="65">_xlfn.STDEV.S(AH42:AH45)</f>
        <v>112.53726972603975</v>
      </c>
      <c r="AK42">
        <f t="shared" si="22"/>
        <v>-85.840707964601762</v>
      </c>
      <c r="AL42">
        <f t="shared" ref="AL42" si="66">AVERAGE(AK42:AK45)</f>
        <v>-90.560471976401175</v>
      </c>
      <c r="AM42">
        <f t="shared" ref="AM42" si="67">_xlfn.STDEV.S(AK42:AK45)</f>
        <v>26.22549943468184</v>
      </c>
    </row>
    <row r="43" spans="1:39" x14ac:dyDescent="0.3">
      <c r="A43" s="89" t="s">
        <v>100</v>
      </c>
      <c r="B43" s="30" t="s">
        <v>21</v>
      </c>
      <c r="C43" s="30" t="s">
        <v>15</v>
      </c>
      <c r="D43" s="30" t="str">
        <f t="shared" si="14"/>
        <v>PFOS+6ppdqlow</v>
      </c>
      <c r="E43" s="30" t="s">
        <v>33</v>
      </c>
      <c r="F43" s="30">
        <v>3.28</v>
      </c>
      <c r="G43" s="30">
        <v>1.6</v>
      </c>
      <c r="H43" s="30">
        <v>2.0699999999999998</v>
      </c>
      <c r="I43" s="31">
        <v>3.01</v>
      </c>
      <c r="X43">
        <f t="shared" si="19"/>
        <v>-4.0637450199203311</v>
      </c>
      <c r="AA43">
        <f t="shared" si="20"/>
        <v>33.333333333333307</v>
      </c>
      <c r="AE43">
        <f t="shared" si="2"/>
        <v>-0.27</v>
      </c>
      <c r="AH43">
        <f>((AE43-$AF$6)/$AF$6)*100</f>
        <v>36.708860759493632</v>
      </c>
      <c r="AK43">
        <f t="shared" si="22"/>
        <v>-68.141592920353972</v>
      </c>
    </row>
    <row r="44" spans="1:39" x14ac:dyDescent="0.3">
      <c r="A44" s="89" t="s">
        <v>100</v>
      </c>
      <c r="B44" s="30" t="s">
        <v>21</v>
      </c>
      <c r="C44" s="30" t="s">
        <v>15</v>
      </c>
      <c r="D44" s="30" t="str">
        <f t="shared" si="14"/>
        <v>PFOS+6ppdqlow</v>
      </c>
      <c r="E44" s="30" t="s">
        <v>34</v>
      </c>
      <c r="F44" s="30">
        <v>3.3</v>
      </c>
      <c r="G44" s="30">
        <v>1.46</v>
      </c>
      <c r="H44" s="30">
        <v>2.36</v>
      </c>
      <c r="I44" s="31">
        <v>3.13</v>
      </c>
      <c r="X44">
        <f t="shared" si="19"/>
        <v>-0.23904382470120428</v>
      </c>
      <c r="AA44">
        <f>((I44-$S$2)/$S$2)*100</f>
        <v>38.648947951273513</v>
      </c>
      <c r="AE44">
        <f t="shared" si="2"/>
        <v>-0.16999999999999993</v>
      </c>
      <c r="AH44">
        <f t="shared" si="21"/>
        <v>-13.924050632911456</v>
      </c>
      <c r="AK44">
        <f t="shared" si="22"/>
        <v>-79.941002949852518</v>
      </c>
    </row>
    <row r="45" spans="1:39" ht="15" thickBot="1" x14ac:dyDescent="0.35">
      <c r="A45" s="142" t="s">
        <v>100</v>
      </c>
      <c r="B45" s="91" t="s">
        <v>21</v>
      </c>
      <c r="C45" s="91" t="s">
        <v>15</v>
      </c>
      <c r="D45" s="91" t="str">
        <f t="shared" si="14"/>
        <v>PFOS+6ppdqlow</v>
      </c>
      <c r="E45" s="91" t="s">
        <v>35</v>
      </c>
      <c r="F45" s="91">
        <v>3.06</v>
      </c>
      <c r="G45" s="91">
        <v>1.55</v>
      </c>
      <c r="H45" s="91">
        <v>2.11</v>
      </c>
      <c r="I45" s="92">
        <v>3.3</v>
      </c>
      <c r="X45">
        <f t="shared" si="19"/>
        <v>5.1792828685258847</v>
      </c>
      <c r="AA45">
        <f t="shared" si="20"/>
        <v>46.179401993355455</v>
      </c>
      <c r="AE45">
        <f t="shared" si="2"/>
        <v>0.23999999999999977</v>
      </c>
      <c r="AH45">
        <f t="shared" si="21"/>
        <v>-221.518987341772</v>
      </c>
      <c r="AK45">
        <f t="shared" si="22"/>
        <v>-128.31858407079645</v>
      </c>
    </row>
    <row r="46" spans="1:39" x14ac:dyDescent="0.3">
      <c r="A46" s="93" t="s">
        <v>100</v>
      </c>
      <c r="B46" s="94" t="s">
        <v>22</v>
      </c>
      <c r="C46" s="94" t="s">
        <v>15</v>
      </c>
      <c r="D46" s="94" t="str">
        <f t="shared" si="14"/>
        <v>PFOS+6ppdqhigh</v>
      </c>
      <c r="E46" s="94" t="s">
        <v>32</v>
      </c>
      <c r="F46" s="94">
        <v>3.46</v>
      </c>
      <c r="G46" s="94">
        <v>1.54</v>
      </c>
      <c r="H46" s="94">
        <v>1.77</v>
      </c>
      <c r="I46" s="95">
        <v>2.69</v>
      </c>
      <c r="P46">
        <f>AVERAGE(F46:F49)</f>
        <v>3.2800000000000002</v>
      </c>
      <c r="Q46">
        <f t="shared" ref="Q46:S46" si="68">AVERAGE(G46:G49)</f>
        <v>1.7175</v>
      </c>
      <c r="R46">
        <f t="shared" si="68"/>
        <v>2.0274999999999999</v>
      </c>
      <c r="S46">
        <f t="shared" si="68"/>
        <v>3.2750000000000004</v>
      </c>
      <c r="T46">
        <f>_xlfn.STDEV.S(F46:F49)</f>
        <v>0.15055453054181611</v>
      </c>
      <c r="U46">
        <f t="shared" ref="U46:W46" si="69">_xlfn.STDEV.S(G46:G49)</f>
        <v>0.12093386622447824</v>
      </c>
      <c r="V46">
        <f t="shared" si="69"/>
        <v>0.37205510344571485</v>
      </c>
      <c r="W46">
        <f t="shared" si="69"/>
        <v>0.54531336556760102</v>
      </c>
      <c r="X46">
        <f t="shared" si="19"/>
        <v>-14.262948207171322</v>
      </c>
      <c r="Y46">
        <f>AVERAGE(X46:X49)</f>
        <v>4.3824701195219076</v>
      </c>
      <c r="Z46">
        <f>_xlfn.STDEV.S(X46:X49)</f>
        <v>17.380505675461464</v>
      </c>
      <c r="AA46">
        <f t="shared" si="20"/>
        <v>19.158361018826117</v>
      </c>
      <c r="AB46">
        <f>AVERAGE(AA46:AA49)</f>
        <v>45.07198228128459</v>
      </c>
      <c r="AC46">
        <f>_xlfn.STDEV.S(AA46:AA49)</f>
        <v>24.155630811411005</v>
      </c>
      <c r="AE46">
        <f t="shared" si="2"/>
        <v>-0.77</v>
      </c>
      <c r="AF46">
        <f t="shared" ref="AF46" si="70">AVERAGE(AE46:AE49)</f>
        <v>-5.0000000000000044E-3</v>
      </c>
      <c r="AG46">
        <f t="shared" ref="AG46" si="71">_xlfn.STDEV.S(AE46:AE49)</f>
        <v>0.67727394752788173</v>
      </c>
      <c r="AH46">
        <f t="shared" si="21"/>
        <v>289.87341772151888</v>
      </c>
      <c r="AI46">
        <f t="shared" ref="AI46" si="72">AVERAGE(AH46:AH49)</f>
        <v>-97.468354430379733</v>
      </c>
      <c r="AJ46">
        <f t="shared" ref="AJ46" si="73">_xlfn.STDEV.S(AH46:AH49)</f>
        <v>342.92351773563621</v>
      </c>
      <c r="AK46">
        <f t="shared" si="22"/>
        <v>-9.144542772861346</v>
      </c>
      <c r="AL46">
        <f t="shared" ref="AL46" si="74">AVERAGE(AK46:AK49)</f>
        <v>-99.410029498525077</v>
      </c>
      <c r="AM46">
        <f t="shared" ref="AM46" si="75">_xlfn.STDEV.S(AK46:AK49)</f>
        <v>79.914330091785473</v>
      </c>
    </row>
    <row r="47" spans="1:39" x14ac:dyDescent="0.3">
      <c r="A47" s="93" t="s">
        <v>100</v>
      </c>
      <c r="B47" s="94" t="s">
        <v>22</v>
      </c>
      <c r="C47" s="94" t="s">
        <v>15</v>
      </c>
      <c r="D47" s="94" t="str">
        <f t="shared" si="14"/>
        <v>PFOS+6ppdqhigh</v>
      </c>
      <c r="E47" s="94" t="s">
        <v>33</v>
      </c>
      <c r="F47" s="94">
        <v>3.2</v>
      </c>
      <c r="G47" s="94">
        <v>1.81</v>
      </c>
      <c r="H47" s="94">
        <v>1.87</v>
      </c>
      <c r="I47" s="95">
        <v>3.12</v>
      </c>
      <c r="X47">
        <f t="shared" si="19"/>
        <v>-0.55776892430279101</v>
      </c>
      <c r="AA47">
        <f t="shared" si="20"/>
        <v>38.205980066445171</v>
      </c>
      <c r="AE47">
        <f t="shared" si="2"/>
        <v>-8.0000000000000071E-2</v>
      </c>
      <c r="AH47">
        <f t="shared" si="21"/>
        <v>-59.493670886075925</v>
      </c>
      <c r="AK47">
        <f t="shared" si="22"/>
        <v>-90.560471976401175</v>
      </c>
    </row>
    <row r="48" spans="1:39" x14ac:dyDescent="0.3">
      <c r="A48" s="93" t="s">
        <v>100</v>
      </c>
      <c r="B48" s="94" t="s">
        <v>22</v>
      </c>
      <c r="C48" s="94" t="s">
        <v>15</v>
      </c>
      <c r="D48" s="94" t="str">
        <f t="shared" si="14"/>
        <v>PFOS+6ppdqhigh</v>
      </c>
      <c r="E48" s="94" t="s">
        <v>34</v>
      </c>
      <c r="F48" s="94">
        <v>3.34</v>
      </c>
      <c r="G48" s="94">
        <v>1.77</v>
      </c>
      <c r="H48" s="94">
        <v>1.89</v>
      </c>
      <c r="I48" s="95">
        <v>3.29</v>
      </c>
      <c r="X48">
        <f t="shared" si="19"/>
        <v>4.8605577689242976</v>
      </c>
      <c r="AA48">
        <f t="shared" si="20"/>
        <v>45.736434108527114</v>
      </c>
      <c r="AE48">
        <f t="shared" si="2"/>
        <v>-4.9999999999999822E-2</v>
      </c>
      <c r="AH48">
        <f t="shared" si="21"/>
        <v>-74.683544303797561</v>
      </c>
      <c r="AK48">
        <f t="shared" si="22"/>
        <v>-94.100294985250756</v>
      </c>
    </row>
    <row r="49" spans="1:39" ht="15" thickBot="1" x14ac:dyDescent="0.35">
      <c r="A49" s="143" t="s">
        <v>100</v>
      </c>
      <c r="B49" s="33" t="s">
        <v>22</v>
      </c>
      <c r="C49" s="33" t="s">
        <v>15</v>
      </c>
      <c r="D49" s="33" t="str">
        <f t="shared" si="14"/>
        <v>PFOS+6ppdqhigh</v>
      </c>
      <c r="E49" s="33" t="s">
        <v>35</v>
      </c>
      <c r="F49" s="33">
        <v>3.12</v>
      </c>
      <c r="G49" s="33">
        <v>1.75</v>
      </c>
      <c r="H49" s="33">
        <v>2.58</v>
      </c>
      <c r="I49" s="34">
        <v>4</v>
      </c>
      <c r="X49">
        <f t="shared" si="19"/>
        <v>27.490039840637444</v>
      </c>
      <c r="AA49">
        <f>((I49-$S$2)/$S$2)*100</f>
        <v>77.187153931339964</v>
      </c>
      <c r="AE49">
        <f t="shared" si="2"/>
        <v>0.87999999999999989</v>
      </c>
      <c r="AH49">
        <f t="shared" si="21"/>
        <v>-545.56962025316432</v>
      </c>
      <c r="AK49">
        <f t="shared" si="22"/>
        <v>-203.83480825958702</v>
      </c>
    </row>
    <row r="50" spans="1:39" x14ac:dyDescent="0.3">
      <c r="A50" s="97" t="s">
        <v>98</v>
      </c>
      <c r="B50" s="98" t="s">
        <v>21</v>
      </c>
      <c r="C50" s="98" t="s">
        <v>19</v>
      </c>
      <c r="D50" s="98" t="str">
        <f>A50&amp;B50&amp;C50</f>
        <v>PFOSlownutrients</v>
      </c>
      <c r="E50" s="98" t="s">
        <v>32</v>
      </c>
      <c r="F50" s="98">
        <v>3.1</v>
      </c>
      <c r="G50" s="98">
        <v>1.8</v>
      </c>
      <c r="H50" s="98">
        <v>2.95</v>
      </c>
      <c r="I50" s="99">
        <v>5.98</v>
      </c>
      <c r="P50">
        <f>AVERAGE(F50:F53)</f>
        <v>3.0225</v>
      </c>
      <c r="Q50">
        <f t="shared" ref="Q50:S50" si="76">AVERAGE(G50:G53)</f>
        <v>1.9475</v>
      </c>
      <c r="R50">
        <f t="shared" si="76"/>
        <v>3.0975000000000001</v>
      </c>
      <c r="S50">
        <f t="shared" si="76"/>
        <v>5.8574999999999999</v>
      </c>
      <c r="T50">
        <f>_xlfn.STDEV.S(F50:F53)</f>
        <v>0.18643586922406674</v>
      </c>
      <c r="U50">
        <f t="shared" ref="U50:W50" si="77">_xlfn.STDEV.S(G50:G53)</f>
        <v>0.10144785195688794</v>
      </c>
      <c r="V50">
        <f t="shared" si="77"/>
        <v>0.19636275953788512</v>
      </c>
      <c r="W50">
        <f t="shared" si="77"/>
        <v>0.45087877158574091</v>
      </c>
      <c r="X50">
        <f>((I50-$S$14)/$S$14)*100</f>
        <v>63.723477070499676</v>
      </c>
      <c r="Y50">
        <f>AVERAGE(X50:X53)</f>
        <v>60.369609856262841</v>
      </c>
      <c r="Z50">
        <f>_xlfn.STDEV.S(X50:X53)</f>
        <v>12.344387996871738</v>
      </c>
      <c r="AA50">
        <f>((I50-$S$10)/$S$10)*100</f>
        <v>2.7932960893854841</v>
      </c>
      <c r="AB50">
        <f>AVERAGE(AA50:AA53)</f>
        <v>0.687580575848733</v>
      </c>
      <c r="AC50">
        <f>_xlfn.STDEV.S(AA50:AA53)</f>
        <v>7.7503871351223195</v>
      </c>
      <c r="AE50">
        <f t="shared" si="2"/>
        <v>2.8800000000000003</v>
      </c>
      <c r="AF50">
        <f t="shared" ref="AF50" si="78">AVERAGE(AE50:AE53)</f>
        <v>2.835</v>
      </c>
      <c r="AG50">
        <f t="shared" ref="AG50" si="79">_xlfn.STDEV.S(AE50:AE53)</f>
        <v>0.2904594062285929</v>
      </c>
      <c r="AH50">
        <f>((AE50-$AF$14)/$AF$14)*100</f>
        <v>378.00829875518673</v>
      </c>
      <c r="AI50">
        <f t="shared" ref="AI50" si="80">AVERAGE(AH50:AH53)</f>
        <v>370.53941908713682</v>
      </c>
      <c r="AJ50">
        <f t="shared" ref="AJ50" si="81">_xlfn.STDEV.S(AH50:AH53)</f>
        <v>48.209030079434626</v>
      </c>
      <c r="AK50">
        <f>((AE50-$AF$10)/$AF$10)*100</f>
        <v>5.3016453382084263</v>
      </c>
      <c r="AL50">
        <f t="shared" ref="AL50" si="82">AVERAGE(AK50:AK53)</f>
        <v>3.6563071297989023</v>
      </c>
      <c r="AM50">
        <f t="shared" ref="AM50" si="83">_xlfn.STDEV.S(AK50:AK53)</f>
        <v>10.6200879791076</v>
      </c>
    </row>
    <row r="51" spans="1:39" x14ac:dyDescent="0.3">
      <c r="A51" s="97" t="s">
        <v>98</v>
      </c>
      <c r="B51" s="98" t="s">
        <v>21</v>
      </c>
      <c r="C51" s="98" t="s">
        <v>19</v>
      </c>
      <c r="D51" s="98" t="str">
        <f t="shared" ref="D51:D81" si="84">A51&amp;B51&amp;C51</f>
        <v>PFOSlownutrients</v>
      </c>
      <c r="E51" s="98" t="s">
        <v>33</v>
      </c>
      <c r="F51" s="98">
        <v>2.87</v>
      </c>
      <c r="G51" s="98">
        <v>1.97</v>
      </c>
      <c r="H51" s="98">
        <v>3.08</v>
      </c>
      <c r="I51" s="99">
        <v>5.31</v>
      </c>
      <c r="X51">
        <f>((I51-$S$14)/$S$14)*100</f>
        <v>45.379876796714576</v>
      </c>
      <c r="AA51">
        <f t="shared" ref="AA51:AA81" si="85">((I51-$S$10)/$S$10)*100</f>
        <v>-8.7236785560807952</v>
      </c>
      <c r="AE51">
        <f t="shared" si="2"/>
        <v>2.4399999999999995</v>
      </c>
      <c r="AH51">
        <f t="shared" ref="AH51:AH81" si="86">((AE51-$AF$14)/$AF$14)*100</f>
        <v>304.97925311203306</v>
      </c>
      <c r="AK51">
        <f t="shared" ref="AK51:AK81" si="87">((AE51-$AF$10)/$AF$10)*100</f>
        <v>-10.786106032906778</v>
      </c>
    </row>
    <row r="52" spans="1:39" x14ac:dyDescent="0.3">
      <c r="A52" s="97" t="s">
        <v>98</v>
      </c>
      <c r="B52" s="98" t="s">
        <v>21</v>
      </c>
      <c r="C52" s="98" t="s">
        <v>19</v>
      </c>
      <c r="D52" s="98" t="str">
        <f t="shared" si="84"/>
        <v>PFOSlownutrients</v>
      </c>
      <c r="E52" s="98" t="s">
        <v>34</v>
      </c>
      <c r="F52" s="98">
        <v>2.87</v>
      </c>
      <c r="G52" s="98">
        <v>2.0299999999999998</v>
      </c>
      <c r="H52" s="98">
        <v>3.38</v>
      </c>
      <c r="I52" s="99">
        <v>5.75</v>
      </c>
      <c r="X52">
        <f t="shared" ref="X51:X81" si="88">((I52-$S$14)/$S$14)*100</f>
        <v>57.426420260095831</v>
      </c>
      <c r="AA52">
        <f t="shared" si="85"/>
        <v>-1.160292221744734</v>
      </c>
      <c r="AE52">
        <f t="shared" si="2"/>
        <v>2.88</v>
      </c>
      <c r="AH52">
        <f t="shared" si="86"/>
        <v>378.00829875518667</v>
      </c>
      <c r="AK52">
        <f t="shared" si="87"/>
        <v>5.3016453382084103</v>
      </c>
    </row>
    <row r="53" spans="1:39" ht="15" thickBot="1" x14ac:dyDescent="0.35">
      <c r="A53" s="144" t="s">
        <v>98</v>
      </c>
      <c r="B53" s="101" t="s">
        <v>21</v>
      </c>
      <c r="C53" s="101" t="s">
        <v>19</v>
      </c>
      <c r="D53" s="101" t="str">
        <f t="shared" si="84"/>
        <v>PFOSlownutrients</v>
      </c>
      <c r="E53" s="101" t="s">
        <v>35</v>
      </c>
      <c r="F53" s="101">
        <v>3.25</v>
      </c>
      <c r="G53" s="101">
        <v>1.99</v>
      </c>
      <c r="H53" s="101">
        <v>2.98</v>
      </c>
      <c r="I53" s="102">
        <v>6.39</v>
      </c>
      <c r="X53">
        <f t="shared" si="88"/>
        <v>74.948665297741272</v>
      </c>
      <c r="AA53">
        <f t="shared" si="85"/>
        <v>9.8409969918349773</v>
      </c>
      <c r="AE53">
        <f t="shared" si="2"/>
        <v>3.1399999999999997</v>
      </c>
      <c r="AH53">
        <f t="shared" si="86"/>
        <v>421.16182572614099</v>
      </c>
      <c r="AK53">
        <f t="shared" si="87"/>
        <v>14.80804387568555</v>
      </c>
    </row>
    <row r="54" spans="1:39" x14ac:dyDescent="0.3">
      <c r="A54" s="103" t="s">
        <v>98</v>
      </c>
      <c r="B54" s="39" t="s">
        <v>22</v>
      </c>
      <c r="C54" s="39" t="s">
        <v>19</v>
      </c>
      <c r="D54" s="39" t="str">
        <f t="shared" si="84"/>
        <v>PFOShighnutrients</v>
      </c>
      <c r="E54" s="39" t="s">
        <v>32</v>
      </c>
      <c r="F54" s="39">
        <v>3.1</v>
      </c>
      <c r="G54" s="39">
        <v>1.73</v>
      </c>
      <c r="H54" s="39">
        <v>3.23</v>
      </c>
      <c r="I54" s="40">
        <v>8.2899999999999991</v>
      </c>
      <c r="P54">
        <f>AVERAGE(F54:F57)</f>
        <v>3.1475</v>
      </c>
      <c r="Q54">
        <f t="shared" ref="Q54:S54" si="89">AVERAGE(G54:G57)</f>
        <v>1.7775000000000001</v>
      </c>
      <c r="R54">
        <f t="shared" si="89"/>
        <v>3.2225000000000001</v>
      </c>
      <c r="S54">
        <f t="shared" si="89"/>
        <v>6.2074999999999996</v>
      </c>
      <c r="T54">
        <f>_xlfn.STDEV.S(F54:F57)</f>
        <v>0.15063753405664423</v>
      </c>
      <c r="U54">
        <f t="shared" ref="U54:W54" si="90">_xlfn.STDEV.S(G54:G57)</f>
        <v>7.3200637519992451E-2</v>
      </c>
      <c r="V54">
        <f t="shared" si="90"/>
        <v>0.28182441342083903</v>
      </c>
      <c r="W54">
        <f t="shared" si="90"/>
        <v>1.7110109097645572</v>
      </c>
      <c r="X54">
        <f t="shared" si="88"/>
        <v>126.96783025325118</v>
      </c>
      <c r="Y54">
        <f>AVERAGE(X54:X57)</f>
        <v>69.952087611225181</v>
      </c>
      <c r="Z54">
        <f>_xlfn.STDEV.S(X54:X57)</f>
        <v>46.844925660905034</v>
      </c>
      <c r="AA54">
        <f t="shared" si="85"/>
        <v>42.501074344649751</v>
      </c>
      <c r="AB54">
        <f>AVERAGE(AA54:AA57)</f>
        <v>6.703910614525137</v>
      </c>
      <c r="AC54">
        <f>_xlfn.STDEV.S(AA54:AA57)</f>
        <v>29.411446665484409</v>
      </c>
      <c r="AE54">
        <f t="shared" si="2"/>
        <v>5.1899999999999995</v>
      </c>
      <c r="AF54">
        <f t="shared" ref="AF54" si="91">AVERAGE(AE54:AE57)</f>
        <v>3.0599999999999996</v>
      </c>
      <c r="AG54">
        <f t="shared" ref="AG54" si="92">_xlfn.STDEV.S(AE54:AE57)</f>
        <v>1.8222696470793416</v>
      </c>
      <c r="AH54">
        <f t="shared" si="86"/>
        <v>761.41078838174258</v>
      </c>
      <c r="AI54">
        <f t="shared" ref="AI54" si="93">AVERAGE(AH54:AH57)</f>
        <v>407.88381742738585</v>
      </c>
      <c r="AJ54">
        <f t="shared" ref="AJ54" si="94">_xlfn.STDEV.S(AH54:AH57)</f>
        <v>302.45139370611452</v>
      </c>
      <c r="AK54">
        <f t="shared" si="87"/>
        <v>89.76234003656306</v>
      </c>
      <c r="AL54">
        <f t="shared" ref="AL54" si="95">AVERAGE(AK54:AK57)</f>
        <v>11.882998171846435</v>
      </c>
      <c r="AM54">
        <f t="shared" ref="AM54" si="96">_xlfn.STDEV.S(AK54:AK57)</f>
        <v>66.627775030323264</v>
      </c>
    </row>
    <row r="55" spans="1:39" x14ac:dyDescent="0.3">
      <c r="A55" s="103" t="s">
        <v>98</v>
      </c>
      <c r="B55" s="39" t="s">
        <v>22</v>
      </c>
      <c r="C55" s="39" t="s">
        <v>19</v>
      </c>
      <c r="D55" s="39" t="str">
        <f t="shared" si="84"/>
        <v>PFOShighnutrients</v>
      </c>
      <c r="E55" s="39" t="s">
        <v>33</v>
      </c>
      <c r="F55" s="39">
        <v>3.15</v>
      </c>
      <c r="G55" s="39">
        <v>1.72</v>
      </c>
      <c r="H55" s="39">
        <v>3.21</v>
      </c>
      <c r="I55" s="40">
        <v>6</v>
      </c>
      <c r="X55">
        <f>((I55-$S$14)/$S$14)*100</f>
        <v>64.271047227926076</v>
      </c>
      <c r="AA55">
        <f t="shared" si="85"/>
        <v>3.137086377309843</v>
      </c>
      <c r="AE55">
        <f t="shared" si="2"/>
        <v>2.85</v>
      </c>
      <c r="AH55">
        <f t="shared" si="86"/>
        <v>373.02904564315355</v>
      </c>
      <c r="AK55">
        <f t="shared" si="87"/>
        <v>4.2047531992687466</v>
      </c>
    </row>
    <row r="56" spans="1:39" x14ac:dyDescent="0.3">
      <c r="A56" s="103" t="s">
        <v>98</v>
      </c>
      <c r="B56" s="39" t="s">
        <v>22</v>
      </c>
      <c r="C56" s="39" t="s">
        <v>19</v>
      </c>
      <c r="D56" s="39" t="str">
        <f t="shared" si="84"/>
        <v>PFOShighnutrients</v>
      </c>
      <c r="E56" s="39" t="s">
        <v>34</v>
      </c>
      <c r="F56" s="39">
        <v>3.35</v>
      </c>
      <c r="G56" s="39">
        <v>1.78</v>
      </c>
      <c r="H56" s="39">
        <v>2.88</v>
      </c>
      <c r="I56" s="40">
        <v>4.12</v>
      </c>
      <c r="X56">
        <f t="shared" si="88"/>
        <v>12.799452429842582</v>
      </c>
      <c r="AA56">
        <f>((I56-$S$10)/$S$10)*100</f>
        <v>-29.179200687580575</v>
      </c>
      <c r="AE56">
        <f t="shared" si="2"/>
        <v>0.77</v>
      </c>
      <c r="AH56">
        <f t="shared" si="86"/>
        <v>27.800829875518669</v>
      </c>
      <c r="AK56">
        <f t="shared" si="87"/>
        <v>-71.846435100548447</v>
      </c>
    </row>
    <row r="57" spans="1:39" ht="15" thickBot="1" x14ac:dyDescent="0.35">
      <c r="A57" s="145" t="s">
        <v>98</v>
      </c>
      <c r="B57" s="105" t="s">
        <v>22</v>
      </c>
      <c r="C57" s="105" t="s">
        <v>19</v>
      </c>
      <c r="D57" s="105" t="str">
        <f t="shared" si="84"/>
        <v>PFOShighnutrients</v>
      </c>
      <c r="E57" s="105" t="s">
        <v>35</v>
      </c>
      <c r="F57" s="105">
        <v>2.99</v>
      </c>
      <c r="G57" s="105">
        <v>1.88</v>
      </c>
      <c r="H57" s="105">
        <v>3.57</v>
      </c>
      <c r="I57" s="106">
        <v>6.42</v>
      </c>
      <c r="X57">
        <f t="shared" si="88"/>
        <v>75.77002053388091</v>
      </c>
      <c r="AA57">
        <f t="shared" si="85"/>
        <v>10.35668242372153</v>
      </c>
      <c r="AE57">
        <f t="shared" si="2"/>
        <v>3.4299999999999997</v>
      </c>
      <c r="AH57">
        <f t="shared" si="86"/>
        <v>469.29460580912854</v>
      </c>
      <c r="AK57">
        <f t="shared" si="87"/>
        <v>25.411334552102371</v>
      </c>
    </row>
    <row r="58" spans="1:39" x14ac:dyDescent="0.3">
      <c r="A58" s="107" t="s">
        <v>97</v>
      </c>
      <c r="B58" s="42" t="s">
        <v>21</v>
      </c>
      <c r="C58" s="42" t="s">
        <v>19</v>
      </c>
      <c r="D58" s="42" t="str">
        <f t="shared" si="84"/>
        <v>PFOS+Carblownutrients</v>
      </c>
      <c r="E58" s="42" t="s">
        <v>32</v>
      </c>
      <c r="F58" s="42">
        <v>3.05</v>
      </c>
      <c r="G58" s="42">
        <v>1.61</v>
      </c>
      <c r="H58" s="42">
        <v>2.79</v>
      </c>
      <c r="I58" s="43">
        <v>5.8</v>
      </c>
      <c r="P58">
        <f>AVERAGE(F58:F61)</f>
        <v>2.99</v>
      </c>
      <c r="Q58">
        <f t="shared" ref="Q58:S58" si="97">AVERAGE(G58:G61)</f>
        <v>1.7450000000000001</v>
      </c>
      <c r="R58">
        <f t="shared" si="97"/>
        <v>2.6349999999999998</v>
      </c>
      <c r="S58">
        <f t="shared" si="97"/>
        <v>4.83</v>
      </c>
      <c r="T58">
        <f>_xlfn.STDEV.S(F58:F61)</f>
        <v>0.14212670403551897</v>
      </c>
      <c r="U58">
        <f t="shared" ref="U58:W58" si="98">_xlfn.STDEV.S(G58:G61)</f>
        <v>0.22487033300697237</v>
      </c>
      <c r="V58">
        <f t="shared" si="98"/>
        <v>0.4066530052350128</v>
      </c>
      <c r="W58">
        <f t="shared" si="98"/>
        <v>0.98030607465219688</v>
      </c>
      <c r="X58">
        <f>((I58-$S$14)/$S$14)*100</f>
        <v>58.795345653661876</v>
      </c>
      <c r="Y58">
        <f>AVERAGE(X58:X61)</f>
        <v>32.238193018480494</v>
      </c>
      <c r="Z58">
        <f>_xlfn.STDEV.S(X58:X61)</f>
        <v>26.839317581168995</v>
      </c>
      <c r="AA58">
        <f t="shared" si="85"/>
        <v>-0.30081650193382159</v>
      </c>
      <c r="AB58">
        <f>AVERAGE(AA58:AA61)</f>
        <v>-16.974645466265578</v>
      </c>
      <c r="AC58">
        <f>_xlfn.STDEV.S(AA58:AA61)</f>
        <v>16.850985382934212</v>
      </c>
      <c r="AE58">
        <f t="shared" si="2"/>
        <v>2.75</v>
      </c>
      <c r="AF58">
        <f t="shared" ref="AF58" si="99">AVERAGE(AE58:AE61)</f>
        <v>1.8399999999999999</v>
      </c>
      <c r="AG58">
        <f t="shared" ref="AG58" si="100">_xlfn.STDEV.S(AE58:AE61)</f>
        <v>0.87399466054814512</v>
      </c>
      <c r="AH58">
        <f t="shared" si="86"/>
        <v>356.43153526970951</v>
      </c>
      <c r="AI58">
        <f t="shared" ref="AI58" si="101">AVERAGE(AH58:AH61)</f>
        <v>205.39419087136926</v>
      </c>
      <c r="AJ58">
        <f t="shared" ref="AJ58" si="102">_xlfn.STDEV.S(AH58:AH61)</f>
        <v>145.06135444782484</v>
      </c>
      <c r="AK58">
        <f t="shared" si="87"/>
        <v>0.54844606946984009</v>
      </c>
      <c r="AL58">
        <f t="shared" ref="AL58" si="103">AVERAGE(AK58:AK61)</f>
        <v>-32.723948811700176</v>
      </c>
      <c r="AM58">
        <f t="shared" ref="AM58" si="104">_xlfn.STDEV.S(AK58:AK61)</f>
        <v>31.955929087683543</v>
      </c>
    </row>
    <row r="59" spans="1:39" x14ac:dyDescent="0.3">
      <c r="A59" s="107" t="s">
        <v>97</v>
      </c>
      <c r="B59" s="42" t="s">
        <v>21</v>
      </c>
      <c r="C59" s="42" t="s">
        <v>19</v>
      </c>
      <c r="D59" s="42" t="str">
        <f t="shared" si="84"/>
        <v>PFOS+Carblownutrients</v>
      </c>
      <c r="E59" s="42" t="s">
        <v>33</v>
      </c>
      <c r="F59" s="42">
        <v>2.94</v>
      </c>
      <c r="G59" s="42">
        <v>1.62</v>
      </c>
      <c r="H59" s="42">
        <v>2.08</v>
      </c>
      <c r="I59" s="43">
        <v>3.79</v>
      </c>
      <c r="X59">
        <f t="shared" si="88"/>
        <v>3.7645448323066439</v>
      </c>
      <c r="AA59">
        <f t="shared" si="85"/>
        <v>-34.851740438332619</v>
      </c>
      <c r="AE59">
        <f t="shared" si="2"/>
        <v>0.85000000000000009</v>
      </c>
      <c r="AH59">
        <f t="shared" si="86"/>
        <v>41.078838174273862</v>
      </c>
      <c r="AK59">
        <f t="shared" si="87"/>
        <v>-68.921389396709316</v>
      </c>
    </row>
    <row r="60" spans="1:39" x14ac:dyDescent="0.3">
      <c r="A60" s="107" t="s">
        <v>97</v>
      </c>
      <c r="B60" s="42" t="s">
        <v>21</v>
      </c>
      <c r="C60" s="42" t="s">
        <v>19</v>
      </c>
      <c r="D60" s="42" t="str">
        <f t="shared" si="84"/>
        <v>PFOS+Carblownutrients</v>
      </c>
      <c r="E60" s="42" t="s">
        <v>34</v>
      </c>
      <c r="F60" s="42">
        <v>2.82</v>
      </c>
      <c r="G60" s="42">
        <v>1.67</v>
      </c>
      <c r="H60" s="42">
        <v>2.63</v>
      </c>
      <c r="I60" s="43">
        <v>4.21</v>
      </c>
      <c r="X60">
        <f t="shared" si="88"/>
        <v>15.263518138261468</v>
      </c>
      <c r="AA60">
        <f t="shared" si="85"/>
        <v>-27.632144391920928</v>
      </c>
      <c r="AE60">
        <f t="shared" si="2"/>
        <v>1.3900000000000001</v>
      </c>
      <c r="AH60">
        <f t="shared" si="86"/>
        <v>130.70539419087137</v>
      </c>
      <c r="AK60">
        <f t="shared" si="87"/>
        <v>-49.177330895795244</v>
      </c>
    </row>
    <row r="61" spans="1:39" ht="15" thickBot="1" x14ac:dyDescent="0.35">
      <c r="A61" s="146" t="s">
        <v>97</v>
      </c>
      <c r="B61" s="109" t="s">
        <v>21</v>
      </c>
      <c r="C61" s="109" t="s">
        <v>19</v>
      </c>
      <c r="D61" s="109" t="str">
        <f t="shared" si="84"/>
        <v>PFOS+Carblownutrients</v>
      </c>
      <c r="E61" s="109" t="s">
        <v>35</v>
      </c>
      <c r="F61" s="109">
        <v>3.15</v>
      </c>
      <c r="G61" s="109">
        <v>2.08</v>
      </c>
      <c r="H61" s="109">
        <v>3.04</v>
      </c>
      <c r="I61" s="110">
        <v>5.52</v>
      </c>
      <c r="X61">
        <f t="shared" si="88"/>
        <v>51.129363449691986</v>
      </c>
      <c r="AA61">
        <f t="shared" si="85"/>
        <v>-5.1138805328749513</v>
      </c>
      <c r="AE61">
        <f t="shared" si="2"/>
        <v>2.3699999999999997</v>
      </c>
      <c r="AH61">
        <f t="shared" si="86"/>
        <v>293.36099585062232</v>
      </c>
      <c r="AK61">
        <f>((AE61-$AF$10)/$AF$10)*100</f>
        <v>-13.345521023766004</v>
      </c>
    </row>
    <row r="62" spans="1:39" x14ac:dyDescent="0.3">
      <c r="A62" s="111" t="s">
        <v>97</v>
      </c>
      <c r="B62" s="112" t="s">
        <v>22</v>
      </c>
      <c r="C62" s="112" t="s">
        <v>19</v>
      </c>
      <c r="D62" s="112" t="str">
        <f t="shared" si="84"/>
        <v>PFOS+Carbhighnutrients</v>
      </c>
      <c r="E62" s="112" t="s">
        <v>32</v>
      </c>
      <c r="F62" s="112">
        <v>3.1</v>
      </c>
      <c r="G62" s="112">
        <v>1.67</v>
      </c>
      <c r="H62" s="112">
        <v>2.9</v>
      </c>
      <c r="I62" s="113">
        <v>6.38</v>
      </c>
      <c r="P62">
        <f>AVERAGE(F62:F65)</f>
        <v>3.06</v>
      </c>
      <c r="Q62">
        <f t="shared" ref="Q62:S62" si="105">AVERAGE(G62:G65)</f>
        <v>1.9249999999999998</v>
      </c>
      <c r="R62">
        <f t="shared" si="105"/>
        <v>3.0350000000000001</v>
      </c>
      <c r="S62">
        <f t="shared" si="105"/>
        <v>5.9775</v>
      </c>
      <c r="T62">
        <f>_xlfn.STDEV.S(F62:F65)</f>
        <v>0.23776739333502678</v>
      </c>
      <c r="U62">
        <f t="shared" ref="U62:W62" si="106">_xlfn.STDEV.S(G62:G65)</f>
        <v>0.39306488014067159</v>
      </c>
      <c r="V62">
        <f t="shared" si="106"/>
        <v>0.23530122538284137</v>
      </c>
      <c r="W62">
        <f t="shared" si="106"/>
        <v>0.34042865135982125</v>
      </c>
      <c r="X62">
        <f t="shared" si="88"/>
        <v>74.674880219028068</v>
      </c>
      <c r="Y62">
        <f>AVERAGE(X62:X65)</f>
        <v>63.655030800821358</v>
      </c>
      <c r="Z62">
        <f>_xlfn.STDEV.S(X62:X65)</f>
        <v>9.3204285108780613</v>
      </c>
      <c r="AA62">
        <f t="shared" si="85"/>
        <v>9.6691018478727973</v>
      </c>
      <c r="AB62">
        <f>AVERAGE(AA62:AA65)</f>
        <v>2.750322303394928</v>
      </c>
      <c r="AC62">
        <f>_xlfn.STDEV.S(AA62:AA65)</f>
        <v>5.8518032034348293</v>
      </c>
      <c r="AE62">
        <f t="shared" si="2"/>
        <v>3.28</v>
      </c>
      <c r="AF62">
        <f t="shared" ref="AF62" si="107">AVERAGE(AE62:AE65)</f>
        <v>2.9174999999999995</v>
      </c>
      <c r="AG62">
        <f t="shared" ref="AG62" si="108">_xlfn.STDEV.S(AE62:AE65)</f>
        <v>0.28500000000000009</v>
      </c>
      <c r="AH62">
        <f t="shared" si="86"/>
        <v>444.3983402489626</v>
      </c>
      <c r="AI62">
        <f t="shared" ref="AI62" si="109">AVERAGE(AH62:AH65)</f>
        <v>384.23236514522813</v>
      </c>
      <c r="AJ62">
        <f t="shared" ref="AJ62" si="110">_xlfn.STDEV.S(AH62:AH65)</f>
        <v>47.302904564315895</v>
      </c>
      <c r="AK62">
        <f t="shared" si="87"/>
        <v>19.926873857404022</v>
      </c>
      <c r="AL62">
        <f t="shared" ref="AL62" si="111">AVERAGE(AK62:AK65)</f>
        <v>6.6727605118829985</v>
      </c>
      <c r="AM62">
        <f t="shared" ref="AM62" si="112">_xlfn.STDEV.S(AK62:AK65)</f>
        <v>10.420475319926879</v>
      </c>
    </row>
    <row r="63" spans="1:39" x14ac:dyDescent="0.3">
      <c r="A63" s="111" t="s">
        <v>97</v>
      </c>
      <c r="B63" s="112" t="s">
        <v>22</v>
      </c>
      <c r="C63" s="112" t="s">
        <v>19</v>
      </c>
      <c r="D63" s="112" t="str">
        <f t="shared" si="84"/>
        <v>PFOS+Carbhighnutrients</v>
      </c>
      <c r="E63" s="112" t="s">
        <v>33</v>
      </c>
      <c r="F63" s="112">
        <v>3.38</v>
      </c>
      <c r="G63" s="112">
        <v>1.73</v>
      </c>
      <c r="H63" s="112">
        <v>3.33</v>
      </c>
      <c r="I63" s="113">
        <v>6.06</v>
      </c>
      <c r="X63">
        <f t="shared" si="88"/>
        <v>65.913757700205338</v>
      </c>
      <c r="AA63">
        <f t="shared" si="85"/>
        <v>4.168457241082935</v>
      </c>
      <c r="AE63">
        <f t="shared" si="2"/>
        <v>2.6799999999999997</v>
      </c>
      <c r="AH63">
        <f t="shared" si="86"/>
        <v>344.81327800829871</v>
      </c>
      <c r="AK63">
        <f t="shared" si="87"/>
        <v>-2.0109689213894026</v>
      </c>
    </row>
    <row r="64" spans="1:39" x14ac:dyDescent="0.3">
      <c r="A64" s="111" t="s">
        <v>97</v>
      </c>
      <c r="B64" s="112" t="s">
        <v>22</v>
      </c>
      <c r="C64" s="112" t="s">
        <v>19</v>
      </c>
      <c r="D64" s="112" t="str">
        <f t="shared" si="84"/>
        <v>PFOS+Carbhighnutrients</v>
      </c>
      <c r="E64" s="112" t="s">
        <v>34</v>
      </c>
      <c r="F64" s="112">
        <v>2.9</v>
      </c>
      <c r="G64" s="112">
        <v>1.79</v>
      </c>
      <c r="H64" s="112">
        <v>2.8</v>
      </c>
      <c r="I64" s="113">
        <v>5.91</v>
      </c>
      <c r="X64">
        <f t="shared" si="88"/>
        <v>61.806981519507197</v>
      </c>
      <c r="AA64">
        <f t="shared" si="85"/>
        <v>1.5900300816501975</v>
      </c>
      <c r="AE64">
        <f t="shared" si="2"/>
        <v>3.0100000000000002</v>
      </c>
      <c r="AH64">
        <f t="shared" si="86"/>
        <v>399.58506224066389</v>
      </c>
      <c r="AK64">
        <f t="shared" si="87"/>
        <v>10.054844606946997</v>
      </c>
    </row>
    <row r="65" spans="1:39" ht="15" thickBot="1" x14ac:dyDescent="0.35">
      <c r="A65" s="147" t="s">
        <v>97</v>
      </c>
      <c r="B65" s="115" t="s">
        <v>22</v>
      </c>
      <c r="C65" s="115" t="s">
        <v>19</v>
      </c>
      <c r="D65" s="115" t="str">
        <f t="shared" si="84"/>
        <v>PFOS+Carbhighnutrients</v>
      </c>
      <c r="E65" s="115" t="s">
        <v>35</v>
      </c>
      <c r="F65" s="115">
        <v>2.86</v>
      </c>
      <c r="G65" s="115">
        <v>2.5099999999999998</v>
      </c>
      <c r="H65" s="115">
        <v>3.11</v>
      </c>
      <c r="I65" s="116">
        <v>5.56</v>
      </c>
      <c r="X65">
        <f t="shared" si="88"/>
        <v>52.224503764544828</v>
      </c>
      <c r="AA65">
        <f t="shared" si="85"/>
        <v>-4.4262999570262185</v>
      </c>
      <c r="AE65">
        <f t="shared" si="2"/>
        <v>2.6999999999999997</v>
      </c>
      <c r="AH65">
        <f t="shared" si="86"/>
        <v>348.13278008298749</v>
      </c>
      <c r="AK65">
        <f t="shared" si="87"/>
        <v>-1.2797074954296213</v>
      </c>
    </row>
    <row r="66" spans="1:39" x14ac:dyDescent="0.3">
      <c r="A66" s="117" t="s">
        <v>99</v>
      </c>
      <c r="B66" s="48" t="s">
        <v>21</v>
      </c>
      <c r="C66" s="48" t="s">
        <v>19</v>
      </c>
      <c r="D66" s="48" t="str">
        <f t="shared" si="84"/>
        <v>PFOS+Diclownutrients</v>
      </c>
      <c r="E66" s="48" t="s">
        <v>32</v>
      </c>
      <c r="F66" s="48">
        <v>2.82</v>
      </c>
      <c r="G66" s="48">
        <v>1.56</v>
      </c>
      <c r="H66" s="48">
        <v>2.16</v>
      </c>
      <c r="I66" s="49">
        <v>6.04</v>
      </c>
      <c r="P66">
        <f>AVERAGE(F66:F69)</f>
        <v>2.9224999999999999</v>
      </c>
      <c r="Q66">
        <f t="shared" ref="Q66:S66" si="113">AVERAGE(G66:G69)</f>
        <v>1.4975000000000001</v>
      </c>
      <c r="R66">
        <f t="shared" si="113"/>
        <v>2.7925</v>
      </c>
      <c r="S66">
        <f t="shared" si="113"/>
        <v>4.7974999999999994</v>
      </c>
      <c r="T66">
        <f>_xlfn.STDEV.S(F66:F69)</f>
        <v>0.12658988901172166</v>
      </c>
      <c r="U66">
        <f t="shared" ref="U66:W66" si="114">_xlfn.STDEV.S(G66:G69)</f>
        <v>5.8523499553598181E-2</v>
      </c>
      <c r="V66">
        <f t="shared" si="114"/>
        <v>0.65464366897827142</v>
      </c>
      <c r="W66">
        <f t="shared" si="114"/>
        <v>0.96600120772871878</v>
      </c>
      <c r="X66">
        <f t="shared" si="88"/>
        <v>65.366187542778931</v>
      </c>
      <c r="Y66">
        <f>AVERAGE(X66:X69)</f>
        <v>31.34839151266257</v>
      </c>
      <c r="Z66">
        <f>_xlfn.STDEV.S(X66:X69)</f>
        <v>26.447671669506189</v>
      </c>
      <c r="AA66">
        <f t="shared" si="85"/>
        <v>3.8246669531585757</v>
      </c>
      <c r="AB66">
        <f>AVERAGE(AA66:AA69)</f>
        <v>-17.533304684142671</v>
      </c>
      <c r="AC66">
        <f>_xlfn.STDEV.S(AA66:AA69)</f>
        <v>16.605091667016993</v>
      </c>
      <c r="AE66">
        <f t="shared" si="2"/>
        <v>3.22</v>
      </c>
      <c r="AF66">
        <f t="shared" ref="AF66" si="115">AVERAGE(AE66:AE69)</f>
        <v>1.875</v>
      </c>
      <c r="AG66">
        <f t="shared" ref="AG66" si="116">_xlfn.STDEV.S(AE66:AE69)</f>
        <v>1.0760576192751019</v>
      </c>
      <c r="AH66">
        <f t="shared" si="86"/>
        <v>434.43983402489624</v>
      </c>
      <c r="AI66">
        <f t="shared" ref="AI66" si="117">AVERAGE(AH66:AH69)</f>
        <v>211.20331950207466</v>
      </c>
      <c r="AJ66">
        <f t="shared" ref="AJ66" si="118">_xlfn.STDEV.S(AH66:AH69)</f>
        <v>178.59877498341936</v>
      </c>
      <c r="AK66">
        <f t="shared" si="87"/>
        <v>17.733089579524691</v>
      </c>
      <c r="AL66">
        <f t="shared" ref="AL66" si="119">AVERAGE(AK66:AK69)</f>
        <v>-31.444241316270563</v>
      </c>
      <c r="AM66">
        <f t="shared" ref="AM66" si="120">_xlfn.STDEV.S(AK66:AK69)</f>
        <v>39.34397145429989</v>
      </c>
    </row>
    <row r="67" spans="1:39" x14ac:dyDescent="0.3">
      <c r="A67" s="117" t="s">
        <v>99</v>
      </c>
      <c r="B67" s="48" t="s">
        <v>21</v>
      </c>
      <c r="C67" s="48" t="s">
        <v>19</v>
      </c>
      <c r="D67" s="48" t="str">
        <f t="shared" si="84"/>
        <v>PFOS+Diclownutrients</v>
      </c>
      <c r="E67" s="48" t="s">
        <v>33</v>
      </c>
      <c r="F67" s="48">
        <v>2.81</v>
      </c>
      <c r="G67" s="48">
        <v>1.47</v>
      </c>
      <c r="H67" s="48">
        <v>2.4300000000000002</v>
      </c>
      <c r="I67" s="49">
        <v>5.07</v>
      </c>
      <c r="X67">
        <f t="shared" si="88"/>
        <v>38.80903490759755</v>
      </c>
      <c r="AA67">
        <f t="shared" si="85"/>
        <v>-12.849162011173179</v>
      </c>
      <c r="AE67">
        <f t="shared" si="2"/>
        <v>2.2600000000000002</v>
      </c>
      <c r="AH67">
        <f t="shared" si="86"/>
        <v>275.103734439834</v>
      </c>
      <c r="AK67">
        <f t="shared" si="87"/>
        <v>-17.367458866544776</v>
      </c>
    </row>
    <row r="68" spans="1:39" x14ac:dyDescent="0.3">
      <c r="A68" s="117" t="s">
        <v>99</v>
      </c>
      <c r="B68" s="48" t="s">
        <v>21</v>
      </c>
      <c r="C68" s="48" t="s">
        <v>19</v>
      </c>
      <c r="D68" s="48" t="str">
        <f t="shared" si="84"/>
        <v>PFOS+Diclownutrients</v>
      </c>
      <c r="E68" s="48" t="s">
        <v>34</v>
      </c>
      <c r="F68" s="48">
        <v>3.06</v>
      </c>
      <c r="G68" s="48">
        <v>1.53</v>
      </c>
      <c r="H68" s="48">
        <v>2.93</v>
      </c>
      <c r="I68" s="49">
        <v>4.17</v>
      </c>
      <c r="X68">
        <f t="shared" si="88"/>
        <v>14.168377823408626</v>
      </c>
      <c r="AA68">
        <f t="shared" si="85"/>
        <v>-28.319724967769659</v>
      </c>
      <c r="AE68">
        <f t="shared" ref="AE68:AE81" si="121">I68-F68</f>
        <v>1.1099999999999999</v>
      </c>
      <c r="AH68">
        <f t="shared" si="86"/>
        <v>84.232365145228187</v>
      </c>
      <c r="AK68">
        <f t="shared" si="87"/>
        <v>-59.414990859232176</v>
      </c>
    </row>
    <row r="69" spans="1:39" ht="15" thickBot="1" x14ac:dyDescent="0.35">
      <c r="A69" s="148" t="s">
        <v>99</v>
      </c>
      <c r="B69" s="119" t="s">
        <v>21</v>
      </c>
      <c r="C69" s="119" t="s">
        <v>19</v>
      </c>
      <c r="D69" s="119" t="str">
        <f t="shared" si="84"/>
        <v>PFOS+Diclownutrients</v>
      </c>
      <c r="E69" s="119" t="s">
        <v>35</v>
      </c>
      <c r="F69" s="119">
        <v>3</v>
      </c>
      <c r="G69" s="119">
        <v>1.43</v>
      </c>
      <c r="H69" s="119">
        <v>3.65</v>
      </c>
      <c r="I69" s="120">
        <v>3.91</v>
      </c>
      <c r="X69">
        <f t="shared" si="88"/>
        <v>7.0499657768651689</v>
      </c>
      <c r="AA69">
        <f t="shared" si="85"/>
        <v>-32.788998710786416</v>
      </c>
      <c r="AE69">
        <f t="shared" si="121"/>
        <v>0.91000000000000014</v>
      </c>
      <c r="AH69">
        <f t="shared" si="86"/>
        <v>51.037344398340267</v>
      </c>
      <c r="AK69">
        <f t="shared" si="87"/>
        <v>-66.727605118829985</v>
      </c>
    </row>
    <row r="70" spans="1:39" x14ac:dyDescent="0.3">
      <c r="A70" s="121" t="s">
        <v>99</v>
      </c>
      <c r="B70" s="51" t="s">
        <v>22</v>
      </c>
      <c r="C70" s="51" t="s">
        <v>19</v>
      </c>
      <c r="D70" s="51" t="str">
        <f t="shared" si="84"/>
        <v>PFOS+Dichighnutrients</v>
      </c>
      <c r="E70" s="51" t="s">
        <v>32</v>
      </c>
      <c r="F70" s="51">
        <v>2.95</v>
      </c>
      <c r="G70" s="51">
        <v>1.57</v>
      </c>
      <c r="H70" s="51">
        <v>2.46</v>
      </c>
      <c r="I70" s="52">
        <v>4.4000000000000004</v>
      </c>
      <c r="P70">
        <f>AVERAGE(F70:F73)</f>
        <v>2.9824999999999999</v>
      </c>
      <c r="Q70">
        <f t="shared" ref="Q70:S70" si="122">AVERAGE(G70:G73)</f>
        <v>1.5249999999999999</v>
      </c>
      <c r="R70">
        <f t="shared" si="122"/>
        <v>3.5375000000000001</v>
      </c>
      <c r="S70">
        <f t="shared" si="122"/>
        <v>3.6950000000000003</v>
      </c>
      <c r="T70">
        <f>_xlfn.STDEV.S(F70:F73)</f>
        <v>3.201562118716407E-2</v>
      </c>
      <c r="U70">
        <f t="shared" ref="U70:W70" si="123">_xlfn.STDEV.S(G70:G73)</f>
        <v>0.13178264933847192</v>
      </c>
      <c r="V70">
        <f t="shared" si="123"/>
        <v>1.4138452296249877</v>
      </c>
      <c r="W70">
        <f t="shared" si="123"/>
        <v>0.68217788491467946</v>
      </c>
      <c r="X70">
        <f t="shared" si="88"/>
        <v>20.465434633812471</v>
      </c>
      <c r="Y70">
        <f>AVERAGE(X70:X73)</f>
        <v>1.1635865845311519</v>
      </c>
      <c r="Z70">
        <f>_xlfn.STDEV.S(X70:X73)</f>
        <v>18.677012591777693</v>
      </c>
      <c r="AA70">
        <f t="shared" si="85"/>
        <v>-24.366136656639441</v>
      </c>
      <c r="AB70">
        <f>AVERAGE(AA70:AA73)</f>
        <v>-36.484744305973351</v>
      </c>
      <c r="AC70">
        <f>_xlfn.STDEV.S(AA70:AA73)</f>
        <v>11.726306573522633</v>
      </c>
      <c r="AE70">
        <f t="shared" si="121"/>
        <v>1.4500000000000002</v>
      </c>
      <c r="AF70">
        <f t="shared" ref="AF70" si="124">AVERAGE(AE70:AE73)</f>
        <v>0.71250000000000024</v>
      </c>
      <c r="AG70">
        <f t="shared" ref="AG70" si="125">_xlfn.STDEV.S(AE70:AE73)</f>
        <v>0.71233770081331504</v>
      </c>
      <c r="AH70">
        <f t="shared" si="86"/>
        <v>140.66390041493776</v>
      </c>
      <c r="AI70">
        <f t="shared" ref="AI70" si="126">AVERAGE(AH70:AH73)</f>
        <v>18.257261410788409</v>
      </c>
      <c r="AJ70">
        <f t="shared" ref="AJ70" si="127">_xlfn.STDEV.S(AH70:AH73)</f>
        <v>118.2303237864423</v>
      </c>
      <c r="AK70">
        <f t="shared" si="87"/>
        <v>-46.983546617915891</v>
      </c>
      <c r="AL70">
        <f t="shared" ref="AL70" si="128">AVERAGE(AK70:AK73)</f>
        <v>-73.948811700182802</v>
      </c>
      <c r="AM70">
        <f t="shared" ref="AM70" si="129">_xlfn.STDEV.S(AK70:AK73)</f>
        <v>26.045254143082818</v>
      </c>
    </row>
    <row r="71" spans="1:39" x14ac:dyDescent="0.3">
      <c r="A71" s="121" t="s">
        <v>99</v>
      </c>
      <c r="B71" s="51" t="s">
        <v>22</v>
      </c>
      <c r="C71" s="51" t="s">
        <v>19</v>
      </c>
      <c r="D71" s="51" t="str">
        <f t="shared" si="84"/>
        <v>PFOS+Dichighnutrients</v>
      </c>
      <c r="E71" s="51" t="s">
        <v>33</v>
      </c>
      <c r="F71" s="51">
        <v>3.01</v>
      </c>
      <c r="G71" s="51">
        <v>1.48</v>
      </c>
      <c r="H71" s="51">
        <v>2.74</v>
      </c>
      <c r="I71" s="52">
        <v>2.87</v>
      </c>
      <c r="X71">
        <f t="shared" si="88"/>
        <v>-21.423682409308686</v>
      </c>
      <c r="AA71">
        <f t="shared" si="85"/>
        <v>-50.66609368285345</v>
      </c>
      <c r="AE71">
        <f t="shared" si="121"/>
        <v>-0.13999999999999968</v>
      </c>
      <c r="AH71">
        <f t="shared" si="86"/>
        <v>-123.23651452282152</v>
      </c>
      <c r="AK71">
        <f t="shared" si="87"/>
        <v>-105.11882998171845</v>
      </c>
    </row>
    <row r="72" spans="1:39" x14ac:dyDescent="0.3">
      <c r="A72" s="121" t="s">
        <v>99</v>
      </c>
      <c r="B72" s="51" t="s">
        <v>22</v>
      </c>
      <c r="C72" s="51" t="s">
        <v>19</v>
      </c>
      <c r="D72" s="51" t="str">
        <f t="shared" si="84"/>
        <v>PFOS+Dichighnutrients</v>
      </c>
      <c r="E72" s="51" t="s">
        <v>34</v>
      </c>
      <c r="F72" s="51">
        <v>3.01</v>
      </c>
      <c r="G72" s="51">
        <v>1.37</v>
      </c>
      <c r="H72" s="51">
        <v>3.37</v>
      </c>
      <c r="I72" s="52">
        <v>3.43</v>
      </c>
      <c r="X72">
        <f t="shared" si="88"/>
        <v>-6.0917180013689176</v>
      </c>
      <c r="AA72">
        <f>((I72-$S$10)/$S$10)*100</f>
        <v>-41.039965620971202</v>
      </c>
      <c r="AE72">
        <f t="shared" si="121"/>
        <v>0.42000000000000037</v>
      </c>
      <c r="AH72">
        <f t="shared" si="86"/>
        <v>-30.290456431535212</v>
      </c>
      <c r="AK72">
        <f t="shared" si="87"/>
        <v>-84.643510054844597</v>
      </c>
    </row>
    <row r="73" spans="1:39" ht="15" thickBot="1" x14ac:dyDescent="0.35">
      <c r="A73" s="149" t="s">
        <v>99</v>
      </c>
      <c r="B73" s="123" t="s">
        <v>22</v>
      </c>
      <c r="C73" s="123" t="s">
        <v>19</v>
      </c>
      <c r="D73" s="123" t="str">
        <f t="shared" si="84"/>
        <v>PFOS+Dichighnutrients</v>
      </c>
      <c r="E73" s="123" t="s">
        <v>35</v>
      </c>
      <c r="F73" s="123">
        <v>2.96</v>
      </c>
      <c r="G73" s="123">
        <v>1.68</v>
      </c>
      <c r="H73" s="123">
        <v>5.58</v>
      </c>
      <c r="I73" s="124">
        <v>4.08</v>
      </c>
      <c r="X73">
        <f t="shared" si="88"/>
        <v>11.70431211498974</v>
      </c>
      <c r="AA73">
        <f t="shared" si="85"/>
        <v>-29.866781263429303</v>
      </c>
      <c r="AE73">
        <f t="shared" si="121"/>
        <v>1.1200000000000001</v>
      </c>
      <c r="AH73">
        <f t="shared" si="86"/>
        <v>85.892116182572622</v>
      </c>
      <c r="AK73">
        <f t="shared" si="87"/>
        <v>-59.049360146252283</v>
      </c>
    </row>
    <row r="74" spans="1:39" x14ac:dyDescent="0.3">
      <c r="A74" s="125" t="s">
        <v>100</v>
      </c>
      <c r="B74" s="54" t="s">
        <v>21</v>
      </c>
      <c r="C74" s="54" t="s">
        <v>19</v>
      </c>
      <c r="D74" s="54" t="str">
        <f t="shared" si="84"/>
        <v>PFOS+6ppdqlownutrients</v>
      </c>
      <c r="E74" s="54" t="s">
        <v>32</v>
      </c>
      <c r="F74" s="54">
        <v>3.37</v>
      </c>
      <c r="G74" s="54">
        <v>1.78</v>
      </c>
      <c r="H74" s="54">
        <v>5.48</v>
      </c>
      <c r="I74" s="55">
        <v>6.65</v>
      </c>
      <c r="P74">
        <f>AVERAGE(F74:F77)</f>
        <v>3.1150000000000002</v>
      </c>
      <c r="Q74">
        <f t="shared" ref="Q74:S74" si="130">AVERAGE(G74:G77)</f>
        <v>1.6625000000000001</v>
      </c>
      <c r="R74">
        <f t="shared" si="130"/>
        <v>5.4975000000000005</v>
      </c>
      <c r="S74">
        <f t="shared" si="130"/>
        <v>5.61</v>
      </c>
      <c r="T74">
        <f>_xlfn.STDEV.S(F74:F77)</f>
        <v>0.2048576741707927</v>
      </c>
      <c r="U74">
        <f t="shared" ref="U74:W74" si="131">_xlfn.STDEV.S(G74:G77)</f>
        <v>8.2209083034256836E-2</v>
      </c>
      <c r="V74">
        <f t="shared" si="131"/>
        <v>0.40909452860351653</v>
      </c>
      <c r="W74">
        <f t="shared" si="131"/>
        <v>0.83996031652295045</v>
      </c>
      <c r="X74">
        <f t="shared" si="88"/>
        <v>82.067077344284755</v>
      </c>
      <c r="Y74">
        <f>AVERAGE(X74:X77)</f>
        <v>53.593429158110894</v>
      </c>
      <c r="Z74">
        <f>_xlfn.STDEV.S(X74:X77)</f>
        <v>22.996860137520883</v>
      </c>
      <c r="AA74">
        <f t="shared" si="85"/>
        <v>14.310270734851748</v>
      </c>
      <c r="AB74">
        <f>AVERAGE(AA74:AA77)</f>
        <v>-3.5668242372152914</v>
      </c>
      <c r="AC74">
        <f>_xlfn.STDEV.S(AA74:AA77)</f>
        <v>14.438509953123326</v>
      </c>
      <c r="AE74">
        <f t="shared" si="121"/>
        <v>3.2800000000000002</v>
      </c>
      <c r="AF74">
        <f t="shared" ref="AF74" si="132">AVERAGE(AE74:AE77)</f>
        <v>2.4950000000000001</v>
      </c>
      <c r="AG74">
        <f t="shared" ref="AG74" si="133">_xlfn.STDEV.S(AE74:AE77)</f>
        <v>0.6557692683660421</v>
      </c>
      <c r="AH74">
        <f t="shared" si="86"/>
        <v>444.39834024896265</v>
      </c>
      <c r="AI74">
        <f t="shared" ref="AI74" si="134">AVERAGE(AH74:AH77)</f>
        <v>314.10788381742742</v>
      </c>
      <c r="AJ74">
        <f t="shared" ref="AJ74" si="135">_xlfn.STDEV.S(AH74:AH77)</f>
        <v>108.84137234291138</v>
      </c>
      <c r="AK74">
        <f t="shared" si="87"/>
        <v>19.926873857404036</v>
      </c>
      <c r="AL74">
        <f t="shared" ref="AL74" si="136">AVERAGE(AK74:AK77)</f>
        <v>-8.7751371115173527</v>
      </c>
      <c r="AM74">
        <f t="shared" ref="AM74" si="137">_xlfn.STDEV.S(AK74:AK77)</f>
        <v>23.976938514297679</v>
      </c>
    </row>
    <row r="75" spans="1:39" x14ac:dyDescent="0.3">
      <c r="A75" s="125" t="s">
        <v>100</v>
      </c>
      <c r="B75" s="54" t="s">
        <v>21</v>
      </c>
      <c r="C75" s="54" t="s">
        <v>19</v>
      </c>
      <c r="D75" s="54" t="str">
        <f t="shared" si="84"/>
        <v>PFOS+6ppdqlownutrients</v>
      </c>
      <c r="E75" s="54" t="s">
        <v>33</v>
      </c>
      <c r="F75" s="54">
        <v>3.09</v>
      </c>
      <c r="G75" s="54">
        <v>1.59</v>
      </c>
      <c r="H75" s="54">
        <v>5.32</v>
      </c>
      <c r="I75" s="55">
        <v>5.86</v>
      </c>
      <c r="X75">
        <f t="shared" si="88"/>
        <v>60.438056125941152</v>
      </c>
      <c r="AA75">
        <f t="shared" si="85"/>
        <v>0.73055436183928535</v>
      </c>
      <c r="AE75">
        <f t="shared" si="121"/>
        <v>2.7700000000000005</v>
      </c>
      <c r="AH75">
        <f t="shared" si="86"/>
        <v>359.75103734439841</v>
      </c>
      <c r="AK75">
        <f t="shared" si="87"/>
        <v>1.2797074954296377</v>
      </c>
    </row>
    <row r="76" spans="1:39" x14ac:dyDescent="0.3">
      <c r="A76" s="125" t="s">
        <v>100</v>
      </c>
      <c r="B76" s="54" t="s">
        <v>21</v>
      </c>
      <c r="C76" s="54" t="s">
        <v>19</v>
      </c>
      <c r="D76" s="54" t="str">
        <f t="shared" si="84"/>
        <v>PFOS+6ppdqlownutrients</v>
      </c>
      <c r="E76" s="54" t="s">
        <v>34</v>
      </c>
      <c r="F76" s="54">
        <v>2.87</v>
      </c>
      <c r="G76" s="54">
        <v>1.63</v>
      </c>
      <c r="H76" s="54">
        <v>5.12</v>
      </c>
      <c r="I76" s="55">
        <v>4.7</v>
      </c>
      <c r="X76">
        <f t="shared" si="88"/>
        <v>28.678986995208771</v>
      </c>
      <c r="AA76">
        <f t="shared" si="85"/>
        <v>-19.209282337773953</v>
      </c>
      <c r="AE76">
        <f t="shared" si="121"/>
        <v>1.83</v>
      </c>
      <c r="AH76">
        <f>((AE76-$AF$14)/$AF$14)*100</f>
        <v>203.7344398340249</v>
      </c>
      <c r="AK76">
        <f>((AE76-$AF$10)/$AF$10)*100</f>
        <v>-33.089579524680069</v>
      </c>
    </row>
    <row r="77" spans="1:39" ht="15" thickBot="1" x14ac:dyDescent="0.35">
      <c r="A77" s="150" t="s">
        <v>100</v>
      </c>
      <c r="B77" s="127" t="s">
        <v>21</v>
      </c>
      <c r="C77" s="127" t="s">
        <v>19</v>
      </c>
      <c r="D77" s="127" t="str">
        <f t="shared" si="84"/>
        <v>PFOS+6ppdqlownutrients</v>
      </c>
      <c r="E77" s="127" t="s">
        <v>35</v>
      </c>
      <c r="F77" s="127">
        <v>3.13</v>
      </c>
      <c r="G77" s="127">
        <v>1.65</v>
      </c>
      <c r="H77" s="127">
        <v>6.07</v>
      </c>
      <c r="I77" s="128">
        <v>5.23</v>
      </c>
      <c r="X77">
        <f t="shared" si="88"/>
        <v>43.189596167008915</v>
      </c>
      <c r="AA77">
        <f t="shared" si="85"/>
        <v>-10.098839707778247</v>
      </c>
      <c r="AE77">
        <f t="shared" si="121"/>
        <v>2.1000000000000005</v>
      </c>
      <c r="AH77">
        <f t="shared" si="86"/>
        <v>248.54771784232369</v>
      </c>
      <c r="AK77">
        <f t="shared" si="87"/>
        <v>-23.217550274223012</v>
      </c>
    </row>
    <row r="78" spans="1:39" x14ac:dyDescent="0.3">
      <c r="A78" s="129" t="s">
        <v>100</v>
      </c>
      <c r="B78" s="130" t="s">
        <v>22</v>
      </c>
      <c r="C78" s="130" t="s">
        <v>19</v>
      </c>
      <c r="D78" s="130" t="str">
        <f t="shared" si="84"/>
        <v>PFOS+6ppdqhighnutrients</v>
      </c>
      <c r="E78" s="130" t="s">
        <v>32</v>
      </c>
      <c r="F78" s="130">
        <v>2.98</v>
      </c>
      <c r="G78" s="130">
        <v>1.35</v>
      </c>
      <c r="H78" s="130">
        <v>6.04</v>
      </c>
      <c r="I78" s="131">
        <v>4.58</v>
      </c>
      <c r="P78">
        <f>AVERAGE(F78:F81)</f>
        <v>3.0300000000000002</v>
      </c>
      <c r="Q78">
        <f t="shared" ref="Q78:S78" si="138">AVERAGE(G78:G81)</f>
        <v>1.62</v>
      </c>
      <c r="R78">
        <f t="shared" si="138"/>
        <v>5.51</v>
      </c>
      <c r="S78">
        <f t="shared" si="138"/>
        <v>5.1049999999999995</v>
      </c>
      <c r="T78">
        <f>_xlfn.STDEV.S(F78:F81)</f>
        <v>8.4459063062132841E-2</v>
      </c>
      <c r="U78">
        <f t="shared" ref="U78:W78" si="139">_xlfn.STDEV.S(G78:G81)</f>
        <v>0.26242459234352644</v>
      </c>
      <c r="V78">
        <f t="shared" si="139"/>
        <v>0.36687872655688281</v>
      </c>
      <c r="W78">
        <f t="shared" si="139"/>
        <v>0.83803341222173722</v>
      </c>
      <c r="X78">
        <f t="shared" si="88"/>
        <v>25.393566050650247</v>
      </c>
      <c r="Y78">
        <f>AVERAGE(X78:X81)</f>
        <v>39.767282683093782</v>
      </c>
      <c r="Z78">
        <f>_xlfn.STDEV.S(X78:X81)</f>
        <v>22.9441043729427</v>
      </c>
      <c r="AA78">
        <f t="shared" si="85"/>
        <v>-21.272024065320153</v>
      </c>
      <c r="AB78">
        <f>AVERAGE(AA78:AA81)</f>
        <v>-12.247529007305543</v>
      </c>
      <c r="AC78">
        <f>_xlfn.STDEV.S(AA78:AA81)</f>
        <v>14.40538740389742</v>
      </c>
      <c r="AE78">
        <f t="shared" si="121"/>
        <v>1.6</v>
      </c>
      <c r="AF78">
        <f t="shared" ref="AF78" si="140">AVERAGE(AE78:AE81)</f>
        <v>2.0750000000000002</v>
      </c>
      <c r="AG78">
        <f t="shared" ref="AG78" si="141">_xlfn.STDEV.S(AE78:AE81)</f>
        <v>0.75403359783677115</v>
      </c>
      <c r="AH78">
        <f t="shared" si="86"/>
        <v>165.56016597510373</v>
      </c>
      <c r="AI78">
        <f t="shared" ref="AI78" si="142">AVERAGE(AH78:AH81)</f>
        <v>244.39834024896263</v>
      </c>
      <c r="AJ78">
        <f t="shared" ref="AJ78" si="143">_xlfn.STDEV.S(AH78:AH81)</f>
        <v>125.1508046202111</v>
      </c>
      <c r="AK78">
        <f t="shared" si="87"/>
        <v>-41.499085923217542</v>
      </c>
      <c r="AL78">
        <f t="shared" ref="AL78" si="144">AVERAGE(AK78:AK81)</f>
        <v>-24.131627056672755</v>
      </c>
      <c r="AM78">
        <f t="shared" ref="AM78" si="145">_xlfn.STDEV.S(AK78:AK81)</f>
        <v>27.569784198785083</v>
      </c>
    </row>
    <row r="79" spans="1:39" x14ac:dyDescent="0.3">
      <c r="A79" s="129" t="s">
        <v>100</v>
      </c>
      <c r="B79" s="130" t="s">
        <v>22</v>
      </c>
      <c r="C79" s="130" t="s">
        <v>19</v>
      </c>
      <c r="D79" s="130" t="str">
        <f t="shared" si="84"/>
        <v>PFOS+6ppdqhighnutrients</v>
      </c>
      <c r="E79" s="130" t="s">
        <v>33</v>
      </c>
      <c r="F79" s="130">
        <v>3.14</v>
      </c>
      <c r="G79" s="130">
        <v>1.58</v>
      </c>
      <c r="H79" s="130">
        <v>5.29</v>
      </c>
      <c r="I79" s="131">
        <v>6.25</v>
      </c>
      <c r="X79">
        <f t="shared" si="88"/>
        <v>71.115674195756341</v>
      </c>
      <c r="AA79">
        <f t="shared" si="85"/>
        <v>7.4344649763644206</v>
      </c>
      <c r="AE79">
        <f t="shared" si="121"/>
        <v>3.11</v>
      </c>
      <c r="AH79">
        <f t="shared" si="86"/>
        <v>416.18257261410781</v>
      </c>
      <c r="AK79">
        <f t="shared" si="87"/>
        <v>13.711151736745888</v>
      </c>
    </row>
    <row r="80" spans="1:39" x14ac:dyDescent="0.3">
      <c r="A80" s="129" t="s">
        <v>100</v>
      </c>
      <c r="B80" s="130" t="s">
        <v>22</v>
      </c>
      <c r="C80" s="130" t="s">
        <v>19</v>
      </c>
      <c r="D80" s="130" t="str">
        <f t="shared" si="84"/>
        <v>PFOS+6ppdqhighnutrients</v>
      </c>
      <c r="E80" s="130" t="s">
        <v>34</v>
      </c>
      <c r="F80" s="130">
        <v>2.95</v>
      </c>
      <c r="G80" s="130">
        <v>1.57</v>
      </c>
      <c r="H80" s="130">
        <v>5.47</v>
      </c>
      <c r="I80" s="131">
        <v>4.3899999999999997</v>
      </c>
      <c r="X80">
        <f t="shared" si="88"/>
        <v>20.191649555099243</v>
      </c>
      <c r="AA80">
        <f>((I80-$S$10)/$S$10)*100</f>
        <v>-24.538031800601637</v>
      </c>
      <c r="AE80">
        <f>I80-F80</f>
        <v>1.4399999999999995</v>
      </c>
      <c r="AH80">
        <f t="shared" si="86"/>
        <v>139.00414937759328</v>
      </c>
      <c r="AK80">
        <f t="shared" si="87"/>
        <v>-47.349177330895806</v>
      </c>
    </row>
    <row r="81" spans="1:37" ht="15" thickBot="1" x14ac:dyDescent="0.35">
      <c r="A81" s="151" t="s">
        <v>100</v>
      </c>
      <c r="B81" s="133" t="s">
        <v>22</v>
      </c>
      <c r="C81" s="133" t="s">
        <v>19</v>
      </c>
      <c r="D81" s="133" t="str">
        <f t="shared" si="84"/>
        <v>PFOS+6ppdqhighnutrients</v>
      </c>
      <c r="E81" s="133" t="s">
        <v>35</v>
      </c>
      <c r="F81" s="133">
        <v>3.05</v>
      </c>
      <c r="G81" s="133">
        <v>1.98</v>
      </c>
      <c r="H81" s="133">
        <v>5.24</v>
      </c>
      <c r="I81" s="134">
        <v>5.2</v>
      </c>
      <c r="X81">
        <f t="shared" si="88"/>
        <v>42.368240930869277</v>
      </c>
      <c r="AA81">
        <f t="shared" si="85"/>
        <v>-10.614525139664801</v>
      </c>
      <c r="AE81">
        <f t="shared" si="121"/>
        <v>2.1500000000000004</v>
      </c>
      <c r="AH81">
        <f t="shared" si="86"/>
        <v>256.84647302904568</v>
      </c>
      <c r="AK81">
        <f t="shared" si="87"/>
        <v>-21.389396709323567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EB38A-ED09-466B-95BC-A6AE88A18F9F}">
  <dimension ref="A1:H33"/>
  <sheetViews>
    <sheetView workbookViewId="0">
      <selection activeCell="F1" sqref="F1:H9"/>
    </sheetView>
  </sheetViews>
  <sheetFormatPr defaultRowHeight="14.4" x14ac:dyDescent="0.3"/>
  <sheetData>
    <row r="1" spans="1:8" x14ac:dyDescent="0.3">
      <c r="A1" t="s">
        <v>50</v>
      </c>
      <c r="B1" t="s">
        <v>51</v>
      </c>
      <c r="F1" t="s">
        <v>50</v>
      </c>
      <c r="G1" t="s">
        <v>51</v>
      </c>
      <c r="H1" t="s">
        <v>52</v>
      </c>
    </row>
    <row r="2" spans="1:8" x14ac:dyDescent="0.3">
      <c r="A2" t="s">
        <v>53</v>
      </c>
      <c r="B2">
        <v>1.1499999999999999</v>
      </c>
      <c r="C2">
        <v>1.6020908599141381</v>
      </c>
      <c r="F2" t="s">
        <v>53</v>
      </c>
      <c r="G2">
        <f>AVERAGE(B2:B5)</f>
        <v>1.1274999999999999</v>
      </c>
      <c r="H2">
        <f>AVERAGE(C2:C3)</f>
        <v>1.5577003798153513</v>
      </c>
    </row>
    <row r="3" spans="1:8" x14ac:dyDescent="0.3">
      <c r="A3" t="s">
        <v>53</v>
      </c>
      <c r="B3">
        <v>1.1299999999999999</v>
      </c>
      <c r="C3">
        <v>1.5133098997165644</v>
      </c>
      <c r="F3" t="s">
        <v>54</v>
      </c>
      <c r="G3">
        <f>AVERAGE(B6:B9)</f>
        <v>2.14</v>
      </c>
      <c r="H3">
        <f>AVERAGE(C6:C7)</f>
        <v>2.5149561900873221</v>
      </c>
    </row>
    <row r="4" spans="1:8" x14ac:dyDescent="0.3">
      <c r="A4" t="s">
        <v>53</v>
      </c>
      <c r="B4">
        <v>1.17</v>
      </c>
      <c r="F4" t="s">
        <v>55</v>
      </c>
      <c r="G4">
        <f>AVERAGE(B10:B13)</f>
        <v>3.1</v>
      </c>
      <c r="H4">
        <f>AVERAGE(C10:C11)</f>
        <v>3.6497745891302911</v>
      </c>
    </row>
    <row r="5" spans="1:8" x14ac:dyDescent="0.3">
      <c r="A5" t="s">
        <v>53</v>
      </c>
      <c r="B5">
        <v>1.06</v>
      </c>
      <c r="F5" t="s">
        <v>14</v>
      </c>
      <c r="G5">
        <f>AVERAGE(B14:B17)</f>
        <v>4.42</v>
      </c>
      <c r="H5">
        <f>AVERAGE(C14:C15)</f>
        <v>5.1528668195582679</v>
      </c>
    </row>
    <row r="6" spans="1:8" x14ac:dyDescent="0.3">
      <c r="A6" t="s">
        <v>54</v>
      </c>
      <c r="B6">
        <v>2.2999999999999998</v>
      </c>
      <c r="C6">
        <v>2.5716321538857208</v>
      </c>
      <c r="F6" t="s">
        <v>56</v>
      </c>
      <c r="G6">
        <f>AVERAGE(B18:B21)</f>
        <v>2.6349999999999998</v>
      </c>
      <c r="H6">
        <f>AVERAGE(C18:C19)</f>
        <v>3.8377067110886793</v>
      </c>
    </row>
    <row r="7" spans="1:8" x14ac:dyDescent="0.3">
      <c r="A7" t="s">
        <v>54</v>
      </c>
      <c r="B7">
        <v>1.99</v>
      </c>
      <c r="C7">
        <v>2.4582802262889234</v>
      </c>
      <c r="F7" t="s">
        <v>57</v>
      </c>
      <c r="G7">
        <f>AVERAGE(B22:B25)</f>
        <v>5.0175000000000001</v>
      </c>
      <c r="H7">
        <f>AVERAGE(C22:C23)</f>
        <v>7.0124514196951404</v>
      </c>
    </row>
    <row r="8" spans="1:8" x14ac:dyDescent="0.3">
      <c r="A8" t="s">
        <v>54</v>
      </c>
      <c r="B8">
        <v>2.29</v>
      </c>
      <c r="F8" t="s">
        <v>58</v>
      </c>
      <c r="G8">
        <f>AVERAGE(B26:B29)</f>
        <v>7.5374999999999996</v>
      </c>
      <c r="H8">
        <f>AVERAGE(C26:C27)</f>
        <v>8.9970664011156618</v>
      </c>
    </row>
    <row r="9" spans="1:8" x14ac:dyDescent="0.3">
      <c r="A9" t="s">
        <v>54</v>
      </c>
      <c r="B9">
        <v>1.98</v>
      </c>
      <c r="F9" t="s">
        <v>59</v>
      </c>
      <c r="G9">
        <f>AVERAGE(B30:B33)</f>
        <v>10.275</v>
      </c>
      <c r="H9">
        <f>AVERAGE(C30:C31)</f>
        <v>13.015130140421327</v>
      </c>
    </row>
    <row r="10" spans="1:8" x14ac:dyDescent="0.3">
      <c r="A10" t="s">
        <v>55</v>
      </c>
      <c r="B10">
        <v>3.23</v>
      </c>
      <c r="C10">
        <v>3.4244799735891314</v>
      </c>
    </row>
    <row r="11" spans="1:8" x14ac:dyDescent="0.3">
      <c r="A11" t="s">
        <v>55</v>
      </c>
      <c r="B11">
        <v>3.07</v>
      </c>
      <c r="C11">
        <v>3.8750692046714503</v>
      </c>
    </row>
    <row r="12" spans="1:8" x14ac:dyDescent="0.3">
      <c r="A12" t="s">
        <v>55</v>
      </c>
      <c r="B12">
        <v>2.87</v>
      </c>
    </row>
    <row r="13" spans="1:8" x14ac:dyDescent="0.3">
      <c r="A13" t="s">
        <v>55</v>
      </c>
      <c r="B13">
        <v>3.23</v>
      </c>
    </row>
    <row r="14" spans="1:8" x14ac:dyDescent="0.3">
      <c r="A14" t="s">
        <v>14</v>
      </c>
      <c r="B14">
        <v>4.3</v>
      </c>
      <c r="C14">
        <v>5.0659565513886733</v>
      </c>
    </row>
    <row r="15" spans="1:8" x14ac:dyDescent="0.3">
      <c r="A15" t="s">
        <v>14</v>
      </c>
      <c r="B15">
        <v>4.4400000000000004</v>
      </c>
      <c r="C15">
        <v>5.2397770877278624</v>
      </c>
    </row>
    <row r="16" spans="1:8" x14ac:dyDescent="0.3">
      <c r="A16" t="s">
        <v>14</v>
      </c>
      <c r="B16">
        <v>4.41</v>
      </c>
    </row>
    <row r="17" spans="1:3" x14ac:dyDescent="0.3">
      <c r="A17" t="s">
        <v>14</v>
      </c>
      <c r="B17">
        <v>4.53</v>
      </c>
    </row>
    <row r="18" spans="1:3" x14ac:dyDescent="0.3">
      <c r="A18" t="s">
        <v>56</v>
      </c>
      <c r="B18">
        <v>2.5099999999999998</v>
      </c>
      <c r="C18">
        <v>4.0686458514308219</v>
      </c>
    </row>
    <row r="19" spans="1:3" x14ac:dyDescent="0.3">
      <c r="A19" t="s">
        <v>56</v>
      </c>
      <c r="B19">
        <v>2.67</v>
      </c>
      <c r="C19">
        <v>3.6067675707465372</v>
      </c>
    </row>
    <row r="20" spans="1:3" x14ac:dyDescent="0.3">
      <c r="A20" t="s">
        <v>56</v>
      </c>
      <c r="B20">
        <v>2.68</v>
      </c>
    </row>
    <row r="21" spans="1:3" x14ac:dyDescent="0.3">
      <c r="A21" t="s">
        <v>56</v>
      </c>
      <c r="B21">
        <v>2.68</v>
      </c>
    </row>
    <row r="22" spans="1:3" x14ac:dyDescent="0.3">
      <c r="A22" t="s">
        <v>57</v>
      </c>
      <c r="B22">
        <v>5.07</v>
      </c>
      <c r="C22">
        <v>6.8770817139042641</v>
      </c>
    </row>
    <row r="23" spans="1:3" x14ac:dyDescent="0.3">
      <c r="A23" t="s">
        <v>57</v>
      </c>
      <c r="B23">
        <v>5.0199999999999996</v>
      </c>
      <c r="C23">
        <v>7.1478211254860167</v>
      </c>
    </row>
    <row r="24" spans="1:3" x14ac:dyDescent="0.3">
      <c r="A24" t="s">
        <v>57</v>
      </c>
      <c r="B24">
        <v>4.87</v>
      </c>
    </row>
    <row r="25" spans="1:3" x14ac:dyDescent="0.3">
      <c r="A25" t="s">
        <v>57</v>
      </c>
      <c r="B25">
        <v>5.1100000000000003</v>
      </c>
    </row>
    <row r="26" spans="1:3" x14ac:dyDescent="0.3">
      <c r="A26" t="s">
        <v>58</v>
      </c>
      <c r="B26">
        <v>7.36</v>
      </c>
      <c r="C26">
        <v>7.1577760632476979</v>
      </c>
    </row>
    <row r="27" spans="1:3" x14ac:dyDescent="0.3">
      <c r="A27" t="s">
        <v>58</v>
      </c>
      <c r="B27">
        <v>8.01</v>
      </c>
      <c r="C27">
        <v>10.836356738983625</v>
      </c>
    </row>
    <row r="28" spans="1:3" x14ac:dyDescent="0.3">
      <c r="A28" t="s">
        <v>58</v>
      </c>
      <c r="B28">
        <v>7.47</v>
      </c>
    </row>
    <row r="29" spans="1:3" x14ac:dyDescent="0.3">
      <c r="A29" t="s">
        <v>58</v>
      </c>
      <c r="B29">
        <v>7.31</v>
      </c>
    </row>
    <row r="30" spans="1:3" x14ac:dyDescent="0.3">
      <c r="A30" t="s">
        <v>60</v>
      </c>
      <c r="B30">
        <v>9.9600000000000009</v>
      </c>
      <c r="C30">
        <v>11.926619018481638</v>
      </c>
    </row>
    <row r="31" spans="1:3" x14ac:dyDescent="0.3">
      <c r="A31" t="s">
        <v>60</v>
      </c>
      <c r="B31">
        <v>10.199999999999999</v>
      </c>
      <c r="C31">
        <v>14.103641262361018</v>
      </c>
    </row>
    <row r="32" spans="1:3" x14ac:dyDescent="0.3">
      <c r="A32" t="s">
        <v>60</v>
      </c>
      <c r="B32">
        <v>10.41</v>
      </c>
    </row>
    <row r="33" spans="1:2" x14ac:dyDescent="0.3">
      <c r="A33" t="s">
        <v>60</v>
      </c>
      <c r="B33">
        <v>10.53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A6675-B401-49A6-8926-0080AC54BB5D}">
  <dimension ref="A1:AM81"/>
  <sheetViews>
    <sheetView topLeftCell="Z49" workbookViewId="0">
      <selection activeCell="AK18" sqref="AK18:AK81"/>
    </sheetView>
  </sheetViews>
  <sheetFormatPr defaultRowHeight="14.4" x14ac:dyDescent="0.3"/>
  <sheetData>
    <row r="1" spans="1:36" ht="15" thickBot="1" x14ac:dyDescent="0.35">
      <c r="A1" s="59" t="s">
        <v>26</v>
      </c>
      <c r="B1" s="3" t="s">
        <v>2</v>
      </c>
      <c r="C1" s="3" t="s">
        <v>3</v>
      </c>
      <c r="D1" s="3" t="s">
        <v>50</v>
      </c>
      <c r="E1" s="3" t="s">
        <v>27</v>
      </c>
      <c r="F1" s="3" t="s">
        <v>28</v>
      </c>
      <c r="G1" s="3" t="s">
        <v>101</v>
      </c>
      <c r="H1" s="3" t="s">
        <v>30</v>
      </c>
      <c r="I1" s="60" t="s">
        <v>31</v>
      </c>
      <c r="J1" s="3" t="s">
        <v>28</v>
      </c>
      <c r="K1" s="3" t="s">
        <v>101</v>
      </c>
      <c r="L1" s="3" t="s">
        <v>30</v>
      </c>
      <c r="M1" s="60" t="s">
        <v>31</v>
      </c>
      <c r="P1" t="s">
        <v>127</v>
      </c>
      <c r="Q1" t="s">
        <v>128</v>
      </c>
      <c r="R1" t="s">
        <v>129</v>
      </c>
      <c r="S1" t="s">
        <v>130</v>
      </c>
      <c r="T1" t="s">
        <v>131</v>
      </c>
      <c r="U1" t="s">
        <v>132</v>
      </c>
      <c r="V1" t="s">
        <v>133</v>
      </c>
      <c r="W1" t="s">
        <v>134</v>
      </c>
      <c r="X1" t="s">
        <v>135</v>
      </c>
      <c r="Y1" t="s">
        <v>136</v>
      </c>
      <c r="Z1" t="s">
        <v>137</v>
      </c>
      <c r="AE1" t="s">
        <v>163</v>
      </c>
      <c r="AF1" t="s">
        <v>164</v>
      </c>
      <c r="AG1" t="s">
        <v>165</v>
      </c>
      <c r="AH1" t="s">
        <v>177</v>
      </c>
      <c r="AI1" t="s">
        <v>178</v>
      </c>
      <c r="AJ1" t="s">
        <v>179</v>
      </c>
    </row>
    <row r="2" spans="1:36" x14ac:dyDescent="0.3">
      <c r="A2" s="61" t="s">
        <v>14</v>
      </c>
      <c r="B2" t="s">
        <v>15</v>
      </c>
      <c r="C2" t="s">
        <v>15</v>
      </c>
      <c r="D2" t="s">
        <v>14</v>
      </c>
      <c r="E2" t="s">
        <v>32</v>
      </c>
      <c r="F2">
        <v>3.1</v>
      </c>
      <c r="G2">
        <v>1.45</v>
      </c>
      <c r="H2">
        <v>2.66</v>
      </c>
      <c r="I2" s="7">
        <v>2.42</v>
      </c>
      <c r="J2">
        <f xml:space="preserve"> 1.2389*(F2) + 0.103</f>
        <v>3.9435899999999999</v>
      </c>
      <c r="K2">
        <f t="shared" ref="K2:M2" si="0" xml:space="preserve"> 1.2389*(G2) + 0.103</f>
        <v>1.8994049999999998</v>
      </c>
      <c r="L2">
        <f t="shared" si="0"/>
        <v>3.3984740000000002</v>
      </c>
      <c r="M2">
        <f t="shared" si="0"/>
        <v>3.1011379999999997</v>
      </c>
      <c r="P2">
        <f>AVERAGE(J2:J5)</f>
        <v>3.9497844999999998</v>
      </c>
      <c r="Q2">
        <f t="shared" ref="Q2:S2" si="1">AVERAGE(K2:K5)</f>
        <v>2.1255042499999997</v>
      </c>
      <c r="R2">
        <f t="shared" si="1"/>
        <v>3.4975860000000001</v>
      </c>
      <c r="S2">
        <f t="shared" si="1"/>
        <v>2.8998167499999994</v>
      </c>
      <c r="T2">
        <f>_xlfn.STDEV.S(J2:J5)</f>
        <v>0.15223858075730962</v>
      </c>
      <c r="U2">
        <f t="shared" ref="U2:W2" si="2">_xlfn.STDEV.S(K2:K5)</f>
        <v>0.23644821139998071</v>
      </c>
      <c r="V2">
        <f t="shared" si="2"/>
        <v>0.20407407094320767</v>
      </c>
      <c r="W2">
        <f t="shared" si="2"/>
        <v>0.25235777698520923</v>
      </c>
      <c r="AE2">
        <f>M2-J2</f>
        <v>-0.8424520000000002</v>
      </c>
      <c r="AF2">
        <f>AVERAGE(AE2:AE5)</f>
        <v>-1.0499677499999995</v>
      </c>
      <c r="AG2">
        <f>_xlfn.STDEV.S(AE2:AE5)</f>
        <v>0.29184357547308915</v>
      </c>
    </row>
    <row r="3" spans="1:36" x14ac:dyDescent="0.3">
      <c r="A3" s="61" t="s">
        <v>14</v>
      </c>
      <c r="B3" t="s">
        <v>15</v>
      </c>
      <c r="C3" t="s">
        <v>15</v>
      </c>
      <c r="D3" t="s">
        <v>14</v>
      </c>
      <c r="E3" t="s">
        <v>33</v>
      </c>
      <c r="F3">
        <v>3.03</v>
      </c>
      <c r="G3">
        <v>1.57</v>
      </c>
      <c r="H3">
        <v>2.5499999999999998</v>
      </c>
      <c r="I3" s="7">
        <v>1.98</v>
      </c>
      <c r="J3">
        <f t="shared" ref="J3:J66" si="3" xml:space="preserve"> 1.2389*(F3) + 0.103</f>
        <v>3.8568669999999998</v>
      </c>
      <c r="K3">
        <f t="shared" ref="K3:K66" si="4" xml:space="preserve"> 1.2389*(G3) + 0.103</f>
        <v>2.048073</v>
      </c>
      <c r="L3">
        <f t="shared" ref="L3:L66" si="5" xml:space="preserve"> 1.2389*(H3) + 0.103</f>
        <v>3.2621949999999997</v>
      </c>
      <c r="M3">
        <f t="shared" ref="M3:M66" si="6" xml:space="preserve"> 1.2389*(I3) + 0.103</f>
        <v>2.556022</v>
      </c>
      <c r="AE3">
        <f t="shared" ref="AE3:AE66" si="7">M3-J3</f>
        <v>-1.3008449999999998</v>
      </c>
    </row>
    <row r="4" spans="1:36" x14ac:dyDescent="0.3">
      <c r="A4" s="61" t="s">
        <v>14</v>
      </c>
      <c r="B4" t="s">
        <v>15</v>
      </c>
      <c r="C4" t="s">
        <v>15</v>
      </c>
      <c r="D4" t="s">
        <v>14</v>
      </c>
      <c r="E4" t="s">
        <v>34</v>
      </c>
      <c r="F4">
        <v>3.01</v>
      </c>
      <c r="G4">
        <v>1.61</v>
      </c>
      <c r="H4">
        <v>2.84</v>
      </c>
      <c r="I4" s="7">
        <v>2.4</v>
      </c>
      <c r="J4">
        <f t="shared" si="3"/>
        <v>3.8320889999999994</v>
      </c>
      <c r="K4">
        <f t="shared" si="4"/>
        <v>2.097629</v>
      </c>
      <c r="L4">
        <f t="shared" si="5"/>
        <v>3.6214759999999999</v>
      </c>
      <c r="M4">
        <f t="shared" si="6"/>
        <v>3.0763599999999998</v>
      </c>
      <c r="AE4">
        <f t="shared" si="7"/>
        <v>-0.75572899999999965</v>
      </c>
    </row>
    <row r="5" spans="1:36" ht="15" thickBot="1" x14ac:dyDescent="0.35">
      <c r="A5" s="62" t="s">
        <v>14</v>
      </c>
      <c r="B5" s="9" t="s">
        <v>15</v>
      </c>
      <c r="C5" s="9" t="s">
        <v>15</v>
      </c>
      <c r="D5" s="9" t="s">
        <v>14</v>
      </c>
      <c r="E5" s="9" t="s">
        <v>35</v>
      </c>
      <c r="F5" s="9">
        <v>3.28</v>
      </c>
      <c r="G5" s="9">
        <v>1.9</v>
      </c>
      <c r="H5" s="9">
        <v>2.91</v>
      </c>
      <c r="I5" s="10">
        <v>2.23</v>
      </c>
      <c r="J5">
        <f t="shared" si="3"/>
        <v>4.1665919999999987</v>
      </c>
      <c r="K5">
        <f t="shared" si="4"/>
        <v>2.4569099999999997</v>
      </c>
      <c r="L5">
        <f t="shared" si="5"/>
        <v>3.708199</v>
      </c>
      <c r="M5">
        <f t="shared" si="6"/>
        <v>2.8657469999999998</v>
      </c>
      <c r="AE5">
        <f t="shared" si="7"/>
        <v>-1.3008449999999989</v>
      </c>
    </row>
    <row r="6" spans="1:36" x14ac:dyDescent="0.3">
      <c r="A6" s="61" t="s">
        <v>16</v>
      </c>
      <c r="B6" t="s">
        <v>15</v>
      </c>
      <c r="C6" t="s">
        <v>15</v>
      </c>
      <c r="D6" t="s">
        <v>16</v>
      </c>
      <c r="E6" t="s">
        <v>32</v>
      </c>
      <c r="F6">
        <v>3.26</v>
      </c>
      <c r="G6">
        <v>1.76</v>
      </c>
      <c r="H6">
        <v>2.2200000000000002</v>
      </c>
      <c r="I6" s="7">
        <v>3.04</v>
      </c>
      <c r="J6">
        <f t="shared" si="3"/>
        <v>4.1418139999999992</v>
      </c>
      <c r="K6">
        <f t="shared" si="4"/>
        <v>2.2834639999999999</v>
      </c>
      <c r="L6">
        <f t="shared" si="5"/>
        <v>2.8533580000000001</v>
      </c>
      <c r="M6">
        <f t="shared" si="6"/>
        <v>3.869256</v>
      </c>
      <c r="P6">
        <f>AVERAGE(J6:J9)</f>
        <v>4.2347314999999996</v>
      </c>
      <c r="Q6">
        <f t="shared" ref="Q6" si="8">AVERAGE(K6:K9)</f>
        <v>2.2834639999999999</v>
      </c>
      <c r="R6">
        <f t="shared" ref="R6" si="9">AVERAGE(L6:L9)</f>
        <v>3.0546792500000004</v>
      </c>
      <c r="S6">
        <f t="shared" ref="S6" si="10">AVERAGE(M6:M9)</f>
        <v>3.9900487499999997</v>
      </c>
      <c r="T6">
        <f>_xlfn.STDEV.S(J6:J9)</f>
        <v>0.24372031763273247</v>
      </c>
      <c r="U6">
        <f t="shared" ref="U6" si="11">_xlfn.STDEV.S(K6:K9)</f>
        <v>4.4092774154805413E-2</v>
      </c>
      <c r="V6">
        <f t="shared" ref="V6" si="12">_xlfn.STDEV.S(L6:L9)</f>
        <v>0.62277577791442051</v>
      </c>
      <c r="W6">
        <f t="shared" ref="W6" si="13">_xlfn.STDEV.S(M6:M9)</f>
        <v>1.448555271565747</v>
      </c>
      <c r="AE6">
        <f t="shared" si="7"/>
        <v>-0.27255799999999919</v>
      </c>
      <c r="AF6">
        <f t="shared" ref="AF6" si="14">AVERAGE(AE6:AE9)</f>
        <v>-0.24468274999999984</v>
      </c>
      <c r="AG6">
        <f t="shared" ref="AG6" si="15">_xlfn.STDEV.S(AE6:AE9)</f>
        <v>1.2491968627870129</v>
      </c>
    </row>
    <row r="7" spans="1:36" x14ac:dyDescent="0.3">
      <c r="A7" s="61" t="s">
        <v>16</v>
      </c>
      <c r="B7" t="s">
        <v>15</v>
      </c>
      <c r="C7" t="s">
        <v>15</v>
      </c>
      <c r="D7" t="s">
        <v>16</v>
      </c>
      <c r="E7" t="s">
        <v>33</v>
      </c>
      <c r="F7">
        <v>3.29</v>
      </c>
      <c r="G7">
        <v>1.78</v>
      </c>
      <c r="H7">
        <v>2.12</v>
      </c>
      <c r="I7" s="7">
        <v>1.99</v>
      </c>
      <c r="J7">
        <f t="shared" si="3"/>
        <v>4.1789809999999994</v>
      </c>
      <c r="K7">
        <f t="shared" si="4"/>
        <v>2.3082419999999999</v>
      </c>
      <c r="L7">
        <f t="shared" si="5"/>
        <v>2.7294680000000002</v>
      </c>
      <c r="M7">
        <f t="shared" si="6"/>
        <v>2.5684109999999998</v>
      </c>
      <c r="AE7">
        <f t="shared" si="7"/>
        <v>-1.6105699999999996</v>
      </c>
    </row>
    <row r="8" spans="1:36" x14ac:dyDescent="0.3">
      <c r="A8" s="61" t="s">
        <v>16</v>
      </c>
      <c r="B8" t="s">
        <v>15</v>
      </c>
      <c r="C8" t="s">
        <v>15</v>
      </c>
      <c r="D8" t="s">
        <v>16</v>
      </c>
      <c r="E8" t="s">
        <v>34</v>
      </c>
      <c r="F8">
        <v>3.17</v>
      </c>
      <c r="G8">
        <v>1.71</v>
      </c>
      <c r="H8">
        <v>2.06</v>
      </c>
      <c r="I8" s="7">
        <v>2.76</v>
      </c>
      <c r="J8">
        <f t="shared" si="3"/>
        <v>4.0303129999999996</v>
      </c>
      <c r="K8">
        <f t="shared" si="4"/>
        <v>2.2215189999999998</v>
      </c>
      <c r="L8">
        <f t="shared" si="5"/>
        <v>2.6551339999999999</v>
      </c>
      <c r="M8">
        <f t="shared" si="6"/>
        <v>3.5223639999999996</v>
      </c>
      <c r="AE8">
        <f t="shared" si="7"/>
        <v>-0.50794899999999998</v>
      </c>
    </row>
    <row r="9" spans="1:36" ht="15" thickBot="1" x14ac:dyDescent="0.35">
      <c r="A9" s="62" t="s">
        <v>16</v>
      </c>
      <c r="B9" s="9" t="s">
        <v>15</v>
      </c>
      <c r="C9" s="9" t="s">
        <v>15</v>
      </c>
      <c r="D9" s="9" t="s">
        <v>16</v>
      </c>
      <c r="E9" s="9" t="s">
        <v>35</v>
      </c>
      <c r="F9" s="9">
        <v>3.62</v>
      </c>
      <c r="G9" s="9">
        <v>1.79</v>
      </c>
      <c r="H9" s="9">
        <v>3.13</v>
      </c>
      <c r="I9" s="10">
        <v>4.76</v>
      </c>
      <c r="J9">
        <f t="shared" si="3"/>
        <v>4.5878179999999995</v>
      </c>
      <c r="K9">
        <f t="shared" si="4"/>
        <v>2.3206310000000001</v>
      </c>
      <c r="L9">
        <f t="shared" si="5"/>
        <v>3.9807569999999997</v>
      </c>
      <c r="M9">
        <f t="shared" si="6"/>
        <v>6.0001639999999989</v>
      </c>
      <c r="AE9">
        <f t="shared" si="7"/>
        <v>1.4123459999999994</v>
      </c>
    </row>
    <row r="10" spans="1:36" x14ac:dyDescent="0.3">
      <c r="A10" s="61" t="s">
        <v>36</v>
      </c>
      <c r="B10" t="s">
        <v>15</v>
      </c>
      <c r="C10" t="s">
        <v>19</v>
      </c>
      <c r="D10" t="s">
        <v>36</v>
      </c>
      <c r="E10" t="s">
        <v>32</v>
      </c>
      <c r="F10">
        <v>3.05</v>
      </c>
      <c r="G10">
        <v>1.34</v>
      </c>
      <c r="H10">
        <v>3.88</v>
      </c>
      <c r="I10" s="7">
        <v>5.3</v>
      </c>
      <c r="J10">
        <f t="shared" si="3"/>
        <v>3.8816449999999998</v>
      </c>
      <c r="K10">
        <f t="shared" si="4"/>
        <v>1.763126</v>
      </c>
      <c r="L10">
        <f t="shared" si="5"/>
        <v>4.9099319999999995</v>
      </c>
      <c r="M10">
        <f t="shared" si="6"/>
        <v>6.6691699999999994</v>
      </c>
      <c r="P10">
        <f>AVERAGE(J10:J13)</f>
        <v>3.9219092499999997</v>
      </c>
      <c r="Q10">
        <f t="shared" ref="Q10" si="16">AVERAGE(K10:K13)</f>
        <v>1.9830307499999997</v>
      </c>
      <c r="R10">
        <f t="shared" ref="R10" si="17">AVERAGE(L10:L13)</f>
        <v>4.6373739999999994</v>
      </c>
      <c r="S10">
        <f t="shared" ref="S10" si="18">AVERAGE(M10:M13)</f>
        <v>7.3103007499999997</v>
      </c>
      <c r="T10">
        <f>_xlfn.STDEV.S(J10:J13)</f>
        <v>0.10481953091663462</v>
      </c>
      <c r="U10">
        <f t="shared" ref="U10" si="19">_xlfn.STDEV.S(K10:K13)</f>
        <v>0.1962460877595186</v>
      </c>
      <c r="V10">
        <f t="shared" ref="V10" si="20">_xlfn.STDEV.S(L10:L13)</f>
        <v>0.40004513915640411</v>
      </c>
      <c r="W10">
        <f t="shared" ref="W10" si="21">_xlfn.STDEV.S(M10:M13)</f>
        <v>0.80559466546039737</v>
      </c>
      <c r="AE10">
        <f t="shared" si="7"/>
        <v>2.7875249999999996</v>
      </c>
      <c r="AF10">
        <f t="shared" ref="AF10" si="22">AVERAGE(AE10:AE13)</f>
        <v>3.3883914999999991</v>
      </c>
      <c r="AG10">
        <f>_xlfn.STDEV.S(AE10:AE13)</f>
        <v>0.70617300000000149</v>
      </c>
    </row>
    <row r="11" spans="1:36" x14ac:dyDescent="0.3">
      <c r="A11" s="61" t="s">
        <v>36</v>
      </c>
      <c r="B11" t="s">
        <v>15</v>
      </c>
      <c r="C11" t="s">
        <v>19</v>
      </c>
      <c r="D11" t="s">
        <v>36</v>
      </c>
      <c r="E11" t="s">
        <v>33</v>
      </c>
      <c r="F11">
        <v>3.17</v>
      </c>
      <c r="G11">
        <v>1.47</v>
      </c>
      <c r="H11">
        <v>3.54</v>
      </c>
      <c r="I11" s="7">
        <v>6.52</v>
      </c>
      <c r="J11">
        <f t="shared" si="3"/>
        <v>4.0303129999999996</v>
      </c>
      <c r="K11">
        <f t="shared" si="4"/>
        <v>1.9241829999999998</v>
      </c>
      <c r="L11">
        <f t="shared" si="5"/>
        <v>4.4887059999999996</v>
      </c>
      <c r="M11">
        <f t="shared" si="6"/>
        <v>8.1806279999999987</v>
      </c>
      <c r="AE11">
        <f t="shared" si="7"/>
        <v>4.1503149999999991</v>
      </c>
    </row>
    <row r="12" spans="1:36" x14ac:dyDescent="0.3">
      <c r="A12" s="61" t="s">
        <v>36</v>
      </c>
      <c r="B12" t="s">
        <v>15</v>
      </c>
      <c r="C12" t="s">
        <v>19</v>
      </c>
      <c r="D12" t="s">
        <v>36</v>
      </c>
      <c r="E12" t="s">
        <v>34</v>
      </c>
      <c r="F12">
        <v>2.98</v>
      </c>
      <c r="G12">
        <v>1.54</v>
      </c>
      <c r="H12">
        <v>3.26</v>
      </c>
      <c r="I12" s="7">
        <v>5.23</v>
      </c>
      <c r="J12">
        <f t="shared" si="3"/>
        <v>3.7949219999999997</v>
      </c>
      <c r="K12">
        <f t="shared" si="4"/>
        <v>2.0109059999999999</v>
      </c>
      <c r="L12">
        <f t="shared" si="5"/>
        <v>4.1418139999999992</v>
      </c>
      <c r="M12">
        <f t="shared" si="6"/>
        <v>6.5824469999999993</v>
      </c>
      <c r="AE12">
        <f t="shared" si="7"/>
        <v>2.7875249999999996</v>
      </c>
    </row>
    <row r="13" spans="1:36" ht="15" thickBot="1" x14ac:dyDescent="0.35">
      <c r="A13" s="62" t="s">
        <v>36</v>
      </c>
      <c r="B13" s="9" t="s">
        <v>15</v>
      </c>
      <c r="C13" s="9" t="s">
        <v>19</v>
      </c>
      <c r="D13" s="9" t="s">
        <v>36</v>
      </c>
      <c r="E13" s="9" t="s">
        <v>35</v>
      </c>
      <c r="F13" s="9">
        <v>3.13</v>
      </c>
      <c r="G13" s="9">
        <v>1.72</v>
      </c>
      <c r="H13" s="9">
        <v>3.96</v>
      </c>
      <c r="I13" s="10">
        <v>6.22</v>
      </c>
      <c r="J13">
        <f t="shared" si="3"/>
        <v>3.9807569999999997</v>
      </c>
      <c r="K13">
        <f t="shared" si="4"/>
        <v>2.233908</v>
      </c>
      <c r="L13">
        <f t="shared" si="5"/>
        <v>5.0090439999999994</v>
      </c>
      <c r="M13">
        <f t="shared" si="6"/>
        <v>7.8089579999999987</v>
      </c>
      <c r="AE13">
        <f t="shared" si="7"/>
        <v>3.8282009999999991</v>
      </c>
    </row>
    <row r="14" spans="1:36" x14ac:dyDescent="0.3">
      <c r="A14" s="61" t="s">
        <v>37</v>
      </c>
      <c r="B14" t="s">
        <v>15</v>
      </c>
      <c r="C14" t="s">
        <v>19</v>
      </c>
      <c r="D14" t="s">
        <v>37</v>
      </c>
      <c r="E14" t="s">
        <v>32</v>
      </c>
      <c r="F14">
        <v>2.93</v>
      </c>
      <c r="G14">
        <v>1.84</v>
      </c>
      <c r="H14">
        <v>5.43</v>
      </c>
      <c r="I14" s="7">
        <v>3.5</v>
      </c>
      <c r="J14">
        <f t="shared" si="3"/>
        <v>3.732977</v>
      </c>
      <c r="K14">
        <f t="shared" si="4"/>
        <v>2.3825760000000002</v>
      </c>
      <c r="L14">
        <f t="shared" si="5"/>
        <v>6.8302269999999989</v>
      </c>
      <c r="M14">
        <f t="shared" si="6"/>
        <v>4.4391499999999997</v>
      </c>
      <c r="P14">
        <f>AVERAGE(J14:J17)</f>
        <v>3.8816449999999993</v>
      </c>
      <c r="Q14">
        <f t="shared" ref="Q14" si="23">AVERAGE(K14:K17)</f>
        <v>2.65823125</v>
      </c>
      <c r="R14">
        <f t="shared" ref="R14" si="24">AVERAGE(L14:L17)</f>
        <v>6.7187259999999984</v>
      </c>
      <c r="S14">
        <f t="shared" ref="S14" si="25">AVERAGE(M14:M17)</f>
        <v>4.6280822500000003</v>
      </c>
      <c r="T14">
        <f>_xlfn.STDEV.S(J14:J17)</f>
        <v>0.22596485446340231</v>
      </c>
      <c r="U14">
        <f t="shared" ref="U14" si="26">_xlfn.STDEV.S(K14:K17)</f>
        <v>0.40969644387470916</v>
      </c>
      <c r="V14">
        <f t="shared" ref="V14" si="27">_xlfn.STDEV.S(L14:L17)</f>
        <v>0.6037228047164247</v>
      </c>
      <c r="W14">
        <f t="shared" ref="W14" si="28">_xlfn.STDEV.S(M14:M17)</f>
        <v>1.1141550606614767</v>
      </c>
      <c r="AE14">
        <f t="shared" si="7"/>
        <v>0.70617299999999972</v>
      </c>
      <c r="AF14">
        <f t="shared" ref="AF14" si="29">AVERAGE(AE14:AE17)</f>
        <v>0.74643725000000005</v>
      </c>
      <c r="AG14">
        <f t="shared" ref="AG14" si="30">_xlfn.STDEV.S(AE14:AE17)</f>
        <v>1.1632197852880528</v>
      </c>
    </row>
    <row r="15" spans="1:36" x14ac:dyDescent="0.3">
      <c r="A15" s="61" t="s">
        <v>37</v>
      </c>
      <c r="B15" t="s">
        <v>15</v>
      </c>
      <c r="C15" t="s">
        <v>19</v>
      </c>
      <c r="D15" t="s">
        <v>37</v>
      </c>
      <c r="E15" t="s">
        <v>33</v>
      </c>
      <c r="F15">
        <v>2.95</v>
      </c>
      <c r="G15">
        <v>1.84</v>
      </c>
      <c r="H15">
        <v>5.37</v>
      </c>
      <c r="I15" s="7">
        <v>2.86</v>
      </c>
      <c r="J15">
        <f t="shared" si="3"/>
        <v>3.757755</v>
      </c>
      <c r="K15">
        <f t="shared" si="4"/>
        <v>2.3825760000000002</v>
      </c>
      <c r="L15">
        <f t="shared" si="5"/>
        <v>6.7558929999999995</v>
      </c>
      <c r="M15">
        <f t="shared" si="6"/>
        <v>3.6462539999999999</v>
      </c>
      <c r="AE15">
        <f t="shared" si="7"/>
        <v>-0.11150100000000007</v>
      </c>
    </row>
    <row r="16" spans="1:36" x14ac:dyDescent="0.3">
      <c r="A16" s="61" t="s">
        <v>37</v>
      </c>
      <c r="B16" t="s">
        <v>15</v>
      </c>
      <c r="C16" t="s">
        <v>19</v>
      </c>
      <c r="D16" t="s">
        <v>37</v>
      </c>
      <c r="E16" t="s">
        <v>34</v>
      </c>
      <c r="F16">
        <v>3.32</v>
      </c>
      <c r="G16">
        <v>2.0299999999999998</v>
      </c>
      <c r="H16">
        <v>4.6900000000000004</v>
      </c>
      <c r="I16" s="7">
        <v>3.31</v>
      </c>
      <c r="J16">
        <f t="shared" si="3"/>
        <v>4.2161479999999996</v>
      </c>
      <c r="K16">
        <f t="shared" si="4"/>
        <v>2.6179669999999997</v>
      </c>
      <c r="L16">
        <f t="shared" si="5"/>
        <v>5.9134409999999997</v>
      </c>
      <c r="M16">
        <f t="shared" si="6"/>
        <v>4.2037589999999998</v>
      </c>
      <c r="AE16">
        <f t="shared" si="7"/>
        <v>-1.2388999999999761E-2</v>
      </c>
    </row>
    <row r="17" spans="1:39" ht="15" thickBot="1" x14ac:dyDescent="0.35">
      <c r="A17" s="62" t="s">
        <v>37</v>
      </c>
      <c r="B17" s="9" t="s">
        <v>15</v>
      </c>
      <c r="C17" s="9" t="s">
        <v>19</v>
      </c>
      <c r="D17" s="9" t="s">
        <v>37</v>
      </c>
      <c r="E17" s="9" t="s">
        <v>35</v>
      </c>
      <c r="F17" s="9">
        <v>3</v>
      </c>
      <c r="G17" s="9">
        <v>2.54</v>
      </c>
      <c r="H17" s="9">
        <v>5.87</v>
      </c>
      <c r="I17" s="10">
        <v>4.9400000000000004</v>
      </c>
      <c r="J17">
        <f t="shared" si="3"/>
        <v>3.8196999999999997</v>
      </c>
      <c r="K17">
        <f t="shared" si="4"/>
        <v>3.249806</v>
      </c>
      <c r="L17">
        <f t="shared" si="5"/>
        <v>7.3753429999999991</v>
      </c>
      <c r="M17">
        <f t="shared" si="6"/>
        <v>6.223166</v>
      </c>
      <c r="AE17">
        <f t="shared" si="7"/>
        <v>2.4034660000000003</v>
      </c>
    </row>
    <row r="18" spans="1:39" x14ac:dyDescent="0.3">
      <c r="A18" s="63" t="s">
        <v>98</v>
      </c>
      <c r="B18" s="64" t="s">
        <v>21</v>
      </c>
      <c r="C18" s="64" t="s">
        <v>15</v>
      </c>
      <c r="D18" s="64" t="str">
        <f t="shared" ref="D18:D49" si="31">A18&amp;B18</f>
        <v>PFOSlow</v>
      </c>
      <c r="E18" s="64" t="s">
        <v>32</v>
      </c>
      <c r="F18" s="64">
        <v>3.23</v>
      </c>
      <c r="G18" s="64">
        <v>1.66</v>
      </c>
      <c r="H18" s="64">
        <v>3.87</v>
      </c>
      <c r="I18" s="65">
        <v>4.8899999999999997</v>
      </c>
      <c r="J18">
        <f t="shared" si="3"/>
        <v>4.104646999999999</v>
      </c>
      <c r="K18">
        <f t="shared" si="4"/>
        <v>2.1595740000000001</v>
      </c>
      <c r="L18">
        <f t="shared" si="5"/>
        <v>4.8975429999999998</v>
      </c>
      <c r="M18">
        <f t="shared" si="6"/>
        <v>6.1612209999999985</v>
      </c>
      <c r="P18">
        <f>AVERAGE(J18:J21)</f>
        <v>4.0179239999999989</v>
      </c>
      <c r="Q18">
        <f t="shared" ref="Q18" si="32">AVERAGE(K18:K21)</f>
        <v>1.9923225000000002</v>
      </c>
      <c r="R18">
        <f t="shared" ref="R18" si="33">AVERAGE(L18:L21)</f>
        <v>3.6462539999999999</v>
      </c>
      <c r="S18">
        <f t="shared" ref="S18" si="34">AVERAGE(M18:M21)</f>
        <v>4.4391499999999997</v>
      </c>
      <c r="T18">
        <f>_xlfn.STDEV.S(J18:J21)</f>
        <v>0.24653798716627789</v>
      </c>
      <c r="U18">
        <f t="shared" ref="U18" si="35">_xlfn.STDEV.S(K18:K21)</f>
        <v>0.12491815040924478</v>
      </c>
      <c r="V18">
        <f t="shared" ref="V18" si="36">_xlfn.STDEV.S(L18:L21)</f>
        <v>0.85552900091619755</v>
      </c>
      <c r="W18">
        <f t="shared" ref="W18" si="37">_xlfn.STDEV.S(M18:M21)</f>
        <v>1.1804058200627434</v>
      </c>
      <c r="X18">
        <f>((M18-S$6)/S$6)*100</f>
        <v>54.414679770516564</v>
      </c>
      <c r="Y18">
        <f>AVERAGE(X18:X21)</f>
        <v>11.255532905456352</v>
      </c>
      <c r="Z18">
        <f>_xlfn.STDEV.S(X18:X21)</f>
        <v>29.583744310460965</v>
      </c>
      <c r="AA18">
        <f>((M18-$S$2)/$S$2)*100</f>
        <v>112.46932241494225</v>
      </c>
      <c r="AB18">
        <f>AVERAGE(AA18:AA21)</f>
        <v>53.083811244279502</v>
      </c>
      <c r="AC18">
        <f>_xlfn.STDEV.S(AA18:AA21)</f>
        <v>40.706221179760547</v>
      </c>
      <c r="AE18">
        <f t="shared" si="7"/>
        <v>2.0565739999999995</v>
      </c>
      <c r="AF18">
        <f t="shared" ref="AF18" si="38">AVERAGE(AE18:AE21)</f>
        <v>0.42122599999999999</v>
      </c>
      <c r="AG18">
        <f t="shared" ref="AG18" si="39">_xlfn.STDEV.S(AE18:AE21)</f>
        <v>1.1797988606998506</v>
      </c>
      <c r="AH18">
        <f>((AE18-$AF$6)/$AF$6)*100</f>
        <v>-940.50632911392449</v>
      </c>
      <c r="AI18">
        <f>AVERAGE(AH18:AH21)</f>
        <v>-272.15189873417734</v>
      </c>
      <c r="AJ18">
        <f>_xlfn.STDEV.S(AH18:AH21)</f>
        <v>482.17492271108262</v>
      </c>
      <c r="AK18">
        <f>((AE18-$AF$2)/$AF$2)*100</f>
        <v>-295.87020648967558</v>
      </c>
      <c r="AL18">
        <f>AVERAGE(AK18:AK21)</f>
        <v>-140.11799410029502</v>
      </c>
      <c r="AM18">
        <f>_xlfn.STDEV.S(AK18:AK21)</f>
        <v>112.36524747544399</v>
      </c>
    </row>
    <row r="19" spans="1:39" x14ac:dyDescent="0.3">
      <c r="A19" s="63" t="s">
        <v>98</v>
      </c>
      <c r="B19" s="64" t="s">
        <v>21</v>
      </c>
      <c r="C19" s="64" t="s">
        <v>15</v>
      </c>
      <c r="D19" s="64" t="str">
        <f t="shared" si="31"/>
        <v>PFOSlow</v>
      </c>
      <c r="E19" s="64" t="s">
        <v>33</v>
      </c>
      <c r="F19" s="64">
        <v>3.41</v>
      </c>
      <c r="G19" s="64">
        <v>1.47</v>
      </c>
      <c r="H19" s="64">
        <v>2.56</v>
      </c>
      <c r="I19" s="65">
        <v>2.88</v>
      </c>
      <c r="J19">
        <f t="shared" si="3"/>
        <v>4.3276489999999992</v>
      </c>
      <c r="K19">
        <f t="shared" si="4"/>
        <v>1.9241829999999998</v>
      </c>
      <c r="L19">
        <f t="shared" si="5"/>
        <v>3.2745839999999999</v>
      </c>
      <c r="M19">
        <f t="shared" si="6"/>
        <v>3.6710319999999999</v>
      </c>
      <c r="X19">
        <f t="shared" ref="X19:X49" si="40">((M19-S$6)/S$6)*100</f>
        <v>-7.9953095811172696</v>
      </c>
      <c r="AA19">
        <f t="shared" ref="AA19:AA49" si="41">((M19-$S$2)/$S$2)*100</f>
        <v>26.595309858804029</v>
      </c>
      <c r="AE19">
        <f t="shared" si="7"/>
        <v>-0.65661699999999934</v>
      </c>
      <c r="AH19">
        <f t="shared" ref="AH19:AH49" si="42">((AE19-$AF$6)/$AF$6)*100</f>
        <v>168.35443037974673</v>
      </c>
      <c r="AK19">
        <f t="shared" ref="AK19:AK49" si="43">((AE19-$AF$2)/$AF$2)*100</f>
        <v>-37.463126843657854</v>
      </c>
    </row>
    <row r="20" spans="1:39" x14ac:dyDescent="0.3">
      <c r="A20" s="63" t="s">
        <v>98</v>
      </c>
      <c r="B20" s="64" t="s">
        <v>21</v>
      </c>
      <c r="C20" s="64" t="s">
        <v>15</v>
      </c>
      <c r="D20" s="64" t="str">
        <f t="shared" si="31"/>
        <v>PFOSlow</v>
      </c>
      <c r="E20" s="64" t="s">
        <v>34</v>
      </c>
      <c r="F20" s="64">
        <v>3.01</v>
      </c>
      <c r="G20" s="64">
        <v>1.43</v>
      </c>
      <c r="H20" s="64">
        <v>2.3199999999999998</v>
      </c>
      <c r="I20" s="65">
        <v>2.88</v>
      </c>
      <c r="J20">
        <f t="shared" si="3"/>
        <v>3.8320889999999994</v>
      </c>
      <c r="K20">
        <f t="shared" si="4"/>
        <v>1.8746269999999998</v>
      </c>
      <c r="L20">
        <f t="shared" si="5"/>
        <v>2.9772479999999999</v>
      </c>
      <c r="M20">
        <f t="shared" si="6"/>
        <v>3.6710319999999999</v>
      </c>
      <c r="X20">
        <f t="shared" si="40"/>
        <v>-7.9953095811172696</v>
      </c>
      <c r="AA20">
        <f t="shared" si="41"/>
        <v>26.595309858804029</v>
      </c>
      <c r="AE20">
        <f t="shared" si="7"/>
        <v>-0.16105699999999956</v>
      </c>
      <c r="AH20">
        <f t="shared" si="42"/>
        <v>-34.177215189873557</v>
      </c>
      <c r="AK20">
        <f t="shared" si="43"/>
        <v>-84.660766961651959</v>
      </c>
    </row>
    <row r="21" spans="1:39" ht="15" thickBot="1" x14ac:dyDescent="0.35">
      <c r="A21" s="136" t="s">
        <v>98</v>
      </c>
      <c r="B21" s="67" t="s">
        <v>21</v>
      </c>
      <c r="C21" s="67" t="s">
        <v>15</v>
      </c>
      <c r="D21" s="67" t="str">
        <f t="shared" si="31"/>
        <v>PFOSlow</v>
      </c>
      <c r="E21" s="67" t="s">
        <v>35</v>
      </c>
      <c r="F21" s="67">
        <v>2.99</v>
      </c>
      <c r="G21" s="67">
        <v>1.54</v>
      </c>
      <c r="H21" s="67">
        <v>2.69</v>
      </c>
      <c r="I21" s="68">
        <v>3.35</v>
      </c>
      <c r="J21">
        <f t="shared" si="3"/>
        <v>3.8073110000000003</v>
      </c>
      <c r="K21">
        <f t="shared" si="4"/>
        <v>2.0109059999999999</v>
      </c>
      <c r="L21">
        <f t="shared" si="5"/>
        <v>3.4356409999999999</v>
      </c>
      <c r="M21">
        <f t="shared" si="6"/>
        <v>4.2533149999999997</v>
      </c>
      <c r="X21">
        <f t="shared" si="40"/>
        <v>6.5980710135433824</v>
      </c>
      <c r="AA21">
        <f t="shared" si="41"/>
        <v>46.675302844567703</v>
      </c>
      <c r="AE21">
        <f t="shared" si="7"/>
        <v>0.4460039999999994</v>
      </c>
      <c r="AH21">
        <f t="shared" si="42"/>
        <v>-282.27848101265806</v>
      </c>
      <c r="AK21">
        <f t="shared" si="43"/>
        <v>-142.47787610619466</v>
      </c>
    </row>
    <row r="22" spans="1:39" x14ac:dyDescent="0.3">
      <c r="A22" s="69" t="s">
        <v>98</v>
      </c>
      <c r="B22" s="15" t="s">
        <v>22</v>
      </c>
      <c r="C22" s="15" t="s">
        <v>15</v>
      </c>
      <c r="D22" s="15" t="str">
        <f t="shared" si="31"/>
        <v>PFOShigh</v>
      </c>
      <c r="E22" s="15" t="s">
        <v>32</v>
      </c>
      <c r="F22" s="15">
        <v>3.05</v>
      </c>
      <c r="G22" s="15">
        <v>1.56</v>
      </c>
      <c r="H22" s="15">
        <v>1.65</v>
      </c>
      <c r="I22" s="16">
        <v>2.65</v>
      </c>
      <c r="J22">
        <f t="shared" si="3"/>
        <v>3.8816449999999998</v>
      </c>
      <c r="K22">
        <f t="shared" si="4"/>
        <v>2.0356839999999998</v>
      </c>
      <c r="L22">
        <f t="shared" si="5"/>
        <v>2.1471849999999999</v>
      </c>
      <c r="M22">
        <f t="shared" si="6"/>
        <v>3.386085</v>
      </c>
      <c r="P22">
        <f>AVERAGE(J22:J25)</f>
        <v>4.1294249999999995</v>
      </c>
      <c r="Q22">
        <f t="shared" ref="Q22" si="44">AVERAGE(K22:K25)</f>
        <v>2.2370052499999997</v>
      </c>
      <c r="R22">
        <f t="shared" ref="R22" si="45">AVERAGE(L22:L25)</f>
        <v>2.5777027499999998</v>
      </c>
      <c r="S22">
        <f t="shared" ref="S22" si="46">AVERAGE(M22:M25)</f>
        <v>3.74226875</v>
      </c>
      <c r="T22">
        <f>_xlfn.STDEV.S(J22:J25)</f>
        <v>0.28160572173992937</v>
      </c>
      <c r="U22">
        <f t="shared" ref="U22" si="47">_xlfn.STDEV.S(K22:K25)</f>
        <v>0.26307791842136358</v>
      </c>
      <c r="V22">
        <f t="shared" ref="V22" si="48">_xlfn.STDEV.S(L22:L25)</f>
        <v>0.34234538144041671</v>
      </c>
      <c r="W22">
        <f t="shared" ref="W22" si="49">_xlfn.STDEV.S(M22:M25)</f>
        <v>0.62220044631312132</v>
      </c>
      <c r="X22">
        <f t="shared" si="40"/>
        <v>-15.136751148717162</v>
      </c>
      <c r="Y22">
        <f>AVERAGE(X22:X25)</f>
        <v>-6.2099491892172978</v>
      </c>
      <c r="Z22">
        <f>_xlfn.STDEV.S(X22:X25)</f>
        <v>15.593805622378007</v>
      </c>
      <c r="AA22">
        <f t="shared" si="41"/>
        <v>16.768930312579258</v>
      </c>
      <c r="AB22">
        <f>AVERAGE(AA22:AA25)</f>
        <v>29.051904745360222</v>
      </c>
      <c r="AC22">
        <f>_xlfn.STDEV.S(AA22:AA25)</f>
        <v>21.456543635494324</v>
      </c>
      <c r="AE22">
        <f t="shared" si="7"/>
        <v>-0.49555999999999978</v>
      </c>
      <c r="AF22">
        <f t="shared" ref="AF22" si="50">AVERAGE(AE22:AE25)</f>
        <v>-0.38715624999999976</v>
      </c>
      <c r="AG22">
        <f t="shared" ref="AG22" si="51">_xlfn.STDEV.S(AE22:AE25)</f>
        <v>0.35669062014428798</v>
      </c>
      <c r="AH22">
        <f t="shared" si="42"/>
        <v>102.5316455696203</v>
      </c>
      <c r="AI22">
        <f t="shared" ref="AI22" si="52">AVERAGE(AH22:AH25)</f>
        <v>58.227848101265842</v>
      </c>
      <c r="AJ22">
        <f t="shared" ref="AJ22" si="53">_xlfn.STDEV.S(AH22:AH25)</f>
        <v>145.77677426965658</v>
      </c>
      <c r="AK22">
        <f>((AE22-$AF$2)/$AF$2)*100</f>
        <v>-52.802359882005902</v>
      </c>
      <c r="AL22">
        <f>AVERAGE(AK22:AK25)</f>
        <v>-63.126843657817119</v>
      </c>
      <c r="AM22">
        <f t="shared" ref="AM22" si="54">_xlfn.STDEV.S(AK22:AK25)</f>
        <v>33.971578664610242</v>
      </c>
    </row>
    <row r="23" spans="1:39" x14ac:dyDescent="0.3">
      <c r="A23" s="69" t="s">
        <v>98</v>
      </c>
      <c r="B23" s="15" t="s">
        <v>22</v>
      </c>
      <c r="C23" s="15" t="s">
        <v>15</v>
      </c>
      <c r="D23" s="15" t="str">
        <f t="shared" si="31"/>
        <v>PFOShigh</v>
      </c>
      <c r="E23" s="15" t="s">
        <v>33</v>
      </c>
      <c r="F23" s="15">
        <v>3.1</v>
      </c>
      <c r="G23" s="15">
        <v>1.58</v>
      </c>
      <c r="H23" s="15">
        <v>1.91</v>
      </c>
      <c r="I23" s="16">
        <v>2.5299999999999998</v>
      </c>
      <c r="J23">
        <f t="shared" si="3"/>
        <v>3.9435899999999999</v>
      </c>
      <c r="K23">
        <f t="shared" si="4"/>
        <v>2.0604619999999998</v>
      </c>
      <c r="L23">
        <f t="shared" si="5"/>
        <v>2.4692989999999999</v>
      </c>
      <c r="M23">
        <f t="shared" si="6"/>
        <v>3.2374169999999998</v>
      </c>
      <c r="X23">
        <f t="shared" si="40"/>
        <v>-18.862720662247547</v>
      </c>
      <c r="AA23">
        <f t="shared" si="41"/>
        <v>11.642123592809803</v>
      </c>
      <c r="AE23">
        <f t="shared" si="7"/>
        <v>-0.70617300000000016</v>
      </c>
      <c r="AH23">
        <f t="shared" si="42"/>
        <v>188.60759493670912</v>
      </c>
      <c r="AK23">
        <f t="shared" si="43"/>
        <v>-32.743362831858363</v>
      </c>
    </row>
    <row r="24" spans="1:39" x14ac:dyDescent="0.3">
      <c r="A24" s="69" t="s">
        <v>98</v>
      </c>
      <c r="B24" s="15" t="s">
        <v>22</v>
      </c>
      <c r="C24" s="15" t="s">
        <v>15</v>
      </c>
      <c r="D24" s="15" t="str">
        <f t="shared" si="31"/>
        <v>PFOShigh</v>
      </c>
      <c r="E24" s="15" t="s">
        <v>34</v>
      </c>
      <c r="F24" s="15">
        <v>3.3</v>
      </c>
      <c r="G24" s="15">
        <v>1.73</v>
      </c>
      <c r="H24" s="15">
        <v>2.27</v>
      </c>
      <c r="I24" s="16">
        <v>2.92</v>
      </c>
      <c r="J24">
        <f t="shared" si="3"/>
        <v>4.1913699999999992</v>
      </c>
      <c r="K24">
        <f t="shared" si="4"/>
        <v>2.2462970000000002</v>
      </c>
      <c r="L24">
        <f t="shared" si="5"/>
        <v>2.9153029999999998</v>
      </c>
      <c r="M24">
        <f t="shared" si="6"/>
        <v>3.7205879999999998</v>
      </c>
      <c r="X24">
        <f t="shared" si="40"/>
        <v>-6.7533197432738117</v>
      </c>
      <c r="AA24">
        <f t="shared" si="41"/>
        <v>28.304245432060508</v>
      </c>
      <c r="AE24">
        <f t="shared" si="7"/>
        <v>-0.47078199999999937</v>
      </c>
      <c r="AH24">
        <f t="shared" si="42"/>
        <v>92.405063291139115</v>
      </c>
      <c r="AK24">
        <f t="shared" si="43"/>
        <v>-55.162241887905651</v>
      </c>
    </row>
    <row r="25" spans="1:39" ht="15" thickBot="1" x14ac:dyDescent="0.35">
      <c r="A25" s="137" t="s">
        <v>98</v>
      </c>
      <c r="B25" s="71" t="s">
        <v>22</v>
      </c>
      <c r="C25" s="71" t="s">
        <v>15</v>
      </c>
      <c r="D25" s="71" t="str">
        <f t="shared" si="31"/>
        <v>PFOShigh</v>
      </c>
      <c r="E25" s="71" t="s">
        <v>35</v>
      </c>
      <c r="F25" s="71">
        <v>3.55</v>
      </c>
      <c r="G25" s="71">
        <v>2.02</v>
      </c>
      <c r="H25" s="71">
        <v>2.16</v>
      </c>
      <c r="I25" s="72">
        <v>3.65</v>
      </c>
      <c r="J25">
        <f t="shared" si="3"/>
        <v>4.5010949999999994</v>
      </c>
      <c r="K25">
        <f t="shared" si="4"/>
        <v>2.6055779999999999</v>
      </c>
      <c r="L25">
        <f t="shared" si="5"/>
        <v>2.7790240000000002</v>
      </c>
      <c r="M25">
        <f t="shared" si="6"/>
        <v>4.6249849999999997</v>
      </c>
      <c r="X25">
        <f t="shared" si="40"/>
        <v>15.912994797369331</v>
      </c>
      <c r="AA25">
        <f t="shared" si="41"/>
        <v>59.492319643991323</v>
      </c>
      <c r="AE25">
        <f t="shared" si="7"/>
        <v>0.12389000000000028</v>
      </c>
      <c r="AH25">
        <f t="shared" si="42"/>
        <v>-150.63291139240519</v>
      </c>
      <c r="AK25">
        <f t="shared" si="43"/>
        <v>-111.79941002949856</v>
      </c>
    </row>
    <row r="26" spans="1:39" x14ac:dyDescent="0.3">
      <c r="A26" s="73" t="s">
        <v>97</v>
      </c>
      <c r="B26" s="18" t="s">
        <v>21</v>
      </c>
      <c r="C26" s="18" t="s">
        <v>15</v>
      </c>
      <c r="D26" s="18" t="str">
        <f t="shared" si="31"/>
        <v>PFOS+Carblow</v>
      </c>
      <c r="E26" s="18" t="s">
        <v>32</v>
      </c>
      <c r="F26" s="18">
        <v>3.02</v>
      </c>
      <c r="G26" s="18">
        <v>2.06</v>
      </c>
      <c r="H26" s="18">
        <v>2.2200000000000002</v>
      </c>
      <c r="I26" s="19">
        <v>3.06</v>
      </c>
      <c r="J26">
        <f t="shared" si="3"/>
        <v>3.8444780000000001</v>
      </c>
      <c r="K26">
        <f t="shared" si="4"/>
        <v>2.6551339999999999</v>
      </c>
      <c r="L26">
        <f t="shared" si="5"/>
        <v>2.8533580000000001</v>
      </c>
      <c r="M26">
        <f t="shared" si="6"/>
        <v>3.894034</v>
      </c>
      <c r="P26">
        <f>AVERAGE(J26:J29)</f>
        <v>3.9126174999999996</v>
      </c>
      <c r="Q26">
        <f t="shared" ref="Q26" si="55">AVERAGE(K26:K29)</f>
        <v>2.878136</v>
      </c>
      <c r="R26">
        <f t="shared" ref="R26" si="56">AVERAGE(L26:L29)</f>
        <v>3.0113177499999999</v>
      </c>
      <c r="S26">
        <f t="shared" ref="S26" si="57">AVERAGE(M26:M29)</f>
        <v>4.4422472499999994</v>
      </c>
      <c r="T26">
        <f>_xlfn.STDEV.S(J26:J29)</f>
        <v>0.17300296990225306</v>
      </c>
      <c r="U26">
        <f t="shared" ref="U26" si="58">_xlfn.STDEV.S(K26:K29)</f>
        <v>0.21049150417217971</v>
      </c>
      <c r="V26">
        <f t="shared" ref="V26" si="59">_xlfn.STDEV.S(L26:L29)</f>
        <v>0.22874961388145909</v>
      </c>
      <c r="W26">
        <f t="shared" ref="W26" si="60">_xlfn.STDEV.S(M26:M29)</f>
        <v>0.50216220267251921</v>
      </c>
      <c r="X26">
        <f t="shared" si="40"/>
        <v>-2.4063553108216964</v>
      </c>
      <c r="Y26">
        <f>AVERAGE(X26:X29)</f>
        <v>11.333157270321562</v>
      </c>
      <c r="Z26">
        <f>_xlfn.STDEV.S(X26:X29)</f>
        <v>12.585365095414417</v>
      </c>
      <c r="AA26">
        <f t="shared" si="41"/>
        <v>34.285519938458208</v>
      </c>
      <c r="AB26">
        <f>AVERAGE(AA26:AA29)</f>
        <v>53.19061971760803</v>
      </c>
      <c r="AC26">
        <f>_xlfn.STDEV.S(AA26:AA29)</f>
        <v>17.317032280488736</v>
      </c>
      <c r="AE26">
        <f t="shared" si="7"/>
        <v>4.9555999999999933E-2</v>
      </c>
      <c r="AF26">
        <f>AVERAGE(AE26:AE29)</f>
        <v>0.52962974999999957</v>
      </c>
      <c r="AG26">
        <f t="shared" ref="AG26" si="61">_xlfn.STDEV.S(AE26:AE29)</f>
        <v>0.44131918124971231</v>
      </c>
      <c r="AH26">
        <f t="shared" si="42"/>
        <v>-120.25316455696202</v>
      </c>
      <c r="AI26">
        <f t="shared" ref="AI26" si="62">AVERAGE(AH26:AH29)</f>
        <v>-316.45569620253161</v>
      </c>
      <c r="AJ26">
        <f t="shared" ref="AJ26" si="63">_xlfn.STDEV.S(AH26:AH29)</f>
        <v>180.36383081754346</v>
      </c>
      <c r="AK26">
        <f>((AE26-$AF$2)/$AF$2)*100</f>
        <v>-104.71976401179941</v>
      </c>
      <c r="AL26">
        <f t="shared" ref="AL26" si="64">AVERAGE(AK26:AK29)</f>
        <v>-150.44247787610618</v>
      </c>
      <c r="AM26">
        <f t="shared" ref="AM26" si="65">_xlfn.STDEV.S(AK26:AK29)</f>
        <v>42.031689187569043</v>
      </c>
    </row>
    <row r="27" spans="1:39" x14ac:dyDescent="0.3">
      <c r="A27" s="73" t="s">
        <v>97</v>
      </c>
      <c r="B27" s="18" t="s">
        <v>21</v>
      </c>
      <c r="C27" s="18" t="s">
        <v>15</v>
      </c>
      <c r="D27" s="18" t="str">
        <f t="shared" si="31"/>
        <v>PFOS+Carblow</v>
      </c>
      <c r="E27" s="18" t="s">
        <v>33</v>
      </c>
      <c r="F27" s="18">
        <v>2.93</v>
      </c>
      <c r="G27" s="18">
        <v>2.2200000000000002</v>
      </c>
      <c r="H27" s="18">
        <v>2.2000000000000002</v>
      </c>
      <c r="I27" s="19">
        <v>3.67</v>
      </c>
      <c r="J27">
        <f t="shared" si="3"/>
        <v>3.732977</v>
      </c>
      <c r="K27">
        <f t="shared" si="4"/>
        <v>2.8533580000000001</v>
      </c>
      <c r="L27">
        <f t="shared" si="5"/>
        <v>2.8285800000000001</v>
      </c>
      <c r="M27">
        <f t="shared" si="6"/>
        <v>4.6497629999999992</v>
      </c>
      <c r="X27">
        <f t="shared" si="40"/>
        <v>16.53398971629105</v>
      </c>
      <c r="AA27">
        <f t="shared" si="41"/>
        <v>60.346787430619543</v>
      </c>
      <c r="AE27">
        <f t="shared" si="7"/>
        <v>0.91678599999999921</v>
      </c>
      <c r="AH27">
        <f t="shared" si="42"/>
        <v>-474.68354430379742</v>
      </c>
      <c r="AK27">
        <f t="shared" si="43"/>
        <v>-187.31563421828906</v>
      </c>
    </row>
    <row r="28" spans="1:39" x14ac:dyDescent="0.3">
      <c r="A28" s="73" t="s">
        <v>97</v>
      </c>
      <c r="B28" s="18" t="s">
        <v>21</v>
      </c>
      <c r="C28" s="18" t="s">
        <v>15</v>
      </c>
      <c r="D28" s="18" t="str">
        <f t="shared" si="31"/>
        <v>PFOS+Carblow</v>
      </c>
      <c r="E28" s="18" t="s">
        <v>34</v>
      </c>
      <c r="F28" s="18">
        <v>3.09</v>
      </c>
      <c r="G28" s="18">
        <v>2.4700000000000002</v>
      </c>
      <c r="H28" s="18">
        <v>2.37</v>
      </c>
      <c r="I28" s="19">
        <v>3.3</v>
      </c>
      <c r="J28">
        <f t="shared" si="3"/>
        <v>3.9312009999999997</v>
      </c>
      <c r="K28">
        <f t="shared" si="4"/>
        <v>3.1630830000000003</v>
      </c>
      <c r="L28">
        <f t="shared" si="5"/>
        <v>3.039193</v>
      </c>
      <c r="M28">
        <f t="shared" si="6"/>
        <v>4.1913699999999992</v>
      </c>
      <c r="X28">
        <f t="shared" si="40"/>
        <v>5.045583716239042</v>
      </c>
      <c r="AA28">
        <f t="shared" si="41"/>
        <v>44.539133377997075</v>
      </c>
      <c r="AE28">
        <f t="shared" si="7"/>
        <v>0.26016899999999943</v>
      </c>
      <c r="AH28">
        <f t="shared" si="42"/>
        <v>-206.32911392405049</v>
      </c>
      <c r="AK28">
        <f t="shared" si="43"/>
        <v>-124.77876106194685</v>
      </c>
    </row>
    <row r="29" spans="1:39" ht="15" thickBot="1" x14ac:dyDescent="0.35">
      <c r="A29" s="138" t="s">
        <v>97</v>
      </c>
      <c r="B29" s="75" t="s">
        <v>21</v>
      </c>
      <c r="C29" s="75" t="s">
        <v>15</v>
      </c>
      <c r="D29" s="75" t="str">
        <f t="shared" si="31"/>
        <v>PFOS+Carblow</v>
      </c>
      <c r="E29" s="75" t="s">
        <v>35</v>
      </c>
      <c r="F29" s="75">
        <v>3.26</v>
      </c>
      <c r="G29" s="75">
        <v>2.21</v>
      </c>
      <c r="H29" s="75">
        <v>2.6</v>
      </c>
      <c r="I29" s="76">
        <v>3.98</v>
      </c>
      <c r="J29">
        <f t="shared" si="3"/>
        <v>4.1418139999999992</v>
      </c>
      <c r="K29">
        <f t="shared" si="4"/>
        <v>2.8409689999999999</v>
      </c>
      <c r="L29">
        <f t="shared" si="5"/>
        <v>3.3241399999999999</v>
      </c>
      <c r="M29">
        <f t="shared" si="6"/>
        <v>5.0338219999999989</v>
      </c>
      <c r="X29">
        <f t="shared" si="40"/>
        <v>26.159410959577855</v>
      </c>
      <c r="AA29">
        <f t="shared" si="41"/>
        <v>73.591038123357279</v>
      </c>
      <c r="AE29">
        <f t="shared" si="7"/>
        <v>0.89200799999999969</v>
      </c>
      <c r="AH29">
        <f t="shared" si="42"/>
        <v>-464.55696202531664</v>
      </c>
      <c r="AK29">
        <f t="shared" si="43"/>
        <v>-184.95575221238937</v>
      </c>
    </row>
    <row r="30" spans="1:39" x14ac:dyDescent="0.3">
      <c r="A30" s="77" t="s">
        <v>97</v>
      </c>
      <c r="B30" s="21" t="s">
        <v>22</v>
      </c>
      <c r="C30" s="21" t="s">
        <v>15</v>
      </c>
      <c r="D30" s="21" t="str">
        <f t="shared" si="31"/>
        <v>PFOS+Carbhigh</v>
      </c>
      <c r="E30" s="21" t="s">
        <v>32</v>
      </c>
      <c r="F30" s="21">
        <v>3.06</v>
      </c>
      <c r="G30" s="21">
        <v>1.74</v>
      </c>
      <c r="H30" s="21">
        <v>2.39</v>
      </c>
      <c r="I30" s="22">
        <v>3.44</v>
      </c>
      <c r="J30">
        <f t="shared" si="3"/>
        <v>3.894034</v>
      </c>
      <c r="K30">
        <f t="shared" si="4"/>
        <v>2.258686</v>
      </c>
      <c r="L30">
        <f t="shared" si="5"/>
        <v>3.063971</v>
      </c>
      <c r="M30">
        <f t="shared" si="6"/>
        <v>4.3648159999999994</v>
      </c>
      <c r="P30">
        <f>AVERAGE(J30:J33)</f>
        <v>4.2316342499999999</v>
      </c>
      <c r="Q30">
        <f t="shared" ref="Q30" si="66">AVERAGE(K30:K33)</f>
        <v>2.4445209999999999</v>
      </c>
      <c r="R30">
        <f t="shared" ref="R30" si="67">AVERAGE(L30:L33)</f>
        <v>3.5316557500000001</v>
      </c>
      <c r="S30">
        <f t="shared" ref="S30" si="68">AVERAGE(M30:M33)</f>
        <v>4.2409259999999991</v>
      </c>
      <c r="T30">
        <f>_xlfn.STDEV.S(J30:J33)</f>
        <v>0.23339924666741449</v>
      </c>
      <c r="U30">
        <f t="shared" ref="U30" si="69">_xlfn.STDEV.S(K30:K33)</f>
        <v>0.16835674012247517</v>
      </c>
      <c r="V30">
        <f t="shared" ref="V30" si="70">_xlfn.STDEV.S(L30:L33)</f>
        <v>0.31994257687422073</v>
      </c>
      <c r="W30">
        <f t="shared" ref="W30" si="71">_xlfn.STDEV.S(M30:M33)</f>
        <v>0.33196972223080795</v>
      </c>
      <c r="X30">
        <f t="shared" si="40"/>
        <v>9.3925481486911586</v>
      </c>
      <c r="Y30">
        <f>AVERAGE(X30:X33)</f>
        <v>6.2875735540825088</v>
      </c>
      <c r="Z30">
        <f>_xlfn.STDEV.S(X30:X33)</f>
        <v>8.3199415102586887</v>
      </c>
      <c r="AA30">
        <f t="shared" si="41"/>
        <v>50.520407884394771</v>
      </c>
      <c r="AB30">
        <f>AVERAGE(AA30:AA33)</f>
        <v>46.248068951253572</v>
      </c>
      <c r="AC30">
        <f>_xlfn.STDEV.S(AA30:AA33)</f>
        <v>11.447955193403404</v>
      </c>
      <c r="AE30">
        <f t="shared" si="7"/>
        <v>0.47078199999999937</v>
      </c>
      <c r="AF30">
        <f t="shared" ref="AF30" si="72">AVERAGE(AE30:AE33)</f>
        <v>9.291749999999821E-3</v>
      </c>
      <c r="AG30">
        <f t="shared" ref="AG30" si="73">_xlfn.STDEV.S(AE30:AE33)</f>
        <v>0.4514058143595216</v>
      </c>
      <c r="AH30">
        <f t="shared" si="42"/>
        <v>-292.40506329113913</v>
      </c>
      <c r="AI30">
        <f t="shared" ref="AI30" si="74">AVERAGE(AH30:AH33)</f>
        <v>-103.79746835443032</v>
      </c>
      <c r="AJ30">
        <f t="shared" ref="AJ30" si="75">_xlfn.STDEV.S(AH30:AH33)</f>
        <v>184.48616192172187</v>
      </c>
      <c r="AK30">
        <f t="shared" si="43"/>
        <v>-144.83775811209435</v>
      </c>
      <c r="AL30">
        <f t="shared" ref="AL30" si="76">AVERAGE(AK30:AK33)</f>
        <v>-100.88495575221238</v>
      </c>
      <c r="AM30">
        <f>_xlfn.STDEV.S(AK30:AK33)</f>
        <v>42.992350418336351</v>
      </c>
    </row>
    <row r="31" spans="1:39" x14ac:dyDescent="0.3">
      <c r="A31" s="77" t="s">
        <v>97</v>
      </c>
      <c r="B31" s="21" t="s">
        <v>22</v>
      </c>
      <c r="C31" s="21" t="s">
        <v>15</v>
      </c>
      <c r="D31" s="21" t="str">
        <f t="shared" si="31"/>
        <v>PFOS+Carbhigh</v>
      </c>
      <c r="E31" s="21" t="s">
        <v>33</v>
      </c>
      <c r="F31" s="21">
        <v>3.49</v>
      </c>
      <c r="G31" s="21">
        <v>2.0099999999999998</v>
      </c>
      <c r="H31" s="21">
        <v>2.88</v>
      </c>
      <c r="I31" s="22">
        <v>3.41</v>
      </c>
      <c r="J31">
        <f t="shared" si="3"/>
        <v>4.4267609999999999</v>
      </c>
      <c r="K31">
        <f t="shared" si="4"/>
        <v>2.5931889999999997</v>
      </c>
      <c r="L31">
        <f t="shared" si="5"/>
        <v>3.6710319999999999</v>
      </c>
      <c r="M31">
        <f t="shared" si="6"/>
        <v>4.3276489999999992</v>
      </c>
      <c r="X31">
        <f t="shared" si="40"/>
        <v>8.46105577030856</v>
      </c>
      <c r="AA31">
        <f t="shared" si="41"/>
        <v>49.238706204452406</v>
      </c>
      <c r="AE31">
        <f t="shared" si="7"/>
        <v>-9.9112000000000755E-2</v>
      </c>
      <c r="AH31">
        <f t="shared" si="42"/>
        <v>-59.493670886075613</v>
      </c>
      <c r="AK31">
        <f t="shared" si="43"/>
        <v>-90.560471976401104</v>
      </c>
    </row>
    <row r="32" spans="1:39" x14ac:dyDescent="0.3">
      <c r="A32" s="77" t="s">
        <v>97</v>
      </c>
      <c r="B32" s="21" t="s">
        <v>22</v>
      </c>
      <c r="C32" s="21" t="s">
        <v>15</v>
      </c>
      <c r="D32" s="21" t="str">
        <f t="shared" si="31"/>
        <v>PFOS+Carbhigh</v>
      </c>
      <c r="E32" s="21" t="s">
        <v>34</v>
      </c>
      <c r="F32" s="21">
        <v>3.41</v>
      </c>
      <c r="G32" s="21">
        <v>2</v>
      </c>
      <c r="H32" s="21">
        <v>2.97</v>
      </c>
      <c r="I32" s="22">
        <v>2.95</v>
      </c>
      <c r="J32">
        <f t="shared" si="3"/>
        <v>4.3276489999999992</v>
      </c>
      <c r="K32">
        <f t="shared" si="4"/>
        <v>2.5808</v>
      </c>
      <c r="L32">
        <f t="shared" si="5"/>
        <v>3.7825329999999999</v>
      </c>
      <c r="M32">
        <f t="shared" si="6"/>
        <v>3.757755</v>
      </c>
      <c r="X32">
        <f t="shared" si="40"/>
        <v>-5.8218273648912122</v>
      </c>
      <c r="AA32">
        <f t="shared" si="41"/>
        <v>29.585947112002881</v>
      </c>
      <c r="AE32">
        <f t="shared" si="7"/>
        <v>-0.56989399999999923</v>
      </c>
      <c r="AH32">
        <f>((AE32-$AF$6)/$AF$6)*100</f>
        <v>132.91139240506314</v>
      </c>
      <c r="AK32">
        <f t="shared" si="43"/>
        <v>-45.722713864306833</v>
      </c>
    </row>
    <row r="33" spans="1:39" ht="15" thickBot="1" x14ac:dyDescent="0.35">
      <c r="A33" s="139" t="s">
        <v>97</v>
      </c>
      <c r="B33" s="79" t="s">
        <v>22</v>
      </c>
      <c r="C33" s="79" t="s">
        <v>15</v>
      </c>
      <c r="D33" s="79" t="str">
        <f t="shared" si="31"/>
        <v>PFOS+Carbhigh</v>
      </c>
      <c r="E33" s="79" t="s">
        <v>35</v>
      </c>
      <c r="F33" s="79">
        <v>3.37</v>
      </c>
      <c r="G33" s="79">
        <v>1.81</v>
      </c>
      <c r="H33" s="79">
        <v>2.83</v>
      </c>
      <c r="I33" s="80">
        <v>3.56</v>
      </c>
      <c r="J33">
        <f t="shared" si="3"/>
        <v>4.2780929999999993</v>
      </c>
      <c r="K33">
        <f t="shared" si="4"/>
        <v>2.3454090000000001</v>
      </c>
      <c r="L33">
        <f t="shared" si="5"/>
        <v>3.6090870000000002</v>
      </c>
      <c r="M33">
        <f t="shared" si="6"/>
        <v>4.5134839999999992</v>
      </c>
      <c r="X33">
        <f t="shared" si="40"/>
        <v>13.118517662221532</v>
      </c>
      <c r="AA33">
        <f t="shared" si="41"/>
        <v>55.647214604164219</v>
      </c>
      <c r="AE33">
        <f t="shared" si="7"/>
        <v>0.23539099999999991</v>
      </c>
      <c r="AH33">
        <f t="shared" si="42"/>
        <v>-196.20253164556965</v>
      </c>
      <c r="AK33">
        <f t="shared" si="43"/>
        <v>-122.4188790560472</v>
      </c>
    </row>
    <row r="34" spans="1:39" x14ac:dyDescent="0.3">
      <c r="A34" s="81" t="s">
        <v>99</v>
      </c>
      <c r="B34" s="24" t="s">
        <v>21</v>
      </c>
      <c r="C34" s="24" t="s">
        <v>15</v>
      </c>
      <c r="D34" s="24" t="str">
        <f t="shared" si="31"/>
        <v>PFOS+Diclow</v>
      </c>
      <c r="E34" s="24" t="s">
        <v>32</v>
      </c>
      <c r="F34" s="24">
        <v>3.17</v>
      </c>
      <c r="G34" s="24">
        <v>1.64</v>
      </c>
      <c r="H34" s="24">
        <v>1.76</v>
      </c>
      <c r="I34" s="25">
        <v>2.95</v>
      </c>
      <c r="J34">
        <f t="shared" si="3"/>
        <v>4.0303129999999996</v>
      </c>
      <c r="K34">
        <f t="shared" si="4"/>
        <v>2.1347959999999997</v>
      </c>
      <c r="L34">
        <f t="shared" si="5"/>
        <v>2.2834639999999999</v>
      </c>
      <c r="M34">
        <f t="shared" si="6"/>
        <v>3.757755</v>
      </c>
      <c r="P34">
        <f>AVERAGE(J34:J37)</f>
        <v>4.1046469999999999</v>
      </c>
      <c r="Q34">
        <f t="shared" ref="Q34" si="77">AVERAGE(K34:K37)</f>
        <v>2.1905465</v>
      </c>
      <c r="R34">
        <f t="shared" ref="R34" si="78">AVERAGE(L34:L37)</f>
        <v>2.65823125</v>
      </c>
      <c r="S34">
        <f t="shared" ref="S34" si="79">AVERAGE(M34:M37)</f>
        <v>3.5440447500000003</v>
      </c>
      <c r="T34">
        <f>_xlfn.STDEV.S(J34:J37)</f>
        <v>8.8185548309610409E-2</v>
      </c>
      <c r="U34">
        <f t="shared" ref="U34" si="80">_xlfn.STDEV.S(K34:K37)</f>
        <v>0.10918263871910537</v>
      </c>
      <c r="V34">
        <f t="shared" ref="V34" si="81">_xlfn.STDEV.S(L34:L37)</f>
        <v>0.33187338463272736</v>
      </c>
      <c r="W34">
        <f t="shared" ref="W34" si="82">_xlfn.STDEV.S(M34:M37)</f>
        <v>0.49342604606591944</v>
      </c>
      <c r="X34">
        <f t="shared" si="40"/>
        <v>-5.8218273648912122</v>
      </c>
      <c r="Y34">
        <f>AVERAGE(X34:X37)</f>
        <v>-11.177908540591137</v>
      </c>
      <c r="Z34">
        <f>_xlfn.STDEV.S(X34:X37)</f>
        <v>12.366416477140101</v>
      </c>
      <c r="AA34">
        <f t="shared" si="41"/>
        <v>29.585947112002881</v>
      </c>
      <c r="AB34">
        <f>AVERAGE(AA34:AA37)</f>
        <v>22.216162452334292</v>
      </c>
      <c r="AC34">
        <f>_xlfn.STDEV.S(AA34:AA37)</f>
        <v>17.015766464067866</v>
      </c>
      <c r="AE34">
        <f t="shared" si="7"/>
        <v>-0.27255799999999963</v>
      </c>
      <c r="AF34">
        <f t="shared" ref="AF34" si="83">AVERAGE(AE34:AE37)</f>
        <v>-0.56060224999999964</v>
      </c>
      <c r="AG34">
        <f t="shared" ref="AG34" si="84">_xlfn.STDEV.S(AE34:AE37)</f>
        <v>0.47158280027892924</v>
      </c>
      <c r="AH34">
        <f t="shared" si="42"/>
        <v>11.392405063291063</v>
      </c>
      <c r="AI34">
        <f t="shared" ref="AI34" si="85">AVERAGE(AH34:AH37)</f>
        <v>129.11392405063293</v>
      </c>
      <c r="AJ34">
        <f t="shared" ref="AJ34" si="86">_xlfn.STDEV.S(AH34:AH37)</f>
        <v>192.73234434341185</v>
      </c>
      <c r="AK34">
        <f t="shared" si="43"/>
        <v>-74.041297935103273</v>
      </c>
      <c r="AL34">
        <f t="shared" ref="AL34" si="87">AVERAGE(AK34:AK37)</f>
        <v>-46.607669616519189</v>
      </c>
      <c r="AM34">
        <f t="shared" ref="AM34" si="88">_xlfn.STDEV.S(AK34:AK37)</f>
        <v>44.914027147874734</v>
      </c>
    </row>
    <row r="35" spans="1:39" x14ac:dyDescent="0.3">
      <c r="A35" s="81" t="s">
        <v>99</v>
      </c>
      <c r="B35" s="24" t="s">
        <v>21</v>
      </c>
      <c r="C35" s="24" t="s">
        <v>15</v>
      </c>
      <c r="D35" s="24" t="str">
        <f t="shared" si="31"/>
        <v>PFOS+Diclow</v>
      </c>
      <c r="E35" s="24" t="s">
        <v>33</v>
      </c>
      <c r="F35" s="24">
        <v>3.19</v>
      </c>
      <c r="G35" s="24">
        <v>1.72</v>
      </c>
      <c r="H35" s="24">
        <v>1.96</v>
      </c>
      <c r="I35" s="25">
        <v>2.77</v>
      </c>
      <c r="J35">
        <f t="shared" si="3"/>
        <v>4.055091</v>
      </c>
      <c r="K35">
        <f t="shared" si="4"/>
        <v>2.233908</v>
      </c>
      <c r="L35">
        <f t="shared" si="5"/>
        <v>2.531244</v>
      </c>
      <c r="M35">
        <f t="shared" si="6"/>
        <v>3.5347529999999998</v>
      </c>
      <c r="X35">
        <f t="shared" si="40"/>
        <v>-11.410781635186785</v>
      </c>
      <c r="AA35">
        <f t="shared" si="41"/>
        <v>21.895737032348698</v>
      </c>
      <c r="AE35">
        <f t="shared" si="7"/>
        <v>-0.52033800000000019</v>
      </c>
      <c r="AH35">
        <f t="shared" si="42"/>
        <v>112.65822784810149</v>
      </c>
      <c r="AK35">
        <f t="shared" si="43"/>
        <v>-50.442477876106153</v>
      </c>
    </row>
    <row r="36" spans="1:39" x14ac:dyDescent="0.3">
      <c r="A36" s="81" t="s">
        <v>99</v>
      </c>
      <c r="B36" s="24" t="s">
        <v>21</v>
      </c>
      <c r="C36" s="24" t="s">
        <v>15</v>
      </c>
      <c r="D36" s="24" t="str">
        <f t="shared" si="31"/>
        <v>PFOS+Diclow</v>
      </c>
      <c r="E36" s="24" t="s">
        <v>34</v>
      </c>
      <c r="F36" s="24">
        <v>3.23</v>
      </c>
      <c r="G36" s="24">
        <v>1.79</v>
      </c>
      <c r="H36" s="24">
        <v>2.14</v>
      </c>
      <c r="I36" s="25">
        <v>2.23</v>
      </c>
      <c r="J36">
        <f t="shared" si="3"/>
        <v>4.104646999999999</v>
      </c>
      <c r="K36">
        <f t="shared" si="4"/>
        <v>2.3206310000000001</v>
      </c>
      <c r="L36">
        <f t="shared" si="5"/>
        <v>2.7542460000000002</v>
      </c>
      <c r="M36">
        <f t="shared" si="6"/>
        <v>2.8657469999999998</v>
      </c>
      <c r="X36">
        <f t="shared" si="40"/>
        <v>-28.177644446073497</v>
      </c>
      <c r="AA36">
        <f t="shared" si="41"/>
        <v>-1.1748932066138169</v>
      </c>
      <c r="AE36">
        <f t="shared" si="7"/>
        <v>-1.2388999999999992</v>
      </c>
      <c r="AH36">
        <f t="shared" si="42"/>
        <v>406.32911392405066</v>
      </c>
      <c r="AK36">
        <f t="shared" si="43"/>
        <v>17.99410029498523</v>
      </c>
    </row>
    <row r="37" spans="1:39" ht="15" thickBot="1" x14ac:dyDescent="0.35">
      <c r="A37" s="140" t="s">
        <v>99</v>
      </c>
      <c r="B37" s="83" t="s">
        <v>21</v>
      </c>
      <c r="C37" s="83" t="s">
        <v>15</v>
      </c>
      <c r="D37" s="83" t="str">
        <f t="shared" si="31"/>
        <v>PFOS+Diclow</v>
      </c>
      <c r="E37" s="83" t="s">
        <v>35</v>
      </c>
      <c r="F37" s="83">
        <v>3.33</v>
      </c>
      <c r="G37" s="83">
        <v>1.59</v>
      </c>
      <c r="H37" s="83">
        <v>2.39</v>
      </c>
      <c r="I37" s="84">
        <v>3.16</v>
      </c>
      <c r="J37">
        <f t="shared" si="3"/>
        <v>4.2285369999999993</v>
      </c>
      <c r="K37">
        <f t="shared" si="4"/>
        <v>2.072851</v>
      </c>
      <c r="L37">
        <f t="shared" si="5"/>
        <v>3.063971</v>
      </c>
      <c r="M37">
        <f t="shared" si="6"/>
        <v>4.0179239999999998</v>
      </c>
      <c r="X37">
        <f t="shared" si="40"/>
        <v>0.69861928378694949</v>
      </c>
      <c r="AA37">
        <f t="shared" si="41"/>
        <v>38.557858871599407</v>
      </c>
      <c r="AE37">
        <f t="shared" si="7"/>
        <v>-0.2106129999999995</v>
      </c>
      <c r="AH37">
        <f t="shared" si="42"/>
        <v>-13.924050632911541</v>
      </c>
      <c r="AK37">
        <f t="shared" si="43"/>
        <v>-79.941002949852546</v>
      </c>
    </row>
    <row r="38" spans="1:39" x14ac:dyDescent="0.3">
      <c r="A38" s="85" t="s">
        <v>99</v>
      </c>
      <c r="B38" s="27" t="s">
        <v>22</v>
      </c>
      <c r="C38" s="27" t="s">
        <v>15</v>
      </c>
      <c r="D38" s="27" t="str">
        <f t="shared" si="31"/>
        <v>PFOS+Dichigh</v>
      </c>
      <c r="E38" s="27" t="s">
        <v>32</v>
      </c>
      <c r="F38" s="27">
        <v>3.35</v>
      </c>
      <c r="G38" s="27">
        <v>2.1800000000000002</v>
      </c>
      <c r="H38" s="27">
        <v>1.97</v>
      </c>
      <c r="I38" s="28">
        <v>3.31</v>
      </c>
      <c r="J38">
        <f t="shared" si="3"/>
        <v>4.2533149999999997</v>
      </c>
      <c r="K38">
        <f t="shared" si="4"/>
        <v>2.8038020000000001</v>
      </c>
      <c r="L38">
        <f t="shared" si="5"/>
        <v>2.5436329999999998</v>
      </c>
      <c r="M38">
        <f t="shared" si="6"/>
        <v>4.2037589999999998</v>
      </c>
      <c r="P38">
        <f>AVERAGE(J38:J41)</f>
        <v>4.1356194999999998</v>
      </c>
      <c r="Q38">
        <f t="shared" ref="Q38" si="89">AVERAGE(K38:K41)</f>
        <v>2.5715082499999999</v>
      </c>
      <c r="R38">
        <f t="shared" ref="R38" si="90">AVERAGE(L38:L41)</f>
        <v>2.84406625</v>
      </c>
      <c r="S38">
        <f t="shared" ref="S38" si="91">AVERAGE(M38:M41)</f>
        <v>4.1108414999999994</v>
      </c>
      <c r="T38">
        <f>_xlfn.STDEV.S(J38:J41)</f>
        <v>0.1453619202462138</v>
      </c>
      <c r="U38">
        <f t="shared" ref="U38" si="92">_xlfn.STDEV.S(K38:K41)</f>
        <v>0.33585769356219325</v>
      </c>
      <c r="V38">
        <f t="shared" ref="V38" si="93">_xlfn.STDEV.S(L38:L41)</f>
        <v>0.29894479867067425</v>
      </c>
      <c r="W38">
        <f t="shared" ref="W38" si="94">_xlfn.STDEV.S(M38:M41)</f>
        <v>0.45175986374363369</v>
      </c>
      <c r="X38">
        <f t="shared" si="40"/>
        <v>5.3560811756999245</v>
      </c>
      <c r="Y38">
        <f>AVERAGE(X38:X41)</f>
        <v>3.0273502297434343</v>
      </c>
      <c r="Z38">
        <f>_xlfn.STDEV.S(X38:X41)</f>
        <v>11.322164014753799</v>
      </c>
      <c r="AA38">
        <f t="shared" si="41"/>
        <v>44.966367271311221</v>
      </c>
      <c r="AB38">
        <f>AVERAGE(AA38:AA41)</f>
        <v>41.76211307145531</v>
      </c>
      <c r="AC38">
        <f>_xlfn.STDEV.S(AA38:AA41)</f>
        <v>15.578910761986391</v>
      </c>
      <c r="AE38">
        <f t="shared" si="7"/>
        <v>-4.9555999999999933E-2</v>
      </c>
      <c r="AF38">
        <f t="shared" ref="AF38" si="95">AVERAGE(AE38:AE41)</f>
        <v>-2.4778000000000078E-2</v>
      </c>
      <c r="AG38">
        <f>_xlfn.STDEV.S(AE38:AE41)</f>
        <v>0.51251143272256205</v>
      </c>
      <c r="AH38">
        <f t="shared" si="42"/>
        <v>-79.746835443037995</v>
      </c>
      <c r="AI38">
        <f t="shared" ref="AI38" si="96">AVERAGE(AH38:AH41)</f>
        <v>-89.873417721518948</v>
      </c>
      <c r="AJ38">
        <f t="shared" ref="AJ38" si="97">_xlfn.STDEV.S(AH38:AH41)</f>
        <v>209.45956865474267</v>
      </c>
      <c r="AK38">
        <f t="shared" si="43"/>
        <v>-95.280235988200587</v>
      </c>
      <c r="AL38">
        <f t="shared" ref="AL38" si="98">AVERAGE(AK38:AK41)</f>
        <v>-97.640117994100279</v>
      </c>
      <c r="AM38">
        <f t="shared" ref="AM38" si="99">_xlfn.STDEV.S(AK38:AK41)</f>
        <v>48.812111869394322</v>
      </c>
    </row>
    <row r="39" spans="1:39" x14ac:dyDescent="0.3">
      <c r="A39" s="85" t="s">
        <v>99</v>
      </c>
      <c r="B39" s="27" t="s">
        <v>22</v>
      </c>
      <c r="C39" s="27" t="s">
        <v>15</v>
      </c>
      <c r="D39" s="27" t="str">
        <f t="shared" si="31"/>
        <v>PFOS+Dichigh</v>
      </c>
      <c r="E39" s="27" t="s">
        <v>33</v>
      </c>
      <c r="F39" s="27">
        <v>3.36</v>
      </c>
      <c r="G39" s="27">
        <v>1.67</v>
      </c>
      <c r="H39" s="27">
        <v>2.04</v>
      </c>
      <c r="I39" s="28">
        <v>3.09</v>
      </c>
      <c r="J39">
        <f t="shared" si="3"/>
        <v>4.2657039999999995</v>
      </c>
      <c r="K39">
        <f t="shared" si="4"/>
        <v>2.1719629999999999</v>
      </c>
      <c r="L39">
        <f t="shared" si="5"/>
        <v>2.6303559999999999</v>
      </c>
      <c r="M39">
        <f t="shared" si="6"/>
        <v>3.9312009999999997</v>
      </c>
      <c r="X39">
        <f t="shared" si="40"/>
        <v>-1.4748629324391083</v>
      </c>
      <c r="AA39">
        <f t="shared" si="41"/>
        <v>35.567221618400566</v>
      </c>
      <c r="AE39">
        <f t="shared" si="7"/>
        <v>-0.33450299999999977</v>
      </c>
      <c r="AH39">
        <f t="shared" si="42"/>
        <v>36.708860759493668</v>
      </c>
      <c r="AK39">
        <f t="shared" si="43"/>
        <v>-68.141592920353986</v>
      </c>
    </row>
    <row r="40" spans="1:39" x14ac:dyDescent="0.3">
      <c r="A40" s="85" t="s">
        <v>99</v>
      </c>
      <c r="B40" s="27" t="s">
        <v>22</v>
      </c>
      <c r="C40" s="27" t="s">
        <v>15</v>
      </c>
      <c r="D40" s="27" t="str">
        <f t="shared" si="31"/>
        <v>PFOS+Dichigh</v>
      </c>
      <c r="E40" s="27" t="s">
        <v>34</v>
      </c>
      <c r="F40" s="27">
        <v>3.18</v>
      </c>
      <c r="G40" s="27">
        <v>1.87</v>
      </c>
      <c r="H40" s="27">
        <v>2.42</v>
      </c>
      <c r="I40" s="28">
        <v>2.84</v>
      </c>
      <c r="J40">
        <f t="shared" si="3"/>
        <v>4.0427020000000002</v>
      </c>
      <c r="K40">
        <f t="shared" si="4"/>
        <v>2.419743</v>
      </c>
      <c r="L40">
        <f t="shared" si="5"/>
        <v>3.1011379999999997</v>
      </c>
      <c r="M40">
        <f t="shared" si="6"/>
        <v>3.6214759999999999</v>
      </c>
      <c r="X40">
        <f t="shared" si="40"/>
        <v>-9.2372994189607294</v>
      </c>
      <c r="AA40">
        <f t="shared" si="41"/>
        <v>24.88637428554755</v>
      </c>
      <c r="AE40">
        <f t="shared" si="7"/>
        <v>-0.42122600000000032</v>
      </c>
      <c r="AH40">
        <f t="shared" si="42"/>
        <v>72.151898734177465</v>
      </c>
      <c r="AK40">
        <f t="shared" si="43"/>
        <v>-59.882005899704971</v>
      </c>
    </row>
    <row r="41" spans="1:39" ht="15" thickBot="1" x14ac:dyDescent="0.35">
      <c r="A41" s="141" t="s">
        <v>99</v>
      </c>
      <c r="B41" s="87" t="s">
        <v>22</v>
      </c>
      <c r="C41" s="87" t="s">
        <v>15</v>
      </c>
      <c r="D41" s="87" t="str">
        <f t="shared" si="31"/>
        <v>PFOS+Dichigh</v>
      </c>
      <c r="E41" s="87" t="s">
        <v>35</v>
      </c>
      <c r="F41" s="87">
        <v>3.13</v>
      </c>
      <c r="G41" s="87">
        <v>2.25</v>
      </c>
      <c r="H41" s="87">
        <v>2.42</v>
      </c>
      <c r="I41" s="88">
        <v>3.7</v>
      </c>
      <c r="J41">
        <f t="shared" si="3"/>
        <v>3.9807569999999997</v>
      </c>
      <c r="K41">
        <f t="shared" si="4"/>
        <v>2.8905249999999998</v>
      </c>
      <c r="L41">
        <f t="shared" si="5"/>
        <v>3.1011379999999997</v>
      </c>
      <c r="M41">
        <f t="shared" si="6"/>
        <v>4.6869299999999994</v>
      </c>
      <c r="X41">
        <f t="shared" si="40"/>
        <v>17.46548209467365</v>
      </c>
      <c r="AA41">
        <f t="shared" si="41"/>
        <v>61.628489110561915</v>
      </c>
      <c r="AE41">
        <f t="shared" si="7"/>
        <v>0.70617299999999972</v>
      </c>
      <c r="AH41">
        <f t="shared" si="42"/>
        <v>-388.60759493670895</v>
      </c>
      <c r="AK41">
        <f t="shared" si="43"/>
        <v>-167.25663716814159</v>
      </c>
    </row>
    <row r="42" spans="1:39" x14ac:dyDescent="0.3">
      <c r="A42" s="89" t="s">
        <v>100</v>
      </c>
      <c r="B42" s="30" t="s">
        <v>21</v>
      </c>
      <c r="C42" s="30" t="s">
        <v>15</v>
      </c>
      <c r="D42" s="30" t="str">
        <f t="shared" si="31"/>
        <v>PFOS+6ppdqlow</v>
      </c>
      <c r="E42" s="30" t="s">
        <v>32</v>
      </c>
      <c r="F42" s="30">
        <v>3.1</v>
      </c>
      <c r="G42" s="30">
        <v>1.74</v>
      </c>
      <c r="H42" s="30">
        <v>2.33</v>
      </c>
      <c r="I42" s="31">
        <v>2.98</v>
      </c>
      <c r="J42">
        <f t="shared" si="3"/>
        <v>3.9435899999999999</v>
      </c>
      <c r="K42">
        <f t="shared" si="4"/>
        <v>2.258686</v>
      </c>
      <c r="L42">
        <f t="shared" si="5"/>
        <v>2.9896370000000001</v>
      </c>
      <c r="M42">
        <f t="shared" si="6"/>
        <v>3.7949219999999997</v>
      </c>
      <c r="P42">
        <f>AVERAGE(J42:J45)</f>
        <v>4.0488964999999997</v>
      </c>
      <c r="Q42">
        <f t="shared" ref="Q42" si="100">AVERAGE(K42:K45)</f>
        <v>2.0697537499999998</v>
      </c>
      <c r="R42">
        <f t="shared" ref="R42" si="101">AVERAGE(L42:L45)</f>
        <v>2.8502607499999999</v>
      </c>
      <c r="S42">
        <f t="shared" ref="S42" si="102">AVERAGE(M42:M45)</f>
        <v>3.9497844999999998</v>
      </c>
      <c r="T42">
        <f>_xlfn.STDEV.S(J42:J45)</f>
        <v>0.15190214149357195</v>
      </c>
      <c r="U42">
        <f t="shared" ref="U42" si="103">_xlfn.STDEV.S(K42:K45)</f>
        <v>0.14496541783100095</v>
      </c>
      <c r="V42">
        <f t="shared" ref="V42" si="104">_xlfn.STDEV.S(L42:L45)</f>
        <v>0.18414099850635299</v>
      </c>
      <c r="W42">
        <f t="shared" ref="W42" si="105">_xlfn.STDEV.S(M42:M45)</f>
        <v>0.17996061994503113</v>
      </c>
      <c r="X42">
        <f t="shared" si="40"/>
        <v>-4.8903349865086243</v>
      </c>
      <c r="Y42">
        <f>AVERAGE(X42:X45)</f>
        <v>-1.0091167432478172</v>
      </c>
      <c r="Z42">
        <f>_xlfn.STDEV.S(X42:X45)</f>
        <v>4.5102361204241204</v>
      </c>
      <c r="AA42">
        <f t="shared" si="41"/>
        <v>30.867648791945228</v>
      </c>
      <c r="AB42">
        <f>AVERAGE(AA42:AA45)</f>
        <v>36.208072458371731</v>
      </c>
      <c r="AC42">
        <f>_xlfn.STDEV.S(AA42:AA45)</f>
        <v>6.2059307694195445</v>
      </c>
      <c r="AE42">
        <f t="shared" si="7"/>
        <v>-0.14866800000000024</v>
      </c>
      <c r="AF42">
        <f t="shared" ref="AF42" si="106">AVERAGE(AE42:AE45)</f>
        <v>-9.9111999999999978E-2</v>
      </c>
      <c r="AG42">
        <f t="shared" ref="AG42" si="107">_xlfn.STDEV.S(AE42:AE45)</f>
        <v>0.27535928634059109</v>
      </c>
      <c r="AH42">
        <f t="shared" si="42"/>
        <v>-39.240506329113785</v>
      </c>
      <c r="AI42">
        <f t="shared" ref="AI42" si="108">AVERAGE(AH42:AH45)</f>
        <v>-59.493670886075925</v>
      </c>
      <c r="AJ42">
        <f t="shared" ref="AJ42" si="109">_xlfn.STDEV.S(AH42:AH45)</f>
        <v>112.53726972603965</v>
      </c>
      <c r="AK42">
        <f t="shared" si="43"/>
        <v>-85.840707964601734</v>
      </c>
      <c r="AL42">
        <f t="shared" ref="AL42" si="110">AVERAGE(AK42:AK45)</f>
        <v>-90.560471976401175</v>
      </c>
      <c r="AM42">
        <f t="shared" ref="AM42" si="111">_xlfn.STDEV.S(AK42:AK45)</f>
        <v>26.225499434681797</v>
      </c>
    </row>
    <row r="43" spans="1:39" x14ac:dyDescent="0.3">
      <c r="A43" s="89" t="s">
        <v>100</v>
      </c>
      <c r="B43" s="30" t="s">
        <v>21</v>
      </c>
      <c r="C43" s="30" t="s">
        <v>15</v>
      </c>
      <c r="D43" s="30" t="str">
        <f t="shared" si="31"/>
        <v>PFOS+6ppdqlow</v>
      </c>
      <c r="E43" s="30" t="s">
        <v>33</v>
      </c>
      <c r="F43" s="30">
        <v>3.28</v>
      </c>
      <c r="G43" s="30">
        <v>1.6</v>
      </c>
      <c r="H43" s="30">
        <v>2.0699999999999998</v>
      </c>
      <c r="I43" s="31">
        <v>3.01</v>
      </c>
      <c r="J43">
        <f t="shared" si="3"/>
        <v>4.1665919999999987</v>
      </c>
      <c r="K43">
        <f t="shared" si="4"/>
        <v>2.0852400000000002</v>
      </c>
      <c r="L43">
        <f t="shared" si="5"/>
        <v>2.6675229999999996</v>
      </c>
      <c r="M43">
        <f t="shared" si="6"/>
        <v>3.8320889999999994</v>
      </c>
      <c r="X43">
        <f t="shared" si="40"/>
        <v>-3.9588426081260364</v>
      </c>
      <c r="AA43">
        <f t="shared" si="41"/>
        <v>32.149350471887587</v>
      </c>
      <c r="AE43">
        <f t="shared" si="7"/>
        <v>-0.33450299999999933</v>
      </c>
      <c r="AH43">
        <f t="shared" si="42"/>
        <v>36.70886075949349</v>
      </c>
      <c r="AK43">
        <f t="shared" si="43"/>
        <v>-68.141592920354029</v>
      </c>
    </row>
    <row r="44" spans="1:39" x14ac:dyDescent="0.3">
      <c r="A44" s="89" t="s">
        <v>100</v>
      </c>
      <c r="B44" s="30" t="s">
        <v>21</v>
      </c>
      <c r="C44" s="30" t="s">
        <v>15</v>
      </c>
      <c r="D44" s="30" t="str">
        <f t="shared" si="31"/>
        <v>PFOS+6ppdqlow</v>
      </c>
      <c r="E44" s="30" t="s">
        <v>34</v>
      </c>
      <c r="F44" s="30">
        <v>3.3</v>
      </c>
      <c r="G44" s="30">
        <v>1.46</v>
      </c>
      <c r="H44" s="30">
        <v>2.36</v>
      </c>
      <c r="I44" s="31">
        <v>3.13</v>
      </c>
      <c r="J44">
        <f t="shared" si="3"/>
        <v>4.1913699999999992</v>
      </c>
      <c r="K44">
        <f t="shared" si="4"/>
        <v>1.9117939999999998</v>
      </c>
      <c r="L44">
        <f t="shared" si="5"/>
        <v>3.0268039999999998</v>
      </c>
      <c r="M44">
        <f t="shared" si="6"/>
        <v>3.9807569999999997</v>
      </c>
      <c r="X44">
        <f t="shared" si="40"/>
        <v>-0.23287309459564981</v>
      </c>
      <c r="AA44">
        <f t="shared" si="41"/>
        <v>37.276157191657042</v>
      </c>
      <c r="AE44">
        <f t="shared" si="7"/>
        <v>-0.2106129999999995</v>
      </c>
      <c r="AH44">
        <f t="shared" si="42"/>
        <v>-13.924050632911541</v>
      </c>
      <c r="AK44">
        <f t="shared" si="43"/>
        <v>-79.941002949852546</v>
      </c>
    </row>
    <row r="45" spans="1:39" ht="15" thickBot="1" x14ac:dyDescent="0.35">
      <c r="A45" s="142" t="s">
        <v>100</v>
      </c>
      <c r="B45" s="91" t="s">
        <v>21</v>
      </c>
      <c r="C45" s="91" t="s">
        <v>15</v>
      </c>
      <c r="D45" s="91" t="str">
        <f t="shared" si="31"/>
        <v>PFOS+6ppdqlow</v>
      </c>
      <c r="E45" s="91" t="s">
        <v>35</v>
      </c>
      <c r="F45" s="91">
        <v>3.06</v>
      </c>
      <c r="G45" s="91">
        <v>1.55</v>
      </c>
      <c r="H45" s="91">
        <v>2.11</v>
      </c>
      <c r="I45" s="92">
        <v>3.3</v>
      </c>
      <c r="J45">
        <f t="shared" si="3"/>
        <v>3.894034</v>
      </c>
      <c r="K45">
        <f t="shared" si="4"/>
        <v>2.0232950000000001</v>
      </c>
      <c r="L45">
        <f t="shared" si="5"/>
        <v>2.717079</v>
      </c>
      <c r="M45">
        <f t="shared" si="6"/>
        <v>4.1913699999999992</v>
      </c>
      <c r="X45">
        <f t="shared" si="40"/>
        <v>5.045583716239042</v>
      </c>
      <c r="AA45">
        <f t="shared" si="41"/>
        <v>44.539133377997075</v>
      </c>
      <c r="AE45">
        <f t="shared" si="7"/>
        <v>0.29733599999999916</v>
      </c>
      <c r="AH45">
        <f t="shared" si="42"/>
        <v>-221.51898734177186</v>
      </c>
      <c r="AK45">
        <f t="shared" si="43"/>
        <v>-128.31858407079639</v>
      </c>
    </row>
    <row r="46" spans="1:39" x14ac:dyDescent="0.3">
      <c r="A46" s="93" t="s">
        <v>100</v>
      </c>
      <c r="B46" s="94" t="s">
        <v>22</v>
      </c>
      <c r="C46" s="94" t="s">
        <v>15</v>
      </c>
      <c r="D46" s="94" t="str">
        <f t="shared" si="31"/>
        <v>PFOS+6ppdqhigh</v>
      </c>
      <c r="E46" s="94" t="s">
        <v>32</v>
      </c>
      <c r="F46" s="94">
        <v>3.46</v>
      </c>
      <c r="G46" s="94">
        <v>1.54</v>
      </c>
      <c r="H46" s="94">
        <v>1.77</v>
      </c>
      <c r="I46" s="95">
        <v>2.69</v>
      </c>
      <c r="J46">
        <f t="shared" si="3"/>
        <v>4.3895939999999998</v>
      </c>
      <c r="K46">
        <f t="shared" si="4"/>
        <v>2.0109059999999999</v>
      </c>
      <c r="L46">
        <f t="shared" si="5"/>
        <v>2.2958530000000001</v>
      </c>
      <c r="M46">
        <f t="shared" si="6"/>
        <v>3.4356409999999999</v>
      </c>
      <c r="P46">
        <f>AVERAGE(J46:J49)</f>
        <v>4.1665919999999996</v>
      </c>
      <c r="Q46">
        <f t="shared" ref="Q46" si="112">AVERAGE(K46:K49)</f>
        <v>2.2308107500000003</v>
      </c>
      <c r="R46">
        <f t="shared" ref="R46" si="113">AVERAGE(L46:L49)</f>
        <v>2.61486975</v>
      </c>
      <c r="S46">
        <f t="shared" ref="S46" si="114">AVERAGE(M46:M49)</f>
        <v>4.1603974999999993</v>
      </c>
      <c r="T46">
        <f>_xlfn.STDEV.S(J46:J49)</f>
        <v>0.18652200788825596</v>
      </c>
      <c r="U46">
        <f t="shared" ref="U46" si="115">_xlfn.STDEV.S(K46:K49)</f>
        <v>0.14982496686550623</v>
      </c>
      <c r="V46">
        <f t="shared" ref="V46" si="116">_xlfn.STDEV.S(L46:L49)</f>
        <v>0.46093906765889359</v>
      </c>
      <c r="W46">
        <f t="shared" ref="W46" si="117">_xlfn.STDEV.S(M46:M49)</f>
        <v>0.67558872860170804</v>
      </c>
      <c r="X46">
        <f t="shared" si="40"/>
        <v>-13.894761310873701</v>
      </c>
      <c r="Y46">
        <f>AVERAGE(X46:X49)</f>
        <v>4.2693400675868922</v>
      </c>
      <c r="Z46">
        <f>_xlfn.STDEV.S(X46:X49)</f>
        <v>16.931841461879472</v>
      </c>
      <c r="AA46">
        <f t="shared" si="41"/>
        <v>18.47786588583574</v>
      </c>
      <c r="AB46">
        <f>AVERAGE(AA46:AA49)</f>
        <v>43.471048644711786</v>
      </c>
      <c r="AC46">
        <f>_xlfn.STDEV.S(AA46:AA49)</f>
        <v>23.297635224767355</v>
      </c>
      <c r="AE46">
        <f t="shared" si="7"/>
        <v>-0.95395299999999983</v>
      </c>
      <c r="AF46">
        <f t="shared" ref="AF46" si="118">AVERAGE(AE46:AE49)</f>
        <v>-6.1944999999999917E-3</v>
      </c>
      <c r="AG46">
        <f t="shared" ref="AG46" si="119">_xlfn.STDEV.S(AE46:AE49)</f>
        <v>0.83907469359229236</v>
      </c>
      <c r="AH46">
        <f t="shared" si="42"/>
        <v>289.87341772151916</v>
      </c>
      <c r="AI46">
        <f t="shared" ref="AI46" si="120">AVERAGE(AH46:AH49)</f>
        <v>-97.468354430379762</v>
      </c>
      <c r="AJ46">
        <f t="shared" ref="AJ46" si="121">_xlfn.STDEV.S(AH46:AH49)</f>
        <v>342.92351773563644</v>
      </c>
      <c r="AK46">
        <f t="shared" si="43"/>
        <v>-9.1445427728613335</v>
      </c>
      <c r="AL46">
        <f t="shared" ref="AL46" si="122">AVERAGE(AK46:AK49)</f>
        <v>-99.410029498525077</v>
      </c>
      <c r="AM46">
        <f t="shared" ref="AM46" si="123">_xlfn.STDEV.S(AK46:AK49)</f>
        <v>79.914330091785487</v>
      </c>
    </row>
    <row r="47" spans="1:39" x14ac:dyDescent="0.3">
      <c r="A47" s="93" t="s">
        <v>100</v>
      </c>
      <c r="B47" s="94" t="s">
        <v>22</v>
      </c>
      <c r="C47" s="94" t="s">
        <v>15</v>
      </c>
      <c r="D47" s="94" t="str">
        <f t="shared" si="31"/>
        <v>PFOS+6ppdqhigh</v>
      </c>
      <c r="E47" s="94" t="s">
        <v>33</v>
      </c>
      <c r="F47" s="94">
        <v>3.2</v>
      </c>
      <c r="G47" s="94">
        <v>1.81</v>
      </c>
      <c r="H47" s="94">
        <v>1.87</v>
      </c>
      <c r="I47" s="95">
        <v>3.12</v>
      </c>
      <c r="J47">
        <f t="shared" si="3"/>
        <v>4.0674799999999998</v>
      </c>
      <c r="K47">
        <f t="shared" si="4"/>
        <v>2.3454090000000001</v>
      </c>
      <c r="L47">
        <f t="shared" si="5"/>
        <v>2.419743</v>
      </c>
      <c r="M47">
        <f t="shared" si="6"/>
        <v>3.9683679999999999</v>
      </c>
      <c r="X47">
        <f t="shared" si="40"/>
        <v>-0.54337055405650891</v>
      </c>
      <c r="AA47">
        <f t="shared" si="41"/>
        <v>36.848923298342925</v>
      </c>
      <c r="AE47">
        <f t="shared" si="7"/>
        <v>-9.9111999999999867E-2</v>
      </c>
      <c r="AH47">
        <f t="shared" si="42"/>
        <v>-59.493670886075975</v>
      </c>
      <c r="AK47">
        <f t="shared" si="43"/>
        <v>-90.560471976401189</v>
      </c>
    </row>
    <row r="48" spans="1:39" x14ac:dyDescent="0.3">
      <c r="A48" s="93" t="s">
        <v>100</v>
      </c>
      <c r="B48" s="94" t="s">
        <v>22</v>
      </c>
      <c r="C48" s="94" t="s">
        <v>15</v>
      </c>
      <c r="D48" s="94" t="str">
        <f t="shared" si="31"/>
        <v>PFOS+6ppdqhigh</v>
      </c>
      <c r="E48" s="94" t="s">
        <v>34</v>
      </c>
      <c r="F48" s="94">
        <v>3.34</v>
      </c>
      <c r="G48" s="94">
        <v>1.77</v>
      </c>
      <c r="H48" s="94">
        <v>1.89</v>
      </c>
      <c r="I48" s="95">
        <v>3.29</v>
      </c>
      <c r="J48">
        <f t="shared" si="3"/>
        <v>4.2409259999999991</v>
      </c>
      <c r="K48">
        <f t="shared" si="4"/>
        <v>2.2958530000000001</v>
      </c>
      <c r="L48">
        <f t="shared" si="5"/>
        <v>2.4445209999999999</v>
      </c>
      <c r="M48">
        <f t="shared" si="6"/>
        <v>4.1789809999999994</v>
      </c>
      <c r="X48">
        <f t="shared" si="40"/>
        <v>4.7350862567781835</v>
      </c>
      <c r="AA48">
        <f t="shared" si="41"/>
        <v>44.111899484682965</v>
      </c>
      <c r="AE48">
        <f t="shared" si="7"/>
        <v>-6.1944999999999695E-2</v>
      </c>
      <c r="AH48">
        <f t="shared" si="42"/>
        <v>-74.683544303797575</v>
      </c>
      <c r="AK48">
        <f t="shared" si="43"/>
        <v>-94.10029498525077</v>
      </c>
    </row>
    <row r="49" spans="1:39" ht="15" thickBot="1" x14ac:dyDescent="0.35">
      <c r="A49" s="143" t="s">
        <v>100</v>
      </c>
      <c r="B49" s="33" t="s">
        <v>22</v>
      </c>
      <c r="C49" s="33" t="s">
        <v>15</v>
      </c>
      <c r="D49" s="33" t="str">
        <f t="shared" si="31"/>
        <v>PFOS+6ppdqhigh</v>
      </c>
      <c r="E49" s="33" t="s">
        <v>35</v>
      </c>
      <c r="F49" s="33">
        <v>3.12</v>
      </c>
      <c r="G49" s="33">
        <v>1.75</v>
      </c>
      <c r="H49" s="33">
        <v>2.58</v>
      </c>
      <c r="I49" s="34">
        <v>4</v>
      </c>
      <c r="J49">
        <f t="shared" si="3"/>
        <v>3.9683679999999999</v>
      </c>
      <c r="K49">
        <f t="shared" si="4"/>
        <v>2.2710750000000002</v>
      </c>
      <c r="L49">
        <f t="shared" si="5"/>
        <v>3.2993619999999999</v>
      </c>
      <c r="M49">
        <f t="shared" si="6"/>
        <v>5.0585999999999993</v>
      </c>
      <c r="X49">
        <f t="shared" si="40"/>
        <v>26.780405878499597</v>
      </c>
      <c r="AA49">
        <f t="shared" si="41"/>
        <v>74.445505909985528</v>
      </c>
      <c r="AE49">
        <f t="shared" si="7"/>
        <v>1.0902319999999994</v>
      </c>
      <c r="AH49">
        <f t="shared" si="42"/>
        <v>-545.56962025316466</v>
      </c>
      <c r="AK49">
        <f t="shared" si="43"/>
        <v>-203.83480825958702</v>
      </c>
    </row>
    <row r="50" spans="1:39" x14ac:dyDescent="0.3">
      <c r="A50" s="97" t="s">
        <v>98</v>
      </c>
      <c r="B50" s="98" t="s">
        <v>21</v>
      </c>
      <c r="C50" s="98" t="s">
        <v>19</v>
      </c>
      <c r="D50" s="98" t="str">
        <f>A50&amp;B50&amp;C50</f>
        <v>PFOSlownutrients</v>
      </c>
      <c r="E50" s="98" t="s">
        <v>32</v>
      </c>
      <c r="F50" s="98">
        <v>3.1</v>
      </c>
      <c r="G50" s="98">
        <v>1.8</v>
      </c>
      <c r="H50" s="98">
        <v>2.95</v>
      </c>
      <c r="I50" s="99">
        <v>5.98</v>
      </c>
      <c r="J50">
        <f t="shared" si="3"/>
        <v>3.9435899999999999</v>
      </c>
      <c r="K50">
        <f t="shared" si="4"/>
        <v>2.3330199999999999</v>
      </c>
      <c r="L50">
        <f t="shared" si="5"/>
        <v>3.757755</v>
      </c>
      <c r="M50">
        <f t="shared" si="6"/>
        <v>7.511622</v>
      </c>
      <c r="P50">
        <f>AVERAGE(J50:J53)</f>
        <v>3.8475752499999998</v>
      </c>
      <c r="Q50">
        <f t="shared" ref="Q50" si="124">AVERAGE(K50:K53)</f>
        <v>2.5157577499999997</v>
      </c>
      <c r="R50">
        <f t="shared" ref="R50" si="125">AVERAGE(L50:L53)</f>
        <v>3.9404927499999998</v>
      </c>
      <c r="S50">
        <f t="shared" ref="S50" si="126">AVERAGE(M50:M53)</f>
        <v>7.3598567499999996</v>
      </c>
      <c r="T50">
        <f>_xlfn.STDEV.S(J50:J53)</f>
        <v>0.23097539838169606</v>
      </c>
      <c r="U50">
        <f t="shared" ref="U50" si="127">_xlfn.STDEV.S(K50:K53)</f>
        <v>0.12568374378938851</v>
      </c>
      <c r="V50">
        <f t="shared" ref="V50" si="128">_xlfn.STDEV.S(L50:L53)</f>
        <v>0.24327382279148563</v>
      </c>
      <c r="W50">
        <f t="shared" ref="W50" si="129">_xlfn.STDEV.S(M50:M53)</f>
        <v>0.55859371011757475</v>
      </c>
      <c r="X50">
        <f>((M50-$S$14)/$S$14)*100</f>
        <v>62.305283144006339</v>
      </c>
      <c r="Y50">
        <f>AVERAGE(X50:X53)</f>
        <v>59.026057715374407</v>
      </c>
      <c r="Z50">
        <f>_xlfn.STDEV.S(X50:X53)</f>
        <v>12.069658228688025</v>
      </c>
      <c r="AA50">
        <f>((M50-$S$10)/$S$10)*100</f>
        <v>2.753939364259403</v>
      </c>
      <c r="AB50">
        <f>AVERAGE(AA50:AA53)</f>
        <v>0.67789276658692188</v>
      </c>
      <c r="AC50">
        <f>_xlfn.STDEV.S(AA50:AA53)</f>
        <v>7.6411864466393506</v>
      </c>
      <c r="AE50">
        <f t="shared" si="7"/>
        <v>3.5680320000000001</v>
      </c>
      <c r="AF50">
        <f t="shared" ref="AF50" si="130">AVERAGE(AE50:AE53)</f>
        <v>3.5122814999999994</v>
      </c>
      <c r="AG50">
        <f t="shared" ref="AG50" si="131">_xlfn.STDEV.S(AE50:AE53)</f>
        <v>0.35985015837660428</v>
      </c>
      <c r="AH50">
        <f>((AE50-$AF$14)/$AF$14)*100</f>
        <v>378.00829875518673</v>
      </c>
      <c r="AI50">
        <f t="shared" ref="AI50" si="132">AVERAGE(AH50:AH53)</f>
        <v>370.53941908713676</v>
      </c>
      <c r="AJ50">
        <f t="shared" ref="AJ50" si="133">_xlfn.STDEV.S(AH50:AH53)</f>
        <v>48.209030079435031</v>
      </c>
      <c r="AK50">
        <f>((AE50-$AF$10)/$AF$10)*100</f>
        <v>5.3016453382084396</v>
      </c>
      <c r="AL50">
        <f t="shared" ref="AL50" si="134">AVERAGE(AK50:AK53)</f>
        <v>3.6563071297989094</v>
      </c>
      <c r="AM50">
        <f t="shared" ref="AM50" si="135">_xlfn.STDEV.S(AK50:AK53)</f>
        <v>10.620087979107618</v>
      </c>
    </row>
    <row r="51" spans="1:39" x14ac:dyDescent="0.3">
      <c r="A51" s="97" t="s">
        <v>98</v>
      </c>
      <c r="B51" s="98" t="s">
        <v>21</v>
      </c>
      <c r="C51" s="98" t="s">
        <v>19</v>
      </c>
      <c r="D51" s="98" t="str">
        <f t="shared" ref="D51:D81" si="136">A51&amp;B51&amp;C51</f>
        <v>PFOSlownutrients</v>
      </c>
      <c r="E51" s="98" t="s">
        <v>33</v>
      </c>
      <c r="F51" s="98">
        <v>2.87</v>
      </c>
      <c r="G51" s="98">
        <v>1.97</v>
      </c>
      <c r="H51" s="98">
        <v>3.08</v>
      </c>
      <c r="I51" s="99">
        <v>5.31</v>
      </c>
      <c r="J51">
        <f t="shared" si="3"/>
        <v>3.6586430000000001</v>
      </c>
      <c r="K51">
        <f t="shared" si="4"/>
        <v>2.5436329999999998</v>
      </c>
      <c r="L51">
        <f t="shared" si="5"/>
        <v>3.918812</v>
      </c>
      <c r="M51">
        <f t="shared" si="6"/>
        <v>6.6815589999999982</v>
      </c>
      <c r="X51">
        <f t="shared" ref="X51:X81" si="137">((M51-$S$14)/$S$14)*100</f>
        <v>44.369927738427677</v>
      </c>
      <c r="AA51">
        <f t="shared" ref="AA51:AA81" si="138">((M51-$S$10)/$S$10)*100</f>
        <v>-8.6007644760716779</v>
      </c>
      <c r="AE51">
        <f t="shared" si="7"/>
        <v>3.0229159999999982</v>
      </c>
      <c r="AH51">
        <f t="shared" ref="AH51:AH81" si="139">((AE51-$AF$14)/$AF$14)*100</f>
        <v>304.97925311203289</v>
      </c>
      <c r="AK51">
        <f t="shared" ref="AK51:AK81" si="140">((AE51-$AF$10)/$AF$10)*100</f>
        <v>-10.786106032906794</v>
      </c>
    </row>
    <row r="52" spans="1:39" x14ac:dyDescent="0.3">
      <c r="A52" s="97" t="s">
        <v>98</v>
      </c>
      <c r="B52" s="98" t="s">
        <v>21</v>
      </c>
      <c r="C52" s="98" t="s">
        <v>19</v>
      </c>
      <c r="D52" s="98" t="str">
        <f t="shared" si="136"/>
        <v>PFOSlownutrients</v>
      </c>
      <c r="E52" s="98" t="s">
        <v>34</v>
      </c>
      <c r="F52" s="98">
        <v>2.87</v>
      </c>
      <c r="G52" s="98">
        <v>2.0299999999999998</v>
      </c>
      <c r="H52" s="98">
        <v>3.38</v>
      </c>
      <c r="I52" s="99">
        <v>5.75</v>
      </c>
      <c r="J52">
        <f t="shared" si="3"/>
        <v>3.6586430000000001</v>
      </c>
      <c r="K52">
        <f t="shared" si="4"/>
        <v>2.6179669999999997</v>
      </c>
      <c r="L52">
        <f t="shared" si="5"/>
        <v>4.290481999999999</v>
      </c>
      <c r="M52">
        <f t="shared" si="6"/>
        <v>7.2266749999999993</v>
      </c>
      <c r="X52">
        <f t="shared" si="137"/>
        <v>56.148370094330083</v>
      </c>
      <c r="AA52">
        <f t="shared" si="138"/>
        <v>-1.1439440436154475</v>
      </c>
      <c r="AE52">
        <f t="shared" si="7"/>
        <v>3.5680319999999992</v>
      </c>
      <c r="AH52">
        <f t="shared" si="139"/>
        <v>378.00829875518656</v>
      </c>
      <c r="AK52">
        <f t="shared" si="140"/>
        <v>5.301645338208413</v>
      </c>
    </row>
    <row r="53" spans="1:39" ht="15" thickBot="1" x14ac:dyDescent="0.35">
      <c r="A53" s="144" t="s">
        <v>98</v>
      </c>
      <c r="B53" s="101" t="s">
        <v>21</v>
      </c>
      <c r="C53" s="101" t="s">
        <v>19</v>
      </c>
      <c r="D53" s="101" t="str">
        <f t="shared" si="136"/>
        <v>PFOSlownutrients</v>
      </c>
      <c r="E53" s="101" t="s">
        <v>35</v>
      </c>
      <c r="F53" s="101">
        <v>3.25</v>
      </c>
      <c r="G53" s="101">
        <v>1.99</v>
      </c>
      <c r="H53" s="101">
        <v>2.98</v>
      </c>
      <c r="I53" s="102">
        <v>6.39</v>
      </c>
      <c r="J53">
        <f t="shared" si="3"/>
        <v>4.1294249999999995</v>
      </c>
      <c r="K53">
        <f t="shared" si="4"/>
        <v>2.5684109999999998</v>
      </c>
      <c r="L53">
        <f t="shared" si="5"/>
        <v>3.7949219999999997</v>
      </c>
      <c r="M53">
        <f t="shared" si="6"/>
        <v>8.0195709999999991</v>
      </c>
      <c r="X53">
        <f t="shared" si="137"/>
        <v>73.280649884733535</v>
      </c>
      <c r="AA53">
        <f t="shared" si="138"/>
        <v>9.70234022177541</v>
      </c>
      <c r="AE53">
        <f t="shared" si="7"/>
        <v>3.8901459999999997</v>
      </c>
      <c r="AH53">
        <f t="shared" si="139"/>
        <v>421.16182572614099</v>
      </c>
      <c r="AK53">
        <f t="shared" si="140"/>
        <v>14.808043875685579</v>
      </c>
    </row>
    <row r="54" spans="1:39" x14ac:dyDescent="0.3">
      <c r="A54" s="103" t="s">
        <v>98</v>
      </c>
      <c r="B54" s="39" t="s">
        <v>22</v>
      </c>
      <c r="C54" s="39" t="s">
        <v>19</v>
      </c>
      <c r="D54" s="39" t="str">
        <f t="shared" si="136"/>
        <v>PFOShighnutrients</v>
      </c>
      <c r="E54" s="39" t="s">
        <v>32</v>
      </c>
      <c r="F54" s="39">
        <v>3.1</v>
      </c>
      <c r="G54" s="39">
        <v>1.73</v>
      </c>
      <c r="H54" s="39">
        <v>3.23</v>
      </c>
      <c r="I54" s="40">
        <v>8.2899999999999991</v>
      </c>
      <c r="J54">
        <f t="shared" si="3"/>
        <v>3.9435899999999999</v>
      </c>
      <c r="K54">
        <f t="shared" si="4"/>
        <v>2.2462970000000002</v>
      </c>
      <c r="L54">
        <f t="shared" si="5"/>
        <v>4.104646999999999</v>
      </c>
      <c r="M54">
        <f t="shared" si="6"/>
        <v>10.373480999999998</v>
      </c>
      <c r="P54">
        <f>AVERAGE(J54:J57)</f>
        <v>4.0024377500000003</v>
      </c>
      <c r="Q54">
        <f t="shared" ref="Q54" si="141">AVERAGE(K54:K57)</f>
        <v>2.3051447499999997</v>
      </c>
      <c r="R54">
        <f t="shared" ref="R54" si="142">AVERAGE(L54:L57)</f>
        <v>4.095355249999999</v>
      </c>
      <c r="S54">
        <f t="shared" ref="S54" si="143">AVERAGE(M54:M57)</f>
        <v>7.7934717499999993</v>
      </c>
      <c r="T54">
        <f>_xlfn.STDEV.S(J54:J57)</f>
        <v>0.18662484094277637</v>
      </c>
      <c r="U54">
        <f t="shared" ref="U54" si="144">_xlfn.STDEV.S(K54:K57)</f>
        <v>9.0688269823518533E-2</v>
      </c>
      <c r="V54">
        <f t="shared" ref="V54" si="145">_xlfn.STDEV.S(L54:L57)</f>
        <v>0.34915226578707709</v>
      </c>
      <c r="W54">
        <f t="shared" ref="W54" si="146">_xlfn.STDEV.S(M54:M57)</f>
        <v>2.1197714161073069</v>
      </c>
      <c r="X54">
        <f t="shared" si="137"/>
        <v>124.1421055124938</v>
      </c>
      <c r="Y54">
        <f>AVERAGE(X54:X57)</f>
        <v>68.395273225751296</v>
      </c>
      <c r="Z54">
        <f>_xlfn.STDEV.S(X54:X57)</f>
        <v>45.80237129768615</v>
      </c>
      <c r="AA54">
        <f t="shared" si="138"/>
        <v>41.90224663465451</v>
      </c>
      <c r="AB54">
        <f>AVERAGE(AA54:AA57)</f>
        <v>6.6094544742225434</v>
      </c>
      <c r="AC54">
        <f>_xlfn.STDEV.S(AA54:AA57)</f>
        <v>28.997047982017811</v>
      </c>
      <c r="AE54">
        <f t="shared" si="7"/>
        <v>6.4298909999999978</v>
      </c>
      <c r="AF54">
        <f t="shared" ref="AF54" si="147">AVERAGE(AE54:AE57)</f>
        <v>3.7910339999999985</v>
      </c>
      <c r="AG54">
        <f t="shared" ref="AG54" si="148">_xlfn.STDEV.S(AE54:AE57)</f>
        <v>2.2576098657665962</v>
      </c>
      <c r="AH54">
        <f t="shared" si="139"/>
        <v>761.41078838174246</v>
      </c>
      <c r="AI54">
        <f t="shared" ref="AI54" si="149">AVERAGE(AH54:AH57)</f>
        <v>407.88381742738568</v>
      </c>
      <c r="AJ54">
        <f t="shared" ref="AJ54" si="150">_xlfn.STDEV.S(AH54:AH57)</f>
        <v>302.45139370611469</v>
      </c>
      <c r="AK54">
        <f t="shared" si="140"/>
        <v>89.76234003656306</v>
      </c>
      <c r="AL54">
        <f t="shared" ref="AL54" si="151">AVERAGE(AK54:AK57)</f>
        <v>11.882998171846431</v>
      </c>
      <c r="AM54">
        <f t="shared" ref="AM54" si="152">_xlfn.STDEV.S(AK54:AK57)</f>
        <v>66.627775030323264</v>
      </c>
    </row>
    <row r="55" spans="1:39" x14ac:dyDescent="0.3">
      <c r="A55" s="103" t="s">
        <v>98</v>
      </c>
      <c r="B55" s="39" t="s">
        <v>22</v>
      </c>
      <c r="C55" s="39" t="s">
        <v>19</v>
      </c>
      <c r="D55" s="39" t="str">
        <f t="shared" si="136"/>
        <v>PFOShighnutrients</v>
      </c>
      <c r="E55" s="39" t="s">
        <v>33</v>
      </c>
      <c r="F55" s="39">
        <v>3.15</v>
      </c>
      <c r="G55" s="39">
        <v>1.72</v>
      </c>
      <c r="H55" s="39">
        <v>3.21</v>
      </c>
      <c r="I55" s="40">
        <v>6</v>
      </c>
      <c r="J55">
        <f t="shared" si="3"/>
        <v>4.0055349999999992</v>
      </c>
      <c r="K55">
        <f t="shared" si="4"/>
        <v>2.233908</v>
      </c>
      <c r="L55">
        <f t="shared" si="5"/>
        <v>4.0798689999999995</v>
      </c>
      <c r="M55">
        <f t="shared" si="6"/>
        <v>7.5363999999999987</v>
      </c>
      <c r="X55">
        <f t="shared" si="137"/>
        <v>62.840666887456422</v>
      </c>
      <c r="AA55">
        <f t="shared" si="138"/>
        <v>3.0928857475528484</v>
      </c>
      <c r="AE55">
        <f t="shared" si="7"/>
        <v>3.5308649999999995</v>
      </c>
      <c r="AH55">
        <f t="shared" si="139"/>
        <v>373.02904564315344</v>
      </c>
      <c r="AK55">
        <f t="shared" si="140"/>
        <v>4.2047531992687501</v>
      </c>
    </row>
    <row r="56" spans="1:39" x14ac:dyDescent="0.3">
      <c r="A56" s="103" t="s">
        <v>98</v>
      </c>
      <c r="B56" s="39" t="s">
        <v>22</v>
      </c>
      <c r="C56" s="39" t="s">
        <v>19</v>
      </c>
      <c r="D56" s="39" t="str">
        <f t="shared" si="136"/>
        <v>PFOShighnutrients</v>
      </c>
      <c r="E56" s="39" t="s">
        <v>34</v>
      </c>
      <c r="F56" s="39">
        <v>3.35</v>
      </c>
      <c r="G56" s="39">
        <v>1.78</v>
      </c>
      <c r="H56" s="39">
        <v>2.88</v>
      </c>
      <c r="I56" s="40">
        <v>4.12</v>
      </c>
      <c r="J56">
        <f t="shared" si="3"/>
        <v>4.2533149999999997</v>
      </c>
      <c r="K56">
        <f t="shared" si="4"/>
        <v>2.3082419999999999</v>
      </c>
      <c r="L56">
        <f t="shared" si="5"/>
        <v>3.6710319999999999</v>
      </c>
      <c r="M56">
        <f t="shared" si="6"/>
        <v>5.2072679999999991</v>
      </c>
      <c r="X56">
        <f t="shared" si="137"/>
        <v>12.514595003146257</v>
      </c>
      <c r="AA56">
        <f t="shared" si="138"/>
        <v>-28.768074282032796</v>
      </c>
      <c r="AE56">
        <f t="shared" si="7"/>
        <v>0.95395299999999938</v>
      </c>
      <c r="AH56">
        <f t="shared" si="139"/>
        <v>27.800829875518581</v>
      </c>
      <c r="AK56">
        <f t="shared" si="140"/>
        <v>-71.846435100548462</v>
      </c>
    </row>
    <row r="57" spans="1:39" ht="15" thickBot="1" x14ac:dyDescent="0.35">
      <c r="A57" s="145" t="s">
        <v>98</v>
      </c>
      <c r="B57" s="105" t="s">
        <v>22</v>
      </c>
      <c r="C57" s="105" t="s">
        <v>19</v>
      </c>
      <c r="D57" s="105" t="str">
        <f t="shared" si="136"/>
        <v>PFOShighnutrients</v>
      </c>
      <c r="E57" s="105" t="s">
        <v>35</v>
      </c>
      <c r="F57" s="105">
        <v>2.99</v>
      </c>
      <c r="G57" s="105">
        <v>1.88</v>
      </c>
      <c r="H57" s="105">
        <v>3.57</v>
      </c>
      <c r="I57" s="106">
        <v>6.42</v>
      </c>
      <c r="J57">
        <f t="shared" si="3"/>
        <v>3.8073110000000003</v>
      </c>
      <c r="K57">
        <f t="shared" si="4"/>
        <v>2.4321319999999997</v>
      </c>
      <c r="L57">
        <f t="shared" si="5"/>
        <v>4.5258729999999989</v>
      </c>
      <c r="M57">
        <f t="shared" si="6"/>
        <v>8.0567379999999993</v>
      </c>
      <c r="X57">
        <f t="shared" si="137"/>
        <v>74.083725499908709</v>
      </c>
      <c r="AA57">
        <f t="shared" si="138"/>
        <v>10.210759796715609</v>
      </c>
      <c r="AE57">
        <f t="shared" si="7"/>
        <v>4.249426999999999</v>
      </c>
      <c r="AH57">
        <f t="shared" si="139"/>
        <v>469.29460580912848</v>
      </c>
      <c r="AK57">
        <f t="shared" si="140"/>
        <v>25.411334552102378</v>
      </c>
    </row>
    <row r="58" spans="1:39" x14ac:dyDescent="0.3">
      <c r="A58" s="107" t="s">
        <v>97</v>
      </c>
      <c r="B58" s="42" t="s">
        <v>21</v>
      </c>
      <c r="C58" s="42" t="s">
        <v>19</v>
      </c>
      <c r="D58" s="42" t="str">
        <f t="shared" si="136"/>
        <v>PFOS+Carblownutrients</v>
      </c>
      <c r="E58" s="42" t="s">
        <v>32</v>
      </c>
      <c r="F58" s="42">
        <v>3.05</v>
      </c>
      <c r="G58" s="42">
        <v>1.61</v>
      </c>
      <c r="H58" s="42">
        <v>2.79</v>
      </c>
      <c r="I58" s="43">
        <v>5.8</v>
      </c>
      <c r="J58">
        <f t="shared" si="3"/>
        <v>3.8816449999999998</v>
      </c>
      <c r="K58">
        <f t="shared" si="4"/>
        <v>2.097629</v>
      </c>
      <c r="L58">
        <f t="shared" si="5"/>
        <v>3.5595309999999998</v>
      </c>
      <c r="M58">
        <f t="shared" si="6"/>
        <v>7.288619999999999</v>
      </c>
      <c r="P58">
        <f>AVERAGE(J58:J61)</f>
        <v>3.8073109999999994</v>
      </c>
      <c r="Q58">
        <f t="shared" ref="Q58" si="153">AVERAGE(K58:K61)</f>
        <v>2.2648804999999999</v>
      </c>
      <c r="R58">
        <f t="shared" ref="R58" si="154">AVERAGE(L58:L61)</f>
        <v>3.3675014999999999</v>
      </c>
      <c r="S58">
        <f t="shared" ref="S58" si="155">AVERAGE(M58:M61)</f>
        <v>6.086886999999999</v>
      </c>
      <c r="T58">
        <f>_xlfn.STDEV.S(J58:J61)</f>
        <v>0.17608077362960434</v>
      </c>
      <c r="U58">
        <f t="shared" ref="U58" si="156">_xlfn.STDEV.S(K58:K61)</f>
        <v>0.27859185556234123</v>
      </c>
      <c r="V58">
        <f t="shared" ref="V58" si="157">_xlfn.STDEV.S(L58:L61)</f>
        <v>0.50380240818565458</v>
      </c>
      <c r="W58">
        <f t="shared" ref="W58" si="158">_xlfn.STDEV.S(M58:M61)</f>
        <v>1.2145011958866077</v>
      </c>
      <c r="X58">
        <f t="shared" si="137"/>
        <v>57.486829452955348</v>
      </c>
      <c r="Y58">
        <f>AVERAGE(X58:X61)</f>
        <v>31.520717895625101</v>
      </c>
      <c r="Z58">
        <f>_xlfn.STDEV.S(X58:X61)</f>
        <v>26.241996798708733</v>
      </c>
      <c r="AA58">
        <f t="shared" si="138"/>
        <v>-0.29657808538179081</v>
      </c>
      <c r="AB58">
        <f>AVERAGE(AA58:AA61)</f>
        <v>-16.735477675114812</v>
      </c>
      <c r="AC58">
        <f>_xlfn.STDEV.S(AA58:AA61)</f>
        <v>16.613559926198764</v>
      </c>
      <c r="AE58">
        <f t="shared" si="7"/>
        <v>3.4069749999999992</v>
      </c>
      <c r="AF58">
        <f t="shared" ref="AF58" si="159">AVERAGE(AE58:AE61)</f>
        <v>2.2795759999999996</v>
      </c>
      <c r="AG58">
        <f t="shared" ref="AG58" si="160">_xlfn.STDEV.S(AE58:AE61)</f>
        <v>1.082791984953096</v>
      </c>
      <c r="AH58">
        <f t="shared" si="139"/>
        <v>356.4315352697094</v>
      </c>
      <c r="AI58">
        <f t="shared" ref="AI58" si="161">AVERAGE(AH58:AH61)</f>
        <v>205.3941908713692</v>
      </c>
      <c r="AJ58">
        <f t="shared" ref="AJ58" si="162">_xlfn.STDEV.S(AH58:AH61)</f>
        <v>145.06135444782484</v>
      </c>
      <c r="AK58">
        <f t="shared" si="140"/>
        <v>0.54844606946983809</v>
      </c>
      <c r="AL58">
        <f t="shared" ref="AL58" si="163">AVERAGE(AK58:AK61)</f>
        <v>-32.723948811700183</v>
      </c>
      <c r="AM58">
        <f t="shared" ref="AM58" si="164">_xlfn.STDEV.S(AK58:AK61)</f>
        <v>31.955929087683543</v>
      </c>
    </row>
    <row r="59" spans="1:39" x14ac:dyDescent="0.3">
      <c r="A59" s="107" t="s">
        <v>97</v>
      </c>
      <c r="B59" s="42" t="s">
        <v>21</v>
      </c>
      <c r="C59" s="42" t="s">
        <v>19</v>
      </c>
      <c r="D59" s="42" t="str">
        <f t="shared" si="136"/>
        <v>PFOS+Carblownutrients</v>
      </c>
      <c r="E59" s="42" t="s">
        <v>33</v>
      </c>
      <c r="F59" s="42">
        <v>2.94</v>
      </c>
      <c r="G59" s="42">
        <v>1.62</v>
      </c>
      <c r="H59" s="42">
        <v>2.08</v>
      </c>
      <c r="I59" s="43">
        <v>3.79</v>
      </c>
      <c r="J59">
        <f t="shared" si="3"/>
        <v>3.7453659999999998</v>
      </c>
      <c r="K59">
        <f t="shared" si="4"/>
        <v>2.1100180000000002</v>
      </c>
      <c r="L59">
        <f t="shared" si="5"/>
        <v>2.6799119999999998</v>
      </c>
      <c r="M59">
        <f t="shared" si="6"/>
        <v>4.798430999999999</v>
      </c>
      <c r="X59">
        <f t="shared" si="137"/>
        <v>3.6807632362194664</v>
      </c>
      <c r="AA59">
        <f t="shared" si="138"/>
        <v>-34.360689606374962</v>
      </c>
      <c r="AE59">
        <f t="shared" si="7"/>
        <v>1.0530649999999993</v>
      </c>
      <c r="AH59">
        <f t="shared" si="139"/>
        <v>41.078838174273749</v>
      </c>
      <c r="AK59">
        <f t="shared" si="140"/>
        <v>-68.921389396709344</v>
      </c>
    </row>
    <row r="60" spans="1:39" x14ac:dyDescent="0.3">
      <c r="A60" s="107" t="s">
        <v>97</v>
      </c>
      <c r="B60" s="42" t="s">
        <v>21</v>
      </c>
      <c r="C60" s="42" t="s">
        <v>19</v>
      </c>
      <c r="D60" s="42" t="str">
        <f t="shared" si="136"/>
        <v>PFOS+Carblownutrients</v>
      </c>
      <c r="E60" s="42" t="s">
        <v>34</v>
      </c>
      <c r="F60" s="42">
        <v>2.82</v>
      </c>
      <c r="G60" s="42">
        <v>1.67</v>
      </c>
      <c r="H60" s="42">
        <v>2.63</v>
      </c>
      <c r="I60" s="43">
        <v>4.21</v>
      </c>
      <c r="J60">
        <f t="shared" si="3"/>
        <v>3.5966979999999995</v>
      </c>
      <c r="K60">
        <f t="shared" si="4"/>
        <v>2.1719629999999999</v>
      </c>
      <c r="L60">
        <f t="shared" si="5"/>
        <v>3.3613069999999996</v>
      </c>
      <c r="M60">
        <f t="shared" si="6"/>
        <v>5.3187689999999996</v>
      </c>
      <c r="X60">
        <f t="shared" si="137"/>
        <v>14.923821848671754</v>
      </c>
      <c r="AA60">
        <f t="shared" si="138"/>
        <v>-27.242815557212204</v>
      </c>
      <c r="AE60">
        <f t="shared" si="7"/>
        <v>1.7220710000000001</v>
      </c>
      <c r="AH60">
        <f t="shared" si="139"/>
        <v>130.70539419087137</v>
      </c>
      <c r="AK60">
        <f t="shared" si="140"/>
        <v>-49.17733089579523</v>
      </c>
    </row>
    <row r="61" spans="1:39" ht="15" thickBot="1" x14ac:dyDescent="0.35">
      <c r="A61" s="146" t="s">
        <v>97</v>
      </c>
      <c r="B61" s="109" t="s">
        <v>21</v>
      </c>
      <c r="C61" s="109" t="s">
        <v>19</v>
      </c>
      <c r="D61" s="109" t="str">
        <f t="shared" si="136"/>
        <v>PFOS+Carblownutrients</v>
      </c>
      <c r="E61" s="109" t="s">
        <v>35</v>
      </c>
      <c r="F61" s="109">
        <v>3.15</v>
      </c>
      <c r="G61" s="109">
        <v>2.08</v>
      </c>
      <c r="H61" s="109">
        <v>3.04</v>
      </c>
      <c r="I61" s="110">
        <v>5.52</v>
      </c>
      <c r="J61">
        <f t="shared" si="3"/>
        <v>4.0055349999999992</v>
      </c>
      <c r="K61">
        <f t="shared" si="4"/>
        <v>2.6799119999999998</v>
      </c>
      <c r="L61">
        <f t="shared" si="5"/>
        <v>3.869256</v>
      </c>
      <c r="M61">
        <f t="shared" si="6"/>
        <v>6.9417279999999986</v>
      </c>
      <c r="X61">
        <f t="shared" si="137"/>
        <v>49.991457044653828</v>
      </c>
      <c r="AA61">
        <f t="shared" si="138"/>
        <v>-5.0418274514902981</v>
      </c>
      <c r="AE61">
        <f t="shared" si="7"/>
        <v>2.9361929999999994</v>
      </c>
      <c r="AH61">
        <f t="shared" si="139"/>
        <v>293.36099585062232</v>
      </c>
      <c r="AK61">
        <f>((AE61-$AF$10)/$AF$10)*100</f>
        <v>-13.345521023765992</v>
      </c>
    </row>
    <row r="62" spans="1:39" x14ac:dyDescent="0.3">
      <c r="A62" s="111" t="s">
        <v>97</v>
      </c>
      <c r="B62" s="112" t="s">
        <v>22</v>
      </c>
      <c r="C62" s="112" t="s">
        <v>19</v>
      </c>
      <c r="D62" s="112" t="str">
        <f t="shared" si="136"/>
        <v>PFOS+Carbhighnutrients</v>
      </c>
      <c r="E62" s="112" t="s">
        <v>32</v>
      </c>
      <c r="F62" s="112">
        <v>3.1</v>
      </c>
      <c r="G62" s="112">
        <v>1.67</v>
      </c>
      <c r="H62" s="112">
        <v>2.9</v>
      </c>
      <c r="I62" s="113">
        <v>6.38</v>
      </c>
      <c r="J62">
        <f t="shared" si="3"/>
        <v>3.9435899999999999</v>
      </c>
      <c r="K62">
        <f t="shared" si="4"/>
        <v>2.1719629999999999</v>
      </c>
      <c r="L62">
        <f t="shared" si="5"/>
        <v>3.6958099999999998</v>
      </c>
      <c r="M62">
        <f t="shared" si="6"/>
        <v>8.0071820000000002</v>
      </c>
      <c r="P62">
        <f>AVERAGE(J62:J65)</f>
        <v>3.8940339999999996</v>
      </c>
      <c r="Q62">
        <f t="shared" ref="Q62" si="165">AVERAGE(K62:K65)</f>
        <v>2.4878825</v>
      </c>
      <c r="R62">
        <f t="shared" ref="R62" si="166">AVERAGE(L62:L65)</f>
        <v>3.8630614999999997</v>
      </c>
      <c r="S62">
        <f t="shared" ref="S62" si="167">AVERAGE(M62:M65)</f>
        <v>7.5085247499999994</v>
      </c>
      <c r="T62">
        <f>_xlfn.STDEV.S(J62:J65)</f>
        <v>0.2945700236027643</v>
      </c>
      <c r="U62">
        <f t="shared" ref="U62" si="168">_xlfn.STDEV.S(K62:K65)</f>
        <v>0.48696808000627784</v>
      </c>
      <c r="V62">
        <f t="shared" ref="V62" si="169">_xlfn.STDEV.S(L62:L65)</f>
        <v>0.29151468812680192</v>
      </c>
      <c r="W62">
        <f t="shared" ref="W62" si="170">_xlfn.STDEV.S(M62:M65)</f>
        <v>0.42175705616968312</v>
      </c>
      <c r="X62">
        <f t="shared" si="137"/>
        <v>73.012958013008515</v>
      </c>
      <c r="Y62">
        <f>AVERAGE(X62:X65)</f>
        <v>62.238360176075062</v>
      </c>
      <c r="Z62">
        <f>_xlfn.STDEV.S(X62:X65)</f>
        <v>9.1129982871346122</v>
      </c>
      <c r="AA62">
        <f t="shared" si="138"/>
        <v>9.5328670301286937</v>
      </c>
      <c r="AB62">
        <f>AVERAGE(AA62:AA65)</f>
        <v>2.7115710663477088</v>
      </c>
      <c r="AC62">
        <f>_xlfn.STDEV.S(AA62:AA65)</f>
        <v>5.769353007394165</v>
      </c>
      <c r="AE62">
        <f t="shared" si="7"/>
        <v>4.0635919999999999</v>
      </c>
      <c r="AF62">
        <f t="shared" ref="AF62" si="171">AVERAGE(AE62:AE65)</f>
        <v>3.614490749999999</v>
      </c>
      <c r="AG62">
        <f t="shared" ref="AG62" si="172">_xlfn.STDEV.S(AE62:AE65)</f>
        <v>0.35308650000000019</v>
      </c>
      <c r="AH62">
        <f t="shared" si="139"/>
        <v>444.3983402489626</v>
      </c>
      <c r="AI62">
        <f t="shared" ref="AI62" si="173">AVERAGE(AH62:AH65)</f>
        <v>384.23236514522807</v>
      </c>
      <c r="AJ62">
        <f t="shared" ref="AJ62" si="174">_xlfn.STDEV.S(AH62:AH65)</f>
        <v>47.302904564315483</v>
      </c>
      <c r="AK62">
        <f t="shared" si="140"/>
        <v>19.926873857404047</v>
      </c>
      <c r="AL62">
        <f t="shared" ref="AL62" si="175">AVERAGE(AK62:AK65)</f>
        <v>6.6727605118830091</v>
      </c>
      <c r="AM62">
        <f t="shared" ref="AM62" si="176">_xlfn.STDEV.S(AK62:AK65)</f>
        <v>10.420475319926881</v>
      </c>
    </row>
    <row r="63" spans="1:39" x14ac:dyDescent="0.3">
      <c r="A63" s="111" t="s">
        <v>97</v>
      </c>
      <c r="B63" s="112" t="s">
        <v>22</v>
      </c>
      <c r="C63" s="112" t="s">
        <v>19</v>
      </c>
      <c r="D63" s="112" t="str">
        <f t="shared" si="136"/>
        <v>PFOS+Carbhighnutrients</v>
      </c>
      <c r="E63" s="112" t="s">
        <v>33</v>
      </c>
      <c r="F63" s="112">
        <v>3.38</v>
      </c>
      <c r="G63" s="112">
        <v>1.73</v>
      </c>
      <c r="H63" s="112">
        <v>3.33</v>
      </c>
      <c r="I63" s="113">
        <v>6.06</v>
      </c>
      <c r="J63">
        <f t="shared" si="3"/>
        <v>4.290481999999999</v>
      </c>
      <c r="K63">
        <f t="shared" si="4"/>
        <v>2.2462970000000002</v>
      </c>
      <c r="L63">
        <f t="shared" si="5"/>
        <v>4.2285369999999993</v>
      </c>
      <c r="M63">
        <f t="shared" si="6"/>
        <v>7.610733999999999</v>
      </c>
      <c r="X63">
        <f t="shared" si="137"/>
        <v>64.446818117806757</v>
      </c>
      <c r="AA63">
        <f t="shared" si="138"/>
        <v>4.1097248974332468</v>
      </c>
      <c r="AE63">
        <f t="shared" si="7"/>
        <v>3.320252</v>
      </c>
      <c r="AH63">
        <f t="shared" si="139"/>
        <v>344.81327800829871</v>
      </c>
      <c r="AK63">
        <f t="shared" si="140"/>
        <v>-2.0109689213893716</v>
      </c>
    </row>
    <row r="64" spans="1:39" x14ac:dyDescent="0.3">
      <c r="A64" s="111" t="s">
        <v>97</v>
      </c>
      <c r="B64" s="112" t="s">
        <v>22</v>
      </c>
      <c r="C64" s="112" t="s">
        <v>19</v>
      </c>
      <c r="D64" s="112" t="str">
        <f t="shared" si="136"/>
        <v>PFOS+Carbhighnutrients</v>
      </c>
      <c r="E64" s="112" t="s">
        <v>34</v>
      </c>
      <c r="F64" s="112">
        <v>2.9</v>
      </c>
      <c r="G64" s="112">
        <v>1.79</v>
      </c>
      <c r="H64" s="112">
        <v>2.8</v>
      </c>
      <c r="I64" s="113">
        <v>5.91</v>
      </c>
      <c r="J64">
        <f t="shared" si="3"/>
        <v>3.6958099999999998</v>
      </c>
      <c r="K64">
        <f t="shared" si="4"/>
        <v>2.3206310000000001</v>
      </c>
      <c r="L64">
        <f t="shared" si="5"/>
        <v>3.5719199999999995</v>
      </c>
      <c r="M64">
        <f t="shared" si="6"/>
        <v>7.424898999999999</v>
      </c>
      <c r="X64">
        <f t="shared" si="137"/>
        <v>60.431440041930941</v>
      </c>
      <c r="AA64">
        <f t="shared" si="138"/>
        <v>1.567627022732264</v>
      </c>
      <c r="AE64">
        <f t="shared" si="7"/>
        <v>3.7290889999999992</v>
      </c>
      <c r="AH64">
        <f t="shared" si="139"/>
        <v>399.58506224066377</v>
      </c>
      <c r="AK64">
        <f t="shared" si="140"/>
        <v>10.05484460694699</v>
      </c>
    </row>
    <row r="65" spans="1:39" ht="15" thickBot="1" x14ac:dyDescent="0.35">
      <c r="A65" s="147" t="s">
        <v>97</v>
      </c>
      <c r="B65" s="115" t="s">
        <v>22</v>
      </c>
      <c r="C65" s="115" t="s">
        <v>19</v>
      </c>
      <c r="D65" s="115" t="str">
        <f t="shared" si="136"/>
        <v>PFOS+Carbhighnutrients</v>
      </c>
      <c r="E65" s="115" t="s">
        <v>35</v>
      </c>
      <c r="F65" s="115">
        <v>2.86</v>
      </c>
      <c r="G65" s="115">
        <v>2.5099999999999998</v>
      </c>
      <c r="H65" s="115">
        <v>3.11</v>
      </c>
      <c r="I65" s="116">
        <v>5.56</v>
      </c>
      <c r="J65">
        <f t="shared" si="3"/>
        <v>3.6462539999999999</v>
      </c>
      <c r="K65">
        <f t="shared" si="4"/>
        <v>3.2126389999999998</v>
      </c>
      <c r="L65">
        <f t="shared" si="5"/>
        <v>3.9559789999999997</v>
      </c>
      <c r="M65">
        <f t="shared" si="6"/>
        <v>6.9912839999999985</v>
      </c>
      <c r="X65">
        <f t="shared" si="137"/>
        <v>51.062224531554037</v>
      </c>
      <c r="AA65">
        <f t="shared" si="138"/>
        <v>-4.36393468490337</v>
      </c>
      <c r="AE65">
        <f t="shared" si="7"/>
        <v>3.3450299999999986</v>
      </c>
      <c r="AH65">
        <f>((AE65-$AF$14)/$AF$14)*100</f>
        <v>348.13278008298732</v>
      </c>
      <c r="AK65">
        <f t="shared" si="140"/>
        <v>-1.279707495429631</v>
      </c>
    </row>
    <row r="66" spans="1:39" x14ac:dyDescent="0.3">
      <c r="A66" s="117" t="s">
        <v>99</v>
      </c>
      <c r="B66" s="48" t="s">
        <v>21</v>
      </c>
      <c r="C66" s="48" t="s">
        <v>19</v>
      </c>
      <c r="D66" s="48" t="str">
        <f t="shared" si="136"/>
        <v>PFOS+Diclownutrients</v>
      </c>
      <c r="E66" s="48" t="s">
        <v>32</v>
      </c>
      <c r="F66" s="48">
        <v>2.82</v>
      </c>
      <c r="G66" s="48">
        <v>1.56</v>
      </c>
      <c r="H66" s="48">
        <v>2.16</v>
      </c>
      <c r="I66" s="49">
        <v>6.04</v>
      </c>
      <c r="J66">
        <f t="shared" si="3"/>
        <v>3.5966979999999995</v>
      </c>
      <c r="K66">
        <f t="shared" si="4"/>
        <v>2.0356839999999998</v>
      </c>
      <c r="L66">
        <f t="shared" si="5"/>
        <v>2.7790240000000002</v>
      </c>
      <c r="M66">
        <f t="shared" si="6"/>
        <v>7.5859559999999995</v>
      </c>
      <c r="P66">
        <f>AVERAGE(J66:J69)</f>
        <v>3.7236852499999995</v>
      </c>
      <c r="Q66">
        <f t="shared" ref="Q66" si="177">AVERAGE(K66:K69)</f>
        <v>1.9582527499999998</v>
      </c>
      <c r="R66">
        <f t="shared" ref="R66" si="178">AVERAGE(L66:L69)</f>
        <v>3.5626282499999995</v>
      </c>
      <c r="S66">
        <f t="shared" ref="S66" si="179">AVERAGE(M66:M69)</f>
        <v>6.0466227499999992</v>
      </c>
      <c r="T66">
        <f>_xlfn.STDEV.S(J66:J69)</f>
        <v>0.15683221349662207</v>
      </c>
      <c r="U66">
        <f t="shared" ref="U66" si="180">_xlfn.STDEV.S(K66:K69)</f>
        <v>7.2504763596952737E-2</v>
      </c>
      <c r="V66">
        <f t="shared" ref="V66" si="181">_xlfn.STDEV.S(L66:L69)</f>
        <v>0.81103804149718228</v>
      </c>
      <c r="W66">
        <f t="shared" ref="W66" si="182">_xlfn.STDEV.S(M66:M69)</f>
        <v>1.1967788962551043</v>
      </c>
      <c r="X66">
        <f t="shared" si="137"/>
        <v>63.911434374356659</v>
      </c>
      <c r="Y66">
        <f>AVERAGE(X66:X69)</f>
        <v>30.650719312518682</v>
      </c>
      <c r="Z66">
        <f>_xlfn.STDEV.S(X66:X69)</f>
        <v>25.859067138556217</v>
      </c>
      <c r="AA66">
        <f t="shared" si="138"/>
        <v>3.7707785141397885</v>
      </c>
      <c r="AB66">
        <f>AVERAGE(AA66:AA69)</f>
        <v>-17.286265547966689</v>
      </c>
      <c r="AC66">
        <f>_xlfn.STDEV.S(AA66:AA69)</f>
        <v>16.371130780838307</v>
      </c>
      <c r="AE66">
        <f t="shared" si="7"/>
        <v>3.989258</v>
      </c>
      <c r="AF66">
        <f t="shared" ref="AF66" si="183">AVERAGE(AE66:AE69)</f>
        <v>2.3229374999999997</v>
      </c>
      <c r="AG66">
        <f t="shared" ref="AG66" si="184">_xlfn.STDEV.S(AE66:AE69)</f>
        <v>1.3331277845199234</v>
      </c>
      <c r="AH66">
        <f t="shared" si="139"/>
        <v>434.43983402489624</v>
      </c>
      <c r="AI66">
        <f t="shared" ref="AI66" si="185">AVERAGE(AH66:AH69)</f>
        <v>211.20331950207463</v>
      </c>
      <c r="AJ66">
        <f t="shared" ref="AJ66" si="186">_xlfn.STDEV.S(AH66:AH69)</f>
        <v>178.59877498341942</v>
      </c>
      <c r="AK66">
        <f t="shared" si="140"/>
        <v>17.733089579524712</v>
      </c>
      <c r="AL66">
        <f t="shared" ref="AL66" si="187">AVERAGE(AK66:AK69)</f>
        <v>-31.444241316270556</v>
      </c>
      <c r="AM66">
        <f t="shared" ref="AM66" si="188">_xlfn.STDEV.S(AK66:AK69)</f>
        <v>39.343971454299897</v>
      </c>
    </row>
    <row r="67" spans="1:39" x14ac:dyDescent="0.3">
      <c r="A67" s="117" t="s">
        <v>99</v>
      </c>
      <c r="B67" s="48" t="s">
        <v>21</v>
      </c>
      <c r="C67" s="48" t="s">
        <v>19</v>
      </c>
      <c r="D67" s="48" t="str">
        <f t="shared" si="136"/>
        <v>PFOS+Diclownutrients</v>
      </c>
      <c r="E67" s="48" t="s">
        <v>33</v>
      </c>
      <c r="F67" s="48">
        <v>2.81</v>
      </c>
      <c r="G67" s="48">
        <v>1.47</v>
      </c>
      <c r="H67" s="48">
        <v>2.4300000000000002</v>
      </c>
      <c r="I67" s="49">
        <v>5.07</v>
      </c>
      <c r="J67">
        <f t="shared" ref="J67:J81" si="189" xml:space="preserve"> 1.2389*(F67) + 0.103</f>
        <v>3.5843089999999997</v>
      </c>
      <c r="K67">
        <f t="shared" ref="K67:K81" si="190" xml:space="preserve"> 1.2389*(G67) + 0.103</f>
        <v>1.9241829999999998</v>
      </c>
      <c r="L67">
        <f t="shared" ref="L67:L81" si="191" xml:space="preserve"> 1.2389*(H67) + 0.103</f>
        <v>3.1135269999999999</v>
      </c>
      <c r="M67">
        <f t="shared" ref="M67:M81" si="192" xml:space="preserve"> 1.2389*(I67) + 0.103</f>
        <v>6.3842229999999995</v>
      </c>
      <c r="X67">
        <f t="shared" si="137"/>
        <v>37.945322817026408</v>
      </c>
      <c r="AA67">
        <f t="shared" si="138"/>
        <v>-12.668121075593234</v>
      </c>
      <c r="AE67">
        <f t="shared" ref="AE67:AE81" si="193">M67-J67</f>
        <v>2.7999139999999998</v>
      </c>
      <c r="AH67">
        <f t="shared" si="139"/>
        <v>275.103734439834</v>
      </c>
      <c r="AK67">
        <f t="shared" si="140"/>
        <v>-17.367458866544773</v>
      </c>
    </row>
    <row r="68" spans="1:39" x14ac:dyDescent="0.3">
      <c r="A68" s="117" t="s">
        <v>99</v>
      </c>
      <c r="B68" s="48" t="s">
        <v>21</v>
      </c>
      <c r="C68" s="48" t="s">
        <v>19</v>
      </c>
      <c r="D68" s="48" t="str">
        <f t="shared" si="136"/>
        <v>PFOS+Diclownutrients</v>
      </c>
      <c r="E68" s="48" t="s">
        <v>34</v>
      </c>
      <c r="F68" s="48">
        <v>3.06</v>
      </c>
      <c r="G68" s="48">
        <v>1.53</v>
      </c>
      <c r="H68" s="48">
        <v>2.93</v>
      </c>
      <c r="I68" s="49">
        <v>4.17</v>
      </c>
      <c r="J68">
        <f t="shared" si="189"/>
        <v>3.894034</v>
      </c>
      <c r="K68">
        <f t="shared" si="190"/>
        <v>1.9985169999999999</v>
      </c>
      <c r="L68">
        <f t="shared" si="191"/>
        <v>3.732977</v>
      </c>
      <c r="M68">
        <f t="shared" si="192"/>
        <v>5.2692129999999988</v>
      </c>
      <c r="X68">
        <f t="shared" si="137"/>
        <v>13.85305436177152</v>
      </c>
      <c r="AA68">
        <f t="shared" si="138"/>
        <v>-27.920708323799143</v>
      </c>
      <c r="AE68">
        <f t="shared" si="193"/>
        <v>1.3751789999999988</v>
      </c>
      <c r="AH68">
        <f t="shared" si="139"/>
        <v>84.232365145228044</v>
      </c>
      <c r="AK68">
        <f t="shared" si="140"/>
        <v>-59.414990859232198</v>
      </c>
    </row>
    <row r="69" spans="1:39" ht="15" thickBot="1" x14ac:dyDescent="0.35">
      <c r="A69" s="148" t="s">
        <v>99</v>
      </c>
      <c r="B69" s="119" t="s">
        <v>21</v>
      </c>
      <c r="C69" s="119" t="s">
        <v>19</v>
      </c>
      <c r="D69" s="119" t="str">
        <f t="shared" si="136"/>
        <v>PFOS+Diclownutrients</v>
      </c>
      <c r="E69" s="119" t="s">
        <v>35</v>
      </c>
      <c r="F69" s="119">
        <v>3</v>
      </c>
      <c r="G69" s="119">
        <v>1.43</v>
      </c>
      <c r="H69" s="119">
        <v>3.65</v>
      </c>
      <c r="I69" s="120">
        <v>3.91</v>
      </c>
      <c r="J69">
        <f t="shared" si="189"/>
        <v>3.8196999999999997</v>
      </c>
      <c r="K69">
        <f t="shared" si="190"/>
        <v>1.8746269999999998</v>
      </c>
      <c r="L69">
        <f t="shared" si="191"/>
        <v>4.6249849999999997</v>
      </c>
      <c r="M69">
        <f t="shared" si="192"/>
        <v>4.9470989999999997</v>
      </c>
      <c r="X69">
        <f t="shared" si="137"/>
        <v>6.8930656969201305</v>
      </c>
      <c r="AA69">
        <f t="shared" si="138"/>
        <v>-32.327011306614168</v>
      </c>
      <c r="AE69">
        <f t="shared" si="193"/>
        <v>1.127399</v>
      </c>
      <c r="AH69">
        <f t="shared" si="139"/>
        <v>51.037344398340245</v>
      </c>
      <c r="AK69">
        <f t="shared" si="140"/>
        <v>-66.72760511882997</v>
      </c>
    </row>
    <row r="70" spans="1:39" x14ac:dyDescent="0.3">
      <c r="A70" s="121" t="s">
        <v>99</v>
      </c>
      <c r="B70" s="51" t="s">
        <v>22</v>
      </c>
      <c r="C70" s="51" t="s">
        <v>19</v>
      </c>
      <c r="D70" s="51" t="str">
        <f t="shared" si="136"/>
        <v>PFOS+Dichighnutrients</v>
      </c>
      <c r="E70" s="51" t="s">
        <v>32</v>
      </c>
      <c r="F70" s="51">
        <v>2.95</v>
      </c>
      <c r="G70" s="51">
        <v>1.57</v>
      </c>
      <c r="H70" s="51">
        <v>2.46</v>
      </c>
      <c r="I70" s="52">
        <v>4.4000000000000004</v>
      </c>
      <c r="J70">
        <f t="shared" si="189"/>
        <v>3.757755</v>
      </c>
      <c r="K70">
        <f t="shared" si="190"/>
        <v>2.048073</v>
      </c>
      <c r="L70">
        <f t="shared" si="191"/>
        <v>3.1506940000000001</v>
      </c>
      <c r="M70">
        <f t="shared" si="192"/>
        <v>5.5541599999999995</v>
      </c>
      <c r="P70">
        <f>AVERAGE(J70:J73)</f>
        <v>3.7980192499999998</v>
      </c>
      <c r="Q70">
        <f t="shared" ref="Q70" si="194">AVERAGE(K70:K73)</f>
        <v>1.9923224999999998</v>
      </c>
      <c r="R70">
        <f t="shared" ref="R70" si="195">AVERAGE(L70:L73)</f>
        <v>4.485608749999999</v>
      </c>
      <c r="S70">
        <f t="shared" ref="S70" si="196">AVERAGE(M70:M73)</f>
        <v>4.6807354999999999</v>
      </c>
      <c r="T70">
        <f>_xlfn.STDEV.S(J70:J73)</f>
        <v>3.9664153088777528E-2</v>
      </c>
      <c r="U70">
        <f t="shared" ref="U70" si="197">_xlfn.STDEV.S(K70:K73)</f>
        <v>0.163265524265433</v>
      </c>
      <c r="V70">
        <f t="shared" ref="V70" si="198">_xlfn.STDEV.S(L70:L73)</f>
        <v>1.751612854982399</v>
      </c>
      <c r="W70">
        <f t="shared" ref="W70" si="199">_xlfn.STDEV.S(M70:M73)</f>
        <v>0.84515018162079347</v>
      </c>
      <c r="X70">
        <f t="shared" si="137"/>
        <v>20.009967411447779</v>
      </c>
      <c r="Y70">
        <f>AVERAGE(X70:X73)</f>
        <v>1.1376904548314646</v>
      </c>
      <c r="Z70">
        <f>_xlfn.STDEV.S(X70:X73)</f>
        <v>18.261347486224924</v>
      </c>
      <c r="AA70">
        <f t="shared" si="138"/>
        <v>-24.022824915924289</v>
      </c>
      <c r="AB70">
        <f>AVERAGE(AA70:AA73)</f>
        <v>-35.970684927018908</v>
      </c>
      <c r="AC70">
        <f>_xlfn.STDEV.S(AA70:AA73)</f>
        <v>11.561086342730778</v>
      </c>
      <c r="AE70">
        <f t="shared" si="193"/>
        <v>1.7964049999999996</v>
      </c>
      <c r="AF70">
        <f t="shared" ref="AF70" si="200">AVERAGE(AE70:AE73)</f>
        <v>0.88271624999999998</v>
      </c>
      <c r="AG70">
        <f t="shared" ref="AG70" si="201">_xlfn.STDEV.S(AE70:AE73)</f>
        <v>0.88251517753761566</v>
      </c>
      <c r="AH70">
        <f t="shared" si="139"/>
        <v>140.66390041493767</v>
      </c>
      <c r="AI70">
        <f t="shared" ref="AI70" si="202">AVERAGE(AH70:AH73)</f>
        <v>18.257261410788367</v>
      </c>
      <c r="AJ70">
        <f t="shared" ref="AJ70" si="203">_xlfn.STDEV.S(AH70:AH73)</f>
        <v>118.23032378644226</v>
      </c>
      <c r="AK70">
        <f t="shared" si="140"/>
        <v>-46.983546617915906</v>
      </c>
      <c r="AL70">
        <f t="shared" ref="AL70" si="204">AVERAGE(AK70:AK73)</f>
        <v>-73.948811700182802</v>
      </c>
      <c r="AM70">
        <f t="shared" ref="AM70" si="205">_xlfn.STDEV.S(AK70:AK73)</f>
        <v>26.045254143082818</v>
      </c>
    </row>
    <row r="71" spans="1:39" x14ac:dyDescent="0.3">
      <c r="A71" s="121" t="s">
        <v>99</v>
      </c>
      <c r="B71" s="51" t="s">
        <v>22</v>
      </c>
      <c r="C71" s="51" t="s">
        <v>19</v>
      </c>
      <c r="D71" s="51" t="str">
        <f t="shared" si="136"/>
        <v>PFOS+Dichighnutrients</v>
      </c>
      <c r="E71" s="51" t="s">
        <v>33</v>
      </c>
      <c r="F71" s="51">
        <v>3.01</v>
      </c>
      <c r="G71" s="51">
        <v>1.48</v>
      </c>
      <c r="H71" s="51">
        <v>2.74</v>
      </c>
      <c r="I71" s="52">
        <v>2.87</v>
      </c>
      <c r="J71">
        <f t="shared" si="189"/>
        <v>3.8320889999999994</v>
      </c>
      <c r="K71">
        <f t="shared" si="190"/>
        <v>1.9365719999999997</v>
      </c>
      <c r="L71">
        <f t="shared" si="191"/>
        <v>3.4975860000000001</v>
      </c>
      <c r="M71">
        <f t="shared" si="192"/>
        <v>3.6586430000000001</v>
      </c>
      <c r="X71">
        <f t="shared" si="137"/>
        <v>-20.946888962485492</v>
      </c>
      <c r="AA71">
        <f t="shared" si="138"/>
        <v>-49.952223237874307</v>
      </c>
      <c r="AE71">
        <f t="shared" si="193"/>
        <v>-0.17344599999999932</v>
      </c>
      <c r="AH71">
        <f t="shared" si="139"/>
        <v>-123.23651452282149</v>
      </c>
      <c r="AK71">
        <f t="shared" si="140"/>
        <v>-105.11882998171845</v>
      </c>
    </row>
    <row r="72" spans="1:39" x14ac:dyDescent="0.3">
      <c r="A72" s="121" t="s">
        <v>99</v>
      </c>
      <c r="B72" s="51" t="s">
        <v>22</v>
      </c>
      <c r="C72" s="51" t="s">
        <v>19</v>
      </c>
      <c r="D72" s="51" t="str">
        <f t="shared" si="136"/>
        <v>PFOS+Dichighnutrients</v>
      </c>
      <c r="E72" s="51" t="s">
        <v>34</v>
      </c>
      <c r="F72" s="51">
        <v>3.01</v>
      </c>
      <c r="G72" s="51">
        <v>1.37</v>
      </c>
      <c r="H72" s="51">
        <v>3.37</v>
      </c>
      <c r="I72" s="52">
        <v>3.43</v>
      </c>
      <c r="J72">
        <f t="shared" si="189"/>
        <v>3.8320889999999994</v>
      </c>
      <c r="K72">
        <f t="shared" si="190"/>
        <v>1.8002929999999999</v>
      </c>
      <c r="L72">
        <f t="shared" si="191"/>
        <v>4.2780929999999993</v>
      </c>
      <c r="M72">
        <f t="shared" si="192"/>
        <v>4.3524269999999996</v>
      </c>
      <c r="X72">
        <f t="shared" si="137"/>
        <v>-5.9561441458824689</v>
      </c>
      <c r="AA72">
        <f t="shared" si="138"/>
        <v>-40.461724505657308</v>
      </c>
      <c r="AE72">
        <f t="shared" si="193"/>
        <v>0.52033800000000019</v>
      </c>
      <c r="AH72">
        <f t="shared" si="139"/>
        <v>-30.290456431535251</v>
      </c>
      <c r="AK72">
        <f t="shared" si="140"/>
        <v>-84.643510054844597</v>
      </c>
    </row>
    <row r="73" spans="1:39" ht="15" thickBot="1" x14ac:dyDescent="0.35">
      <c r="A73" s="149" t="s">
        <v>99</v>
      </c>
      <c r="B73" s="123" t="s">
        <v>22</v>
      </c>
      <c r="C73" s="123" t="s">
        <v>19</v>
      </c>
      <c r="D73" s="123" t="str">
        <f t="shared" si="136"/>
        <v>PFOS+Dichighnutrients</v>
      </c>
      <c r="E73" s="123" t="s">
        <v>35</v>
      </c>
      <c r="F73" s="123">
        <v>2.96</v>
      </c>
      <c r="G73" s="123">
        <v>1.68</v>
      </c>
      <c r="H73" s="123">
        <v>5.58</v>
      </c>
      <c r="I73" s="124">
        <v>4.08</v>
      </c>
      <c r="J73">
        <f t="shared" si="189"/>
        <v>3.7701439999999997</v>
      </c>
      <c r="K73">
        <f t="shared" si="190"/>
        <v>2.1843520000000001</v>
      </c>
      <c r="L73">
        <f t="shared" si="191"/>
        <v>7.0160619999999989</v>
      </c>
      <c r="M73">
        <f t="shared" si="192"/>
        <v>5.1577119999999992</v>
      </c>
      <c r="X73">
        <f t="shared" si="137"/>
        <v>11.44382751624604</v>
      </c>
      <c r="AA73">
        <f t="shared" si="138"/>
        <v>-29.445967048619725</v>
      </c>
      <c r="AE73">
        <f t="shared" si="193"/>
        <v>1.3875679999999995</v>
      </c>
      <c r="AH73">
        <f t="shared" si="139"/>
        <v>85.892116182572536</v>
      </c>
      <c r="AK73">
        <f>((AE73-$AF$10)/$AF$10)*100</f>
        <v>-59.049360146252297</v>
      </c>
    </row>
    <row r="74" spans="1:39" x14ac:dyDescent="0.3">
      <c r="A74" s="125" t="s">
        <v>100</v>
      </c>
      <c r="B74" s="54" t="s">
        <v>21</v>
      </c>
      <c r="C74" s="54" t="s">
        <v>19</v>
      </c>
      <c r="D74" s="54" t="str">
        <f t="shared" si="136"/>
        <v>PFOS+6ppdqlownutrients</v>
      </c>
      <c r="E74" s="54" t="s">
        <v>32</v>
      </c>
      <c r="F74" s="54">
        <v>3.37</v>
      </c>
      <c r="G74" s="54">
        <v>1.78</v>
      </c>
      <c r="H74" s="54">
        <v>5.48</v>
      </c>
      <c r="I74" s="55">
        <v>6.65</v>
      </c>
      <c r="J74">
        <f t="shared" si="189"/>
        <v>4.2780929999999993</v>
      </c>
      <c r="K74">
        <f t="shared" si="190"/>
        <v>2.3082419999999999</v>
      </c>
      <c r="L74">
        <f t="shared" si="191"/>
        <v>6.8921719999999995</v>
      </c>
      <c r="M74">
        <f t="shared" si="192"/>
        <v>8.341685</v>
      </c>
      <c r="P74">
        <f>AVERAGE(J74:J77)</f>
        <v>3.9621734999999996</v>
      </c>
      <c r="Q74">
        <f t="shared" ref="Q74" si="206">AVERAGE(K74:K77)</f>
        <v>2.1626712499999998</v>
      </c>
      <c r="R74">
        <f t="shared" ref="R74" si="207">AVERAGE(L74:L77)</f>
        <v>6.9138527499999993</v>
      </c>
      <c r="S74">
        <f t="shared" ref="S74" si="208">AVERAGE(M74:M77)</f>
        <v>7.0532289999999991</v>
      </c>
      <c r="T74">
        <f>_xlfn.STDEV.S(J74:J77)</f>
        <v>0.25379817253019477</v>
      </c>
      <c r="U74">
        <f t="shared" ref="U74" si="209">_xlfn.STDEV.S(K74:K77)</f>
        <v>0.10184883297114075</v>
      </c>
      <c r="V74">
        <f t="shared" ref="V74" si="210">_xlfn.STDEV.S(L74:L77)</f>
        <v>0.50682721148689658</v>
      </c>
      <c r="W74">
        <f t="shared" ref="W74" si="211">_xlfn.STDEV.S(M74:M77)</f>
        <v>1.0406268361402822</v>
      </c>
      <c r="X74">
        <f t="shared" si="137"/>
        <v>80.240638549584972</v>
      </c>
      <c r="Y74">
        <f>AVERAGE(X74:X77)</f>
        <v>52.400683890179337</v>
      </c>
      <c r="Z74">
        <f>_xlfn.STDEV.S(X74:X77)</f>
        <v>22.48505493047972</v>
      </c>
      <c r="AA74">
        <f t="shared" si="138"/>
        <v>14.108643204590459</v>
      </c>
      <c r="AB74">
        <f>AVERAGE(AA74:AA77)</f>
        <v>-3.5165687266696954</v>
      </c>
      <c r="AC74">
        <f>_xlfn.STDEV.S(AA74:AA77)</f>
        <v>14.235075569774366</v>
      </c>
      <c r="AE74">
        <f t="shared" si="193"/>
        <v>4.0635920000000008</v>
      </c>
      <c r="AF74">
        <f t="shared" ref="AF74" si="212">AVERAGE(AE74:AE77)</f>
        <v>3.0910555</v>
      </c>
      <c r="AG74">
        <f t="shared" ref="AG74" si="213">_xlfn.STDEV.S(AE74:AE77)</f>
        <v>0.81243254657869024</v>
      </c>
      <c r="AH74">
        <f t="shared" si="139"/>
        <v>444.39834024896265</v>
      </c>
      <c r="AI74">
        <f t="shared" ref="AI74" si="214">AVERAGE(AH74:AH77)</f>
        <v>314.10788381742731</v>
      </c>
      <c r="AJ74">
        <f t="shared" ref="AJ74" si="215">_xlfn.STDEV.S(AH74:AH77)</f>
        <v>108.84137234291148</v>
      </c>
      <c r="AK74">
        <f t="shared" si="140"/>
        <v>19.926873857404075</v>
      </c>
      <c r="AL74">
        <f t="shared" ref="AL74" si="216">AVERAGE(AK74:AK77)</f>
        <v>-8.7751371115173491</v>
      </c>
      <c r="AM74">
        <f t="shared" ref="AM74" si="217">_xlfn.STDEV.S(AK74:AK77)</f>
        <v>23.9769385142977</v>
      </c>
    </row>
    <row r="75" spans="1:39" x14ac:dyDescent="0.3">
      <c r="A75" s="125" t="s">
        <v>100</v>
      </c>
      <c r="B75" s="54" t="s">
        <v>21</v>
      </c>
      <c r="C75" s="54" t="s">
        <v>19</v>
      </c>
      <c r="D75" s="54" t="str">
        <f t="shared" si="136"/>
        <v>PFOS+6ppdqlownutrients</v>
      </c>
      <c r="E75" s="54" t="s">
        <v>33</v>
      </c>
      <c r="F75" s="54">
        <v>3.09</v>
      </c>
      <c r="G75" s="54">
        <v>1.59</v>
      </c>
      <c r="H75" s="54">
        <v>5.32</v>
      </c>
      <c r="I75" s="55">
        <v>5.86</v>
      </c>
      <c r="J75">
        <f t="shared" si="189"/>
        <v>3.9312009999999997</v>
      </c>
      <c r="K75">
        <f t="shared" si="190"/>
        <v>2.072851</v>
      </c>
      <c r="L75">
        <f t="shared" si="191"/>
        <v>6.6939479999999998</v>
      </c>
      <c r="M75">
        <f t="shared" si="192"/>
        <v>7.3629539999999993</v>
      </c>
      <c r="X75">
        <f t="shared" si="137"/>
        <v>59.092980683305683</v>
      </c>
      <c r="AA75">
        <f t="shared" si="138"/>
        <v>0.72026106449860705</v>
      </c>
      <c r="AE75">
        <f t="shared" si="193"/>
        <v>3.4317529999999996</v>
      </c>
      <c r="AH75">
        <f t="shared" si="139"/>
        <v>359.75103734439824</v>
      </c>
      <c r="AK75">
        <f t="shared" si="140"/>
        <v>1.279707495429631</v>
      </c>
    </row>
    <row r="76" spans="1:39" x14ac:dyDescent="0.3">
      <c r="A76" s="125" t="s">
        <v>100</v>
      </c>
      <c r="B76" s="54" t="s">
        <v>21</v>
      </c>
      <c r="C76" s="54" t="s">
        <v>19</v>
      </c>
      <c r="D76" s="54" t="str">
        <f t="shared" si="136"/>
        <v>PFOS+6ppdqlownutrients</v>
      </c>
      <c r="E76" s="54" t="s">
        <v>34</v>
      </c>
      <c r="F76" s="54">
        <v>2.87</v>
      </c>
      <c r="G76" s="54">
        <v>1.63</v>
      </c>
      <c r="H76" s="54">
        <v>5.12</v>
      </c>
      <c r="I76" s="55">
        <v>4.7</v>
      </c>
      <c r="J76">
        <f t="shared" si="189"/>
        <v>3.6586430000000001</v>
      </c>
      <c r="K76">
        <f t="shared" si="190"/>
        <v>2.1224069999999999</v>
      </c>
      <c r="L76">
        <f t="shared" si="191"/>
        <v>6.4461679999999992</v>
      </c>
      <c r="M76">
        <f t="shared" si="192"/>
        <v>5.9258299999999995</v>
      </c>
      <c r="X76">
        <f t="shared" si="137"/>
        <v>28.040723563199403</v>
      </c>
      <c r="AA76">
        <f t="shared" si="138"/>
        <v>-18.938629166522325</v>
      </c>
      <c r="AE76">
        <f t="shared" si="193"/>
        <v>2.2671869999999994</v>
      </c>
      <c r="AH76">
        <f t="shared" si="139"/>
        <v>203.73443983402478</v>
      </c>
      <c r="AK76">
        <f t="shared" si="140"/>
        <v>-33.089579524680076</v>
      </c>
    </row>
    <row r="77" spans="1:39" ht="15" thickBot="1" x14ac:dyDescent="0.35">
      <c r="A77" s="150" t="s">
        <v>100</v>
      </c>
      <c r="B77" s="127" t="s">
        <v>21</v>
      </c>
      <c r="C77" s="127" t="s">
        <v>19</v>
      </c>
      <c r="D77" s="127" t="str">
        <f t="shared" si="136"/>
        <v>PFOS+6ppdqlownutrients</v>
      </c>
      <c r="E77" s="127" t="s">
        <v>35</v>
      </c>
      <c r="F77" s="127">
        <v>3.13</v>
      </c>
      <c r="G77" s="127">
        <v>1.65</v>
      </c>
      <c r="H77" s="127">
        <v>6.07</v>
      </c>
      <c r="I77" s="128">
        <v>5.23</v>
      </c>
      <c r="J77">
        <f t="shared" si="189"/>
        <v>3.9807569999999997</v>
      </c>
      <c r="K77">
        <f t="shared" si="190"/>
        <v>2.1471849999999999</v>
      </c>
      <c r="L77">
        <f t="shared" si="191"/>
        <v>7.6231229999999996</v>
      </c>
      <c r="M77">
        <f t="shared" si="192"/>
        <v>6.5824469999999993</v>
      </c>
      <c r="X77">
        <f t="shared" si="137"/>
        <v>42.228392764627273</v>
      </c>
      <c r="AA77">
        <f t="shared" si="138"/>
        <v>-9.9565500092455217</v>
      </c>
      <c r="AE77">
        <f t="shared" si="193"/>
        <v>2.6016899999999996</v>
      </c>
      <c r="AH77">
        <f t="shared" si="139"/>
        <v>248.54771784232358</v>
      </c>
      <c r="AK77">
        <f t="shared" si="140"/>
        <v>-23.217550274223026</v>
      </c>
    </row>
    <row r="78" spans="1:39" x14ac:dyDescent="0.3">
      <c r="A78" s="129" t="s">
        <v>100</v>
      </c>
      <c r="B78" s="130" t="s">
        <v>22</v>
      </c>
      <c r="C78" s="130" t="s">
        <v>19</v>
      </c>
      <c r="D78" s="130" t="str">
        <f t="shared" si="136"/>
        <v>PFOS+6ppdqhighnutrients</v>
      </c>
      <c r="E78" s="130" t="s">
        <v>32</v>
      </c>
      <c r="F78" s="130">
        <v>2.98</v>
      </c>
      <c r="G78" s="130">
        <v>1.35</v>
      </c>
      <c r="H78" s="130">
        <v>6.04</v>
      </c>
      <c r="I78" s="131">
        <v>4.58</v>
      </c>
      <c r="J78">
        <f t="shared" si="189"/>
        <v>3.7949219999999997</v>
      </c>
      <c r="K78">
        <f t="shared" si="190"/>
        <v>1.775515</v>
      </c>
      <c r="L78">
        <f t="shared" si="191"/>
        <v>7.5859559999999995</v>
      </c>
      <c r="M78">
        <f t="shared" si="192"/>
        <v>5.7771619999999997</v>
      </c>
      <c r="P78">
        <f>AVERAGE(J78:J81)</f>
        <v>3.8568669999999994</v>
      </c>
      <c r="Q78">
        <f t="shared" ref="Q78" si="218">AVERAGE(K78:K81)</f>
        <v>2.1100180000000002</v>
      </c>
      <c r="R78">
        <f t="shared" ref="R78" si="219">AVERAGE(L78:L81)</f>
        <v>6.9293389999999988</v>
      </c>
      <c r="S78">
        <f t="shared" ref="S78" si="220">AVERAGE(M78:M81)</f>
        <v>6.4275844999999983</v>
      </c>
      <c r="T78">
        <f>_xlfn.STDEV.S(J78:J81)</f>
        <v>0.10463633322767639</v>
      </c>
      <c r="U78">
        <f>_xlfn.STDEV.S(K78:K81)</f>
        <v>0.32511782745439555</v>
      </c>
      <c r="V78">
        <f t="shared" ref="V78" si="221">_xlfn.STDEV.S(L78:L81)</f>
        <v>0.45452605433132226</v>
      </c>
      <c r="W78">
        <f t="shared" ref="W78" si="222">_xlfn.STDEV.S(M78:M81)</f>
        <v>1.0382395944015101</v>
      </c>
      <c r="X78">
        <f t="shared" si="137"/>
        <v>24.828421102498758</v>
      </c>
      <c r="Y78">
        <f>AVERAGE(X78:X81)</f>
        <v>38.882244368064093</v>
      </c>
      <c r="Z78">
        <f>_xlfn.STDEV.S(X78:X81)</f>
        <v>22.433473268576922</v>
      </c>
      <c r="AA78">
        <f t="shared" si="138"/>
        <v>-20.972307466283109</v>
      </c>
      <c r="AB78">
        <f>AVERAGE(AA78:AA81)</f>
        <v>-12.074964904829677</v>
      </c>
      <c r="AC78">
        <f>_xlfn.STDEV.S(AA78:AA81)</f>
        <v>14.202419707581853</v>
      </c>
      <c r="AE78">
        <f t="shared" si="193"/>
        <v>1.98224</v>
      </c>
      <c r="AF78">
        <f t="shared" ref="AF78" si="223">AVERAGE(AE78:AE81)</f>
        <v>2.5707174999999993</v>
      </c>
      <c r="AG78">
        <f t="shared" ref="AG78" si="224">_xlfn.STDEV.S(AE78:AE81)</f>
        <v>0.93417222435997704</v>
      </c>
      <c r="AH78">
        <f t="shared" si="139"/>
        <v>165.56016597510373</v>
      </c>
      <c r="AI78">
        <f t="shared" ref="AI78" si="225">AVERAGE(AH78:AH81)</f>
        <v>244.39834024896254</v>
      </c>
      <c r="AJ78">
        <f t="shared" ref="AJ78" si="226">_xlfn.STDEV.S(AH78:AH81)</f>
        <v>125.15080462021113</v>
      </c>
      <c r="AK78">
        <f t="shared" si="140"/>
        <v>-41.499085923217535</v>
      </c>
      <c r="AL78">
        <f t="shared" ref="AL78" si="227">AVERAGE(AK78:AK81)</f>
        <v>-24.131627056672762</v>
      </c>
      <c r="AM78">
        <f t="shared" ref="AM78" si="228">_xlfn.STDEV.S(AK78:AK81)</f>
        <v>27.569784198785083</v>
      </c>
    </row>
    <row r="79" spans="1:39" x14ac:dyDescent="0.3">
      <c r="A79" s="129" t="s">
        <v>100</v>
      </c>
      <c r="B79" s="130" t="s">
        <v>22</v>
      </c>
      <c r="C79" s="130" t="s">
        <v>19</v>
      </c>
      <c r="D79" s="130" t="str">
        <f t="shared" si="136"/>
        <v>PFOS+6ppdqhighnutrients</v>
      </c>
      <c r="E79" s="130" t="s">
        <v>33</v>
      </c>
      <c r="F79" s="130">
        <v>3.14</v>
      </c>
      <c r="G79" s="130">
        <v>1.58</v>
      </c>
      <c r="H79" s="130">
        <v>5.29</v>
      </c>
      <c r="I79" s="131">
        <v>6.25</v>
      </c>
      <c r="J79">
        <f t="shared" si="189"/>
        <v>3.9931459999999999</v>
      </c>
      <c r="K79">
        <f t="shared" si="190"/>
        <v>2.0604619999999998</v>
      </c>
      <c r="L79">
        <f t="shared" si="191"/>
        <v>6.6567809999999996</v>
      </c>
      <c r="M79">
        <f t="shared" si="192"/>
        <v>7.8461249999999989</v>
      </c>
      <c r="X79">
        <f t="shared" si="137"/>
        <v>69.532963680582782</v>
      </c>
      <c r="AA79">
        <f t="shared" si="138"/>
        <v>7.3297155387211568</v>
      </c>
      <c r="AE79">
        <f t="shared" si="193"/>
        <v>3.852978999999999</v>
      </c>
      <c r="AH79">
        <f t="shared" si="139"/>
        <v>416.18257261410776</v>
      </c>
      <c r="AK79">
        <f t="shared" si="140"/>
        <v>13.711151736745888</v>
      </c>
    </row>
    <row r="80" spans="1:39" x14ac:dyDescent="0.3">
      <c r="A80" s="129" t="s">
        <v>100</v>
      </c>
      <c r="B80" s="130" t="s">
        <v>22</v>
      </c>
      <c r="C80" s="130" t="s">
        <v>19</v>
      </c>
      <c r="D80" s="130" t="str">
        <f t="shared" si="136"/>
        <v>PFOS+6ppdqhighnutrients</v>
      </c>
      <c r="E80" s="130" t="s">
        <v>34</v>
      </c>
      <c r="F80" s="130">
        <v>2.95</v>
      </c>
      <c r="G80" s="130">
        <v>1.57</v>
      </c>
      <c r="H80" s="130">
        <v>5.47</v>
      </c>
      <c r="I80" s="131">
        <v>4.3899999999999997</v>
      </c>
      <c r="J80">
        <f t="shared" si="189"/>
        <v>3.757755</v>
      </c>
      <c r="K80">
        <f t="shared" si="190"/>
        <v>2.048073</v>
      </c>
      <c r="L80">
        <f t="shared" si="191"/>
        <v>6.8797829999999989</v>
      </c>
      <c r="M80">
        <f t="shared" si="192"/>
        <v>5.5417709999999989</v>
      </c>
      <c r="X80">
        <f t="shared" si="137"/>
        <v>19.742275539722712</v>
      </c>
      <c r="AA80">
        <f t="shared" si="138"/>
        <v>-24.19229810757103</v>
      </c>
      <c r="AE80">
        <f t="shared" si="193"/>
        <v>1.7840159999999989</v>
      </c>
      <c r="AH80">
        <f t="shared" si="139"/>
        <v>139.00414937759319</v>
      </c>
      <c r="AK80">
        <f t="shared" si="140"/>
        <v>-47.349177330895813</v>
      </c>
    </row>
    <row r="81" spans="1:37" ht="15" thickBot="1" x14ac:dyDescent="0.35">
      <c r="A81" s="151" t="s">
        <v>100</v>
      </c>
      <c r="B81" s="133" t="s">
        <v>22</v>
      </c>
      <c r="C81" s="133" t="s">
        <v>19</v>
      </c>
      <c r="D81" s="133" t="str">
        <f t="shared" si="136"/>
        <v>PFOS+6ppdqhighnutrients</v>
      </c>
      <c r="E81" s="133" t="s">
        <v>35</v>
      </c>
      <c r="F81" s="133">
        <v>3.05</v>
      </c>
      <c r="G81" s="133">
        <v>1.98</v>
      </c>
      <c r="H81" s="133">
        <v>5.24</v>
      </c>
      <c r="I81" s="134">
        <v>5.2</v>
      </c>
      <c r="J81">
        <f t="shared" si="189"/>
        <v>3.8816449999999998</v>
      </c>
      <c r="K81">
        <f t="shared" si="190"/>
        <v>2.556022</v>
      </c>
      <c r="L81">
        <f t="shared" si="191"/>
        <v>6.594835999999999</v>
      </c>
      <c r="M81">
        <f t="shared" si="192"/>
        <v>6.5452799999999991</v>
      </c>
      <c r="X81">
        <f>((M81-$S$14)/$S$14)*100</f>
        <v>41.425317149452098</v>
      </c>
      <c r="AA81">
        <f t="shared" si="138"/>
        <v>-10.46496958418572</v>
      </c>
      <c r="AE81">
        <f t="shared" si="193"/>
        <v>2.6636349999999993</v>
      </c>
      <c r="AH81">
        <f t="shared" si="139"/>
        <v>256.84647302904551</v>
      </c>
      <c r="AK81">
        <f t="shared" si="140"/>
        <v>-21.389396709323584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27173-C885-472C-95A8-FC17EFCCEF87}">
  <dimension ref="A1:Q24"/>
  <sheetViews>
    <sheetView workbookViewId="0">
      <selection activeCell="E29" sqref="E29"/>
    </sheetView>
  </sheetViews>
  <sheetFormatPr defaultRowHeight="14.4" x14ac:dyDescent="0.3"/>
  <cols>
    <col min="1" max="1" width="9.33203125" bestFit="1" customWidth="1"/>
    <col min="5" max="5" width="24.33203125" bestFit="1" customWidth="1"/>
  </cols>
  <sheetData>
    <row r="1" spans="1:17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50</v>
      </c>
      <c r="F1" s="2" t="s">
        <v>4</v>
      </c>
      <c r="G1" s="2" t="s">
        <v>5</v>
      </c>
      <c r="H1" s="2" t="s">
        <v>6</v>
      </c>
      <c r="I1" s="3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8</v>
      </c>
      <c r="P1" s="2" t="s">
        <v>13</v>
      </c>
      <c r="Q1" s="4" t="s">
        <v>10</v>
      </c>
    </row>
    <row r="2" spans="1:17" x14ac:dyDescent="0.3">
      <c r="A2" s="5">
        <v>45856</v>
      </c>
      <c r="B2" s="2" t="s">
        <v>14</v>
      </c>
      <c r="C2" s="2"/>
      <c r="D2" s="2" t="s">
        <v>15</v>
      </c>
      <c r="E2" s="2" t="str">
        <f>B2&amp;C2</f>
        <v>control</v>
      </c>
      <c r="F2" s="2">
        <v>0.40500000000000003</v>
      </c>
      <c r="G2" s="2">
        <v>0.42799999999999999</v>
      </c>
      <c r="H2" s="2">
        <v>0.434</v>
      </c>
      <c r="I2">
        <f>AVERAGE(F2:H2)</f>
        <v>0.42233333333333328</v>
      </c>
      <c r="J2" s="2">
        <v>0.13600000000000001</v>
      </c>
      <c r="K2" s="2">
        <v>26.898</v>
      </c>
      <c r="L2" s="2">
        <v>197.84800000000001</v>
      </c>
      <c r="M2" s="2">
        <v>5.3159999999999998</v>
      </c>
      <c r="N2" s="2">
        <v>2895.596</v>
      </c>
      <c r="O2" s="2">
        <v>0.128</v>
      </c>
      <c r="P2" s="2">
        <v>23.155999999999999</v>
      </c>
      <c r="Q2" s="4">
        <v>180.61799999999999</v>
      </c>
    </row>
    <row r="3" spans="1:17" x14ac:dyDescent="0.3">
      <c r="A3" s="6">
        <v>45856</v>
      </c>
      <c r="B3" t="s">
        <v>16</v>
      </c>
      <c r="D3" t="s">
        <v>15</v>
      </c>
      <c r="E3" t="str">
        <f t="shared" ref="E3:E13" si="0">B3&amp;C3</f>
        <v>solvent control</v>
      </c>
      <c r="F3">
        <v>0.312</v>
      </c>
      <c r="G3">
        <v>0.32300000000000001</v>
      </c>
      <c r="H3">
        <v>0.316</v>
      </c>
      <c r="I3">
        <f>AVERAGE(F3:H3)</f>
        <v>0.317</v>
      </c>
      <c r="J3">
        <v>8.2000000000000003E-2</v>
      </c>
      <c r="K3">
        <v>11.494999999999999</v>
      </c>
      <c r="L3">
        <v>139.67099999999999</v>
      </c>
      <c r="M3">
        <v>0.92200000000000004</v>
      </c>
      <c r="N3">
        <v>365.54399999999998</v>
      </c>
      <c r="O3">
        <v>8.6999999999999994E-2</v>
      </c>
      <c r="P3">
        <v>8.7029999999999994</v>
      </c>
      <c r="Q3" s="7">
        <v>100.553</v>
      </c>
    </row>
    <row r="4" spans="1:17" x14ac:dyDescent="0.3">
      <c r="A4" s="6">
        <v>45856</v>
      </c>
      <c r="B4" t="s">
        <v>17</v>
      </c>
      <c r="E4" t="str">
        <f t="shared" si="0"/>
        <v>nutrient control</v>
      </c>
      <c r="F4">
        <v>0.50800000000000001</v>
      </c>
      <c r="G4">
        <v>0.50600000000000001</v>
      </c>
      <c r="H4">
        <v>0.48799999999999999</v>
      </c>
      <c r="I4">
        <f t="shared" ref="I4:I21" si="1">AVERAGE(F4:H4)</f>
        <v>0.5006666666666667</v>
      </c>
      <c r="J4">
        <v>0.17899999999999999</v>
      </c>
      <c r="K4">
        <v>39.634</v>
      </c>
      <c r="L4">
        <v>220.88900000000001</v>
      </c>
      <c r="M4">
        <v>0.17299999999999999</v>
      </c>
      <c r="N4">
        <v>154.59399999999999</v>
      </c>
      <c r="O4">
        <v>0.16700000000000001</v>
      </c>
      <c r="P4">
        <v>35.753</v>
      </c>
      <c r="Q4" s="7">
        <v>213.65199999999999</v>
      </c>
    </row>
    <row r="5" spans="1:17" ht="15" thickBot="1" x14ac:dyDescent="0.35">
      <c r="A5" s="8">
        <v>45856</v>
      </c>
      <c r="B5" s="9" t="s">
        <v>18</v>
      </c>
      <c r="C5" s="9"/>
      <c r="D5" s="9" t="s">
        <v>19</v>
      </c>
      <c r="E5" s="9" t="str">
        <f t="shared" si="0"/>
        <v>nutrient control (with solvent)</v>
      </c>
      <c r="F5" s="9">
        <v>0.48199999999999998</v>
      </c>
      <c r="G5" s="9">
        <v>0.49099999999999999</v>
      </c>
      <c r="H5" s="9">
        <v>0.49</v>
      </c>
      <c r="I5" s="9">
        <f t="shared" si="1"/>
        <v>0.48766666666666669</v>
      </c>
      <c r="J5" s="9"/>
      <c r="K5" s="9"/>
      <c r="L5" s="9"/>
      <c r="M5" s="9"/>
      <c r="N5" s="9"/>
      <c r="O5" s="9">
        <v>0.156</v>
      </c>
      <c r="P5" s="9">
        <v>38.485999999999997</v>
      </c>
      <c r="Q5" s="10">
        <v>246.53800000000001</v>
      </c>
    </row>
    <row r="6" spans="1:17" x14ac:dyDescent="0.3">
      <c r="A6" s="11">
        <v>45856</v>
      </c>
      <c r="B6" s="12" t="s">
        <v>98</v>
      </c>
      <c r="C6" s="12" t="s">
        <v>21</v>
      </c>
      <c r="D6" s="12" t="s">
        <v>15</v>
      </c>
      <c r="E6" s="12" t="str">
        <f t="shared" si="0"/>
        <v>PFOSlow</v>
      </c>
      <c r="F6" s="12">
        <v>0.44</v>
      </c>
      <c r="G6" s="12">
        <v>0.433</v>
      </c>
      <c r="H6" s="12">
        <v>0.434</v>
      </c>
      <c r="I6" s="12">
        <f t="shared" si="1"/>
        <v>0.43566666666666665</v>
      </c>
      <c r="J6" s="12">
        <v>0.16700000000000001</v>
      </c>
      <c r="K6" s="12">
        <v>27.61</v>
      </c>
      <c r="L6" s="12">
        <v>164.94800000000001</v>
      </c>
      <c r="M6" s="12">
        <v>0.01</v>
      </c>
      <c r="N6" s="12">
        <v>34.722999999999999</v>
      </c>
      <c r="O6" s="12">
        <v>0.13900000000000001</v>
      </c>
      <c r="P6" s="12">
        <v>26.329000000000001</v>
      </c>
      <c r="Q6" s="13">
        <v>189.47900000000001</v>
      </c>
    </row>
    <row r="7" spans="1:17" x14ac:dyDescent="0.3">
      <c r="A7" s="14">
        <v>45856</v>
      </c>
      <c r="B7" s="15" t="s">
        <v>98</v>
      </c>
      <c r="C7" s="15" t="s">
        <v>22</v>
      </c>
      <c r="D7" s="15" t="s">
        <v>15</v>
      </c>
      <c r="E7" s="15" t="str">
        <f t="shared" si="0"/>
        <v>PFOShigh</v>
      </c>
      <c r="F7" s="15">
        <v>0.437</v>
      </c>
      <c r="G7" s="15">
        <v>0.42499999999999999</v>
      </c>
      <c r="H7" s="15">
        <v>0.42499999999999999</v>
      </c>
      <c r="I7" s="15">
        <f t="shared" si="1"/>
        <v>0.42899999999999999</v>
      </c>
      <c r="J7" s="15">
        <v>0.13700000000000001</v>
      </c>
      <c r="K7" s="15">
        <v>25.033999999999999</v>
      </c>
      <c r="L7" s="15">
        <v>183.31299999999999</v>
      </c>
      <c r="M7" s="15">
        <v>3.1E-2</v>
      </c>
      <c r="N7" s="15">
        <v>45.237000000000002</v>
      </c>
      <c r="O7" s="15">
        <v>0.126</v>
      </c>
      <c r="P7" s="15">
        <v>22.57</v>
      </c>
      <c r="Q7" s="16">
        <v>179.79499999999999</v>
      </c>
    </row>
    <row r="8" spans="1:17" x14ac:dyDescent="0.3">
      <c r="A8" s="17">
        <v>45856</v>
      </c>
      <c r="B8" s="18" t="s">
        <v>97</v>
      </c>
      <c r="C8" s="18" t="s">
        <v>21</v>
      </c>
      <c r="D8" s="18" t="s">
        <v>15</v>
      </c>
      <c r="E8" s="18" t="str">
        <f t="shared" si="0"/>
        <v>PFOS+Carblow</v>
      </c>
      <c r="F8" s="18">
        <v>0.443</v>
      </c>
      <c r="G8" s="18">
        <v>0.44800000000000001</v>
      </c>
      <c r="H8" s="18">
        <v>0.42599999999999999</v>
      </c>
      <c r="I8" s="18">
        <f t="shared" si="1"/>
        <v>0.439</v>
      </c>
      <c r="J8" s="18">
        <v>0.157</v>
      </c>
      <c r="K8" s="18">
        <v>24.233000000000001</v>
      </c>
      <c r="L8" s="18">
        <v>154.38200000000001</v>
      </c>
      <c r="M8" s="18">
        <v>1.4999999999999999E-2</v>
      </c>
      <c r="N8" s="18">
        <v>33.5</v>
      </c>
      <c r="O8" s="18">
        <v>0.13400000000000001</v>
      </c>
      <c r="P8" s="18">
        <v>22.42</v>
      </c>
      <c r="Q8" s="19">
        <v>167.78899999999999</v>
      </c>
    </row>
    <row r="9" spans="1:17" x14ac:dyDescent="0.3">
      <c r="A9" s="20">
        <v>45856</v>
      </c>
      <c r="B9" s="21" t="s">
        <v>97</v>
      </c>
      <c r="C9" s="21" t="s">
        <v>22</v>
      </c>
      <c r="D9" s="21" t="s">
        <v>15</v>
      </c>
      <c r="E9" s="21" t="str">
        <f t="shared" si="0"/>
        <v>PFOS+Carbhigh</v>
      </c>
      <c r="F9" s="21">
        <v>0.437</v>
      </c>
      <c r="G9" s="21">
        <v>0.432</v>
      </c>
      <c r="H9" s="21">
        <v>0.45300000000000001</v>
      </c>
      <c r="I9" s="21">
        <f t="shared" si="1"/>
        <v>0.44066666666666671</v>
      </c>
      <c r="J9" s="21">
        <v>0.155</v>
      </c>
      <c r="K9" s="21">
        <v>28.123999999999999</v>
      </c>
      <c r="L9" s="21">
        <v>180.97399999999999</v>
      </c>
      <c r="M9" s="21">
        <v>2.3E-2</v>
      </c>
      <c r="N9" s="21">
        <v>43.645000000000003</v>
      </c>
      <c r="O9" s="21">
        <v>0.13600000000000001</v>
      </c>
      <c r="P9" s="21">
        <v>26.036999999999999</v>
      </c>
      <c r="Q9" s="22">
        <v>191.86500000000001</v>
      </c>
    </row>
    <row r="10" spans="1:17" x14ac:dyDescent="0.3">
      <c r="A10" s="23">
        <v>45856</v>
      </c>
      <c r="B10" s="24" t="s">
        <v>99</v>
      </c>
      <c r="C10" s="24" t="s">
        <v>21</v>
      </c>
      <c r="D10" s="24" t="s">
        <v>15</v>
      </c>
      <c r="E10" s="24" t="str">
        <f t="shared" si="0"/>
        <v>PFOS+Diclow</v>
      </c>
      <c r="F10" s="24">
        <v>0.28000000000000003</v>
      </c>
      <c r="G10" s="24">
        <v>0.26700000000000002</v>
      </c>
      <c r="H10" s="24">
        <v>0.28299999999999997</v>
      </c>
      <c r="I10" s="24">
        <f t="shared" si="1"/>
        <v>0.27666666666666667</v>
      </c>
      <c r="J10" s="24">
        <v>6.9000000000000006E-2</v>
      </c>
      <c r="K10" s="24">
        <v>7.2439999999999998</v>
      </c>
      <c r="L10" s="24">
        <v>104.645</v>
      </c>
      <c r="M10" s="24">
        <v>1.2230000000000001</v>
      </c>
      <c r="N10" s="24">
        <v>357.63600000000002</v>
      </c>
      <c r="O10" s="24">
        <v>0.26300000000000001</v>
      </c>
      <c r="P10" s="24">
        <v>4.8120000000000003</v>
      </c>
      <c r="Q10" s="25">
        <v>18.274000000000001</v>
      </c>
    </row>
    <row r="11" spans="1:17" x14ac:dyDescent="0.3">
      <c r="A11" s="26">
        <v>45856</v>
      </c>
      <c r="B11" s="27" t="s">
        <v>99</v>
      </c>
      <c r="C11" s="27" t="s">
        <v>22</v>
      </c>
      <c r="D11" s="27" t="s">
        <v>15</v>
      </c>
      <c r="E11" s="27" t="str">
        <f t="shared" si="0"/>
        <v>PFOS+Dichigh</v>
      </c>
      <c r="F11" s="27">
        <v>0.42699999999999999</v>
      </c>
      <c r="G11" s="27">
        <v>0.44600000000000001</v>
      </c>
      <c r="H11" s="27">
        <v>0.45100000000000001</v>
      </c>
      <c r="I11" s="27">
        <f t="shared" si="1"/>
        <v>0.44133333333333336</v>
      </c>
      <c r="J11" s="27">
        <v>0.14399999999999999</v>
      </c>
      <c r="K11" s="27">
        <v>26.946000000000002</v>
      </c>
      <c r="L11" s="27">
        <v>186.678</v>
      </c>
      <c r="M11" s="27">
        <v>4.8000000000000001E-2</v>
      </c>
      <c r="N11" s="27">
        <v>57.125</v>
      </c>
      <c r="O11" s="27">
        <v>0.13200000000000001</v>
      </c>
      <c r="P11" s="27">
        <v>24.068999999999999</v>
      </c>
      <c r="Q11" s="28">
        <v>182.44900000000001</v>
      </c>
    </row>
    <row r="12" spans="1:17" x14ac:dyDescent="0.3">
      <c r="A12" s="29">
        <v>45856</v>
      </c>
      <c r="B12" s="30" t="s">
        <v>100</v>
      </c>
      <c r="C12" s="30" t="s">
        <v>21</v>
      </c>
      <c r="D12" s="30" t="s">
        <v>15</v>
      </c>
      <c r="E12" s="30" t="str">
        <f t="shared" si="0"/>
        <v>PFOS+6ppdqlow</v>
      </c>
      <c r="F12" s="30">
        <v>0.441</v>
      </c>
      <c r="G12" s="30">
        <v>0.46300000000000002</v>
      </c>
      <c r="H12" s="30">
        <v>0.45800000000000002</v>
      </c>
      <c r="I12" s="30">
        <f t="shared" si="1"/>
        <v>0.45400000000000001</v>
      </c>
      <c r="J12" s="30">
        <v>0.16300000000000001</v>
      </c>
      <c r="K12" s="30">
        <v>28.074000000000002</v>
      </c>
      <c r="L12" s="30">
        <v>172.755</v>
      </c>
      <c r="M12" s="30">
        <v>2.1000000000000001E-2</v>
      </c>
      <c r="N12" s="30">
        <v>42.040999999999997</v>
      </c>
      <c r="O12" s="30">
        <v>0.14099999999999999</v>
      </c>
      <c r="P12" s="30">
        <v>25.948</v>
      </c>
      <c r="Q12" s="31">
        <v>183.44800000000001</v>
      </c>
    </row>
    <row r="13" spans="1:17" ht="15" thickBot="1" x14ac:dyDescent="0.35">
      <c r="A13" s="32">
        <v>45856</v>
      </c>
      <c r="B13" s="33" t="s">
        <v>100</v>
      </c>
      <c r="C13" s="33" t="s">
        <v>22</v>
      </c>
      <c r="D13" s="33" t="s">
        <v>15</v>
      </c>
      <c r="E13" s="33" t="str">
        <f t="shared" si="0"/>
        <v>PFOS+6ppdqhigh</v>
      </c>
      <c r="F13" s="33">
        <v>0.45600000000000002</v>
      </c>
      <c r="G13" s="33">
        <v>0.48199999999999998</v>
      </c>
      <c r="H13" s="33">
        <v>0.45200000000000001</v>
      </c>
      <c r="I13" s="33">
        <f t="shared" si="1"/>
        <v>0.46333333333333332</v>
      </c>
      <c r="J13" s="33">
        <v>0.183</v>
      </c>
      <c r="K13" s="33">
        <v>28.027999999999999</v>
      </c>
      <c r="L13" s="33">
        <v>152.774</v>
      </c>
      <c r="M13" s="33">
        <v>1.2999999999999999E-2</v>
      </c>
      <c r="N13" s="33">
        <v>36.283000000000001</v>
      </c>
      <c r="O13" s="33">
        <v>0.155</v>
      </c>
      <c r="P13" s="33">
        <v>26.291</v>
      </c>
      <c r="Q13" s="34">
        <v>170.11699999999999</v>
      </c>
    </row>
    <row r="14" spans="1:17" x14ac:dyDescent="0.3">
      <c r="A14" s="35">
        <v>45856</v>
      </c>
      <c r="B14" s="36" t="s">
        <v>98</v>
      </c>
      <c r="C14" s="36" t="s">
        <v>21</v>
      </c>
      <c r="D14" s="36" t="s">
        <v>19</v>
      </c>
      <c r="E14" s="36" t="str">
        <f>B14&amp;C14&amp;D14</f>
        <v>PFOSlownutrients</v>
      </c>
      <c r="F14" s="36">
        <v>0.53900000000000003</v>
      </c>
      <c r="G14" s="36">
        <v>0.53400000000000003</v>
      </c>
      <c r="H14" s="36">
        <v>0.55500000000000005</v>
      </c>
      <c r="I14" s="36">
        <f t="shared" si="1"/>
        <v>0.54266666666666674</v>
      </c>
      <c r="J14" s="36">
        <v>0.17699999999999999</v>
      </c>
      <c r="K14" s="36">
        <v>42.529000000000003</v>
      </c>
      <c r="L14" s="36">
        <v>240.26300000000001</v>
      </c>
      <c r="M14" s="36">
        <v>5.0999999999999997E-2</v>
      </c>
      <c r="N14" s="36">
        <v>84.350999999999999</v>
      </c>
      <c r="O14" s="36">
        <v>0.156</v>
      </c>
      <c r="P14" s="36">
        <v>40.338999999999999</v>
      </c>
      <c r="Q14" s="37">
        <v>257.93400000000003</v>
      </c>
    </row>
    <row r="15" spans="1:17" x14ac:dyDescent="0.3">
      <c r="A15" s="38">
        <v>45856</v>
      </c>
      <c r="B15" s="39" t="s">
        <v>98</v>
      </c>
      <c r="C15" s="39" t="s">
        <v>22</v>
      </c>
      <c r="D15" s="39" t="s">
        <v>19</v>
      </c>
      <c r="E15" s="39" t="str">
        <f t="shared" ref="E15:E21" si="2">B15&amp;C15&amp;D15</f>
        <v>PFOShighnutrients</v>
      </c>
      <c r="F15" s="39">
        <v>0.54</v>
      </c>
      <c r="G15" s="39">
        <v>0.54500000000000004</v>
      </c>
      <c r="H15" s="39">
        <v>0.54400000000000004</v>
      </c>
      <c r="I15" s="39">
        <f t="shared" si="1"/>
        <v>0.54300000000000004</v>
      </c>
      <c r="J15" s="39">
        <v>0.19400000000000001</v>
      </c>
      <c r="K15" s="39">
        <v>39.768999999999998</v>
      </c>
      <c r="L15" s="39">
        <v>204.756</v>
      </c>
      <c r="M15" s="39">
        <v>1.4E-2</v>
      </c>
      <c r="N15" s="39">
        <v>51.996000000000002</v>
      </c>
      <c r="O15" s="39">
        <v>0.16300000000000001</v>
      </c>
      <c r="P15" s="39">
        <v>38.396999999999998</v>
      </c>
      <c r="Q15" s="40">
        <v>235.68199999999999</v>
      </c>
    </row>
    <row r="16" spans="1:17" x14ac:dyDescent="0.3">
      <c r="A16" s="41">
        <v>45856</v>
      </c>
      <c r="B16" s="42" t="s">
        <v>97</v>
      </c>
      <c r="C16" s="42" t="s">
        <v>21</v>
      </c>
      <c r="D16" s="42" t="s">
        <v>19</v>
      </c>
      <c r="E16" s="42" t="str">
        <f t="shared" si="2"/>
        <v>PFOS+Carblownutrients</v>
      </c>
      <c r="F16" s="42">
        <v>0.53300000000000003</v>
      </c>
      <c r="G16" s="42">
        <v>0.54100000000000004</v>
      </c>
      <c r="H16" s="42">
        <v>0.53800000000000003</v>
      </c>
      <c r="I16" s="42">
        <f t="shared" si="1"/>
        <v>0.53733333333333333</v>
      </c>
      <c r="J16" s="42">
        <v>0.2</v>
      </c>
      <c r="K16" s="42">
        <v>40.353000000000002</v>
      </c>
      <c r="L16" s="42">
        <v>202.04900000000001</v>
      </c>
      <c r="M16" s="42">
        <v>2.5000000000000001E-2</v>
      </c>
      <c r="N16" s="42">
        <v>59.798999999999999</v>
      </c>
      <c r="O16" s="42">
        <v>0.17299999999999999</v>
      </c>
      <c r="P16" s="42">
        <v>38.192</v>
      </c>
      <c r="Q16" s="43">
        <v>220.24600000000001</v>
      </c>
    </row>
    <row r="17" spans="1:17" x14ac:dyDescent="0.3">
      <c r="A17" s="44">
        <v>45856</v>
      </c>
      <c r="B17" s="45" t="s">
        <v>97</v>
      </c>
      <c r="C17" s="45" t="s">
        <v>22</v>
      </c>
      <c r="D17" s="45" t="s">
        <v>19</v>
      </c>
      <c r="E17" s="45" t="str">
        <f t="shared" si="2"/>
        <v>PFOS+Carbhighnutrients</v>
      </c>
      <c r="F17" s="45">
        <v>0.498</v>
      </c>
      <c r="G17" s="45">
        <v>0.51100000000000001</v>
      </c>
      <c r="H17" s="45">
        <v>0.52300000000000002</v>
      </c>
      <c r="I17" s="45">
        <f t="shared" si="1"/>
        <v>0.51066666666666671</v>
      </c>
      <c r="J17" s="45">
        <v>0.191</v>
      </c>
      <c r="K17" s="45">
        <v>47.262999999999998</v>
      </c>
      <c r="L17" s="45">
        <v>247.58600000000001</v>
      </c>
      <c r="M17" s="45">
        <v>5.4619999999999997</v>
      </c>
      <c r="N17" s="45">
        <v>3739.8449999999998</v>
      </c>
      <c r="O17" s="45">
        <v>0.17199999999999999</v>
      </c>
      <c r="P17" s="45">
        <v>43.779000000000003</v>
      </c>
      <c r="Q17" s="46">
        <v>254.29499999999999</v>
      </c>
    </row>
    <row r="18" spans="1:17" x14ac:dyDescent="0.3">
      <c r="A18" s="47">
        <v>45856</v>
      </c>
      <c r="B18" s="48" t="s">
        <v>99</v>
      </c>
      <c r="C18" s="48" t="s">
        <v>21</v>
      </c>
      <c r="D18" s="48" t="s">
        <v>19</v>
      </c>
      <c r="E18" s="48" t="str">
        <f t="shared" si="2"/>
        <v>PFOS+Diclownutrients</v>
      </c>
      <c r="F18" s="48">
        <v>0.496</v>
      </c>
      <c r="G18" s="48">
        <v>0.50600000000000001</v>
      </c>
      <c r="H18" s="48">
        <v>0.504</v>
      </c>
      <c r="I18" s="48">
        <f t="shared" si="1"/>
        <v>0.502</v>
      </c>
      <c r="J18" s="48">
        <v>0.17799999999999999</v>
      </c>
      <c r="K18" s="48">
        <v>40.308</v>
      </c>
      <c r="L18" s="48">
        <v>226.274</v>
      </c>
      <c r="M18" s="48">
        <v>0.17299999999999999</v>
      </c>
      <c r="N18" s="48">
        <v>157.792</v>
      </c>
      <c r="O18" s="48">
        <v>0.16500000000000001</v>
      </c>
      <c r="P18" s="48">
        <v>36.598999999999997</v>
      </c>
      <c r="Q18" s="49">
        <v>221.18100000000001</v>
      </c>
    </row>
    <row r="19" spans="1:17" x14ac:dyDescent="0.3">
      <c r="A19" s="50">
        <v>45856</v>
      </c>
      <c r="B19" s="51" t="s">
        <v>99</v>
      </c>
      <c r="C19" s="51" t="s">
        <v>22</v>
      </c>
      <c r="D19" s="51" t="s">
        <v>19</v>
      </c>
      <c r="E19" s="51" t="str">
        <f t="shared" si="2"/>
        <v>PFOS+Dichighnutrients</v>
      </c>
      <c r="F19" s="51">
        <v>0.48199999999999998</v>
      </c>
      <c r="G19" s="51">
        <v>0.49199999999999999</v>
      </c>
      <c r="H19" s="51">
        <v>0.48799999999999999</v>
      </c>
      <c r="I19" s="51">
        <f t="shared" si="1"/>
        <v>0.48733333333333334</v>
      </c>
      <c r="J19" s="51">
        <v>0.20799999999999999</v>
      </c>
      <c r="K19" s="51">
        <v>39.914999999999999</v>
      </c>
      <c r="L19" s="51">
        <v>191.55699999999999</v>
      </c>
      <c r="M19" s="51">
        <v>8.0000000000000002E-3</v>
      </c>
      <c r="N19" s="51">
        <v>47.027000000000001</v>
      </c>
      <c r="O19" s="51">
        <v>0.16700000000000001</v>
      </c>
      <c r="P19" s="51">
        <v>39.131999999999998</v>
      </c>
      <c r="Q19" s="52">
        <v>234.452</v>
      </c>
    </row>
    <row r="20" spans="1:17" x14ac:dyDescent="0.3">
      <c r="A20" s="53">
        <v>45856</v>
      </c>
      <c r="B20" s="54" t="s">
        <v>100</v>
      </c>
      <c r="C20" s="54" t="s">
        <v>21</v>
      </c>
      <c r="D20" s="54" t="s">
        <v>19</v>
      </c>
      <c r="E20" s="54" t="str">
        <f t="shared" si="2"/>
        <v>PFOS+6ppdqlownutrients</v>
      </c>
      <c r="F20" s="54">
        <v>0.51300000000000001</v>
      </c>
      <c r="G20" s="54">
        <v>0.51300000000000001</v>
      </c>
      <c r="H20" s="54">
        <v>0.51300000000000001</v>
      </c>
      <c r="I20" s="54">
        <f t="shared" si="1"/>
        <v>0.51300000000000001</v>
      </c>
      <c r="J20" s="54">
        <v>0.18</v>
      </c>
      <c r="K20" s="54">
        <v>38.832999999999998</v>
      </c>
      <c r="L20" s="54">
        <v>216.10499999999999</v>
      </c>
      <c r="M20" s="54">
        <v>1.4E-2</v>
      </c>
      <c r="N20" s="54">
        <v>51.237000000000002</v>
      </c>
      <c r="O20" s="54">
        <v>0.15</v>
      </c>
      <c r="P20" s="54">
        <v>37.673000000000002</v>
      </c>
      <c r="Q20" s="55">
        <v>250.79900000000001</v>
      </c>
    </row>
    <row r="21" spans="1:17" ht="15" thickBot="1" x14ac:dyDescent="0.35">
      <c r="A21" s="56">
        <v>45856</v>
      </c>
      <c r="B21" s="57" t="s">
        <v>100</v>
      </c>
      <c r="C21" s="57" t="s">
        <v>22</v>
      </c>
      <c r="D21" s="57" t="s">
        <v>19</v>
      </c>
      <c r="E21" s="57" t="str">
        <f t="shared" si="2"/>
        <v>PFOS+6ppdqhighnutrients</v>
      </c>
      <c r="F21" s="57">
        <v>0.53200000000000003</v>
      </c>
      <c r="G21" s="57">
        <v>0.52700000000000002</v>
      </c>
      <c r="H21" s="57">
        <v>0.52500000000000002</v>
      </c>
      <c r="I21" s="57">
        <f t="shared" si="1"/>
        <v>0.52800000000000002</v>
      </c>
      <c r="J21" s="57">
        <v>0.214</v>
      </c>
      <c r="K21" s="57">
        <v>47.826999999999998</v>
      </c>
      <c r="L21" s="57">
        <v>223.209</v>
      </c>
      <c r="M21" s="57">
        <v>2.1000000000000001E-2</v>
      </c>
      <c r="N21" s="57">
        <v>66.286000000000001</v>
      </c>
      <c r="O21" s="57">
        <v>0.17799999999999999</v>
      </c>
      <c r="P21" s="57">
        <v>46.53</v>
      </c>
      <c r="Q21" s="58">
        <v>260.92599999999999</v>
      </c>
    </row>
    <row r="23" spans="1:17" ht="15" thickBot="1" x14ac:dyDescent="0.35"/>
    <row r="24" spans="1:17" x14ac:dyDescent="0.3">
      <c r="E24" s="2" t="str">
        <f>B24&amp;C24</f>
        <v/>
      </c>
    </row>
  </sheetData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724A0-104D-45AC-86DE-B4A2E2B7A074}">
  <dimension ref="A1:AM81"/>
  <sheetViews>
    <sheetView topLeftCell="V1" workbookViewId="0">
      <selection activeCell="AK18" sqref="AK18:AK81"/>
    </sheetView>
  </sheetViews>
  <sheetFormatPr defaultRowHeight="14.4" x14ac:dyDescent="0.3"/>
  <sheetData>
    <row r="1" spans="1:36" ht="15" thickBot="1" x14ac:dyDescent="0.35">
      <c r="A1" s="59" t="s">
        <v>26</v>
      </c>
      <c r="B1" s="3" t="s">
        <v>2</v>
      </c>
      <c r="C1" s="3" t="s">
        <v>3</v>
      </c>
      <c r="D1" s="3" t="s">
        <v>50</v>
      </c>
      <c r="E1" s="3" t="s">
        <v>27</v>
      </c>
      <c r="F1" s="3" t="s">
        <v>28</v>
      </c>
      <c r="G1" s="3" t="s">
        <v>101</v>
      </c>
      <c r="H1" s="3" t="s">
        <v>30</v>
      </c>
      <c r="I1" s="60" t="s">
        <v>31</v>
      </c>
      <c r="J1" t="s">
        <v>121</v>
      </c>
      <c r="K1" t="s">
        <v>122</v>
      </c>
      <c r="P1" t="s">
        <v>127</v>
      </c>
      <c r="Q1" t="s">
        <v>128</v>
      </c>
      <c r="R1" t="s">
        <v>129</v>
      </c>
      <c r="S1" t="s">
        <v>130</v>
      </c>
      <c r="T1" t="s">
        <v>131</v>
      </c>
      <c r="U1" t="s">
        <v>132</v>
      </c>
      <c r="V1" t="s">
        <v>133</v>
      </c>
      <c r="W1" t="s">
        <v>134</v>
      </c>
      <c r="X1" t="s">
        <v>135</v>
      </c>
      <c r="Y1" t="s">
        <v>136</v>
      </c>
      <c r="Z1" t="s">
        <v>137</v>
      </c>
      <c r="AE1" t="s">
        <v>163</v>
      </c>
      <c r="AF1" t="s">
        <v>164</v>
      </c>
      <c r="AG1" t="s">
        <v>165</v>
      </c>
      <c r="AH1" t="s">
        <v>177</v>
      </c>
      <c r="AI1" t="s">
        <v>178</v>
      </c>
      <c r="AJ1" t="s">
        <v>179</v>
      </c>
    </row>
    <row r="2" spans="1:36" x14ac:dyDescent="0.3">
      <c r="A2" s="61" t="s">
        <v>14</v>
      </c>
      <c r="B2" t="s">
        <v>15</v>
      </c>
      <c r="C2" t="s">
        <v>15</v>
      </c>
      <c r="D2" t="s">
        <v>14</v>
      </c>
      <c r="E2" t="s">
        <v>32</v>
      </c>
      <c r="F2">
        <v>3.15</v>
      </c>
      <c r="G2">
        <v>2.17</v>
      </c>
      <c r="H2">
        <v>2.39</v>
      </c>
      <c r="I2" s="7">
        <v>2.98</v>
      </c>
      <c r="J2" t="s">
        <v>28</v>
      </c>
      <c r="K2" s="135">
        <v>0.55208333333333337</v>
      </c>
      <c r="P2">
        <f>AVERAGE(F2:F5)</f>
        <v>2.9425000000000003</v>
      </c>
      <c r="Q2">
        <f t="shared" ref="Q2:S2" si="0">AVERAGE(G2:G5)</f>
        <v>2.17</v>
      </c>
      <c r="R2">
        <f t="shared" si="0"/>
        <v>2.3624999999999998</v>
      </c>
      <c r="S2">
        <f t="shared" si="0"/>
        <v>2.8374999999999999</v>
      </c>
      <c r="T2">
        <f>_xlfn.STDEV.S(F2:F5)</f>
        <v>0.14314910641239309</v>
      </c>
      <c r="U2">
        <f t="shared" ref="U2:V2" si="1">_xlfn.STDEV.S(G2:G5)</f>
        <v>0.13638181696985852</v>
      </c>
      <c r="V2">
        <f t="shared" si="1"/>
        <v>0.22529610146057411</v>
      </c>
      <c r="W2">
        <f>_xlfn.STDEV.S(I2:I5)</f>
        <v>0.24662724910277048</v>
      </c>
      <c r="AE2">
        <f>I2-F2</f>
        <v>-0.16999999999999993</v>
      </c>
      <c r="AF2">
        <f>AVERAGE(AE2:AE5)</f>
        <v>-0.10499999999999998</v>
      </c>
      <c r="AG2">
        <f>_xlfn.STDEV.S(AE2:AE5)</f>
        <v>0.25683976846794321</v>
      </c>
    </row>
    <row r="3" spans="1:36" x14ac:dyDescent="0.3">
      <c r="A3" s="61" t="s">
        <v>14</v>
      </c>
      <c r="B3" t="s">
        <v>15</v>
      </c>
      <c r="C3" t="s">
        <v>15</v>
      </c>
      <c r="D3" t="s">
        <v>14</v>
      </c>
      <c r="E3" t="s">
        <v>33</v>
      </c>
      <c r="F3">
        <v>2.92</v>
      </c>
      <c r="G3">
        <v>2.3199999999999998</v>
      </c>
      <c r="H3">
        <v>2.35</v>
      </c>
      <c r="I3" s="7">
        <v>2.71</v>
      </c>
      <c r="J3" t="s">
        <v>101</v>
      </c>
      <c r="K3" s="135">
        <v>0.55208333333333337</v>
      </c>
      <c r="AE3">
        <f>I3-F3</f>
        <v>-0.20999999999999996</v>
      </c>
    </row>
    <row r="4" spans="1:36" x14ac:dyDescent="0.3">
      <c r="A4" s="61" t="s">
        <v>14</v>
      </c>
      <c r="B4" t="s">
        <v>15</v>
      </c>
      <c r="C4" t="s">
        <v>15</v>
      </c>
      <c r="D4" t="s">
        <v>14</v>
      </c>
      <c r="E4" t="s">
        <v>34</v>
      </c>
      <c r="F4">
        <v>2.87</v>
      </c>
      <c r="G4">
        <v>1.99</v>
      </c>
      <c r="H4">
        <v>2.08</v>
      </c>
      <c r="I4" s="7">
        <v>2.56</v>
      </c>
      <c r="J4" t="s">
        <v>30</v>
      </c>
      <c r="K4" s="135">
        <v>0.55208333333333337</v>
      </c>
      <c r="AE4">
        <f t="shared" ref="AE4:AE67" si="2">I4-F4</f>
        <v>-0.31000000000000005</v>
      </c>
    </row>
    <row r="5" spans="1:36" ht="15" thickBot="1" x14ac:dyDescent="0.35">
      <c r="A5" s="62" t="s">
        <v>14</v>
      </c>
      <c r="B5" s="9" t="s">
        <v>15</v>
      </c>
      <c r="C5" s="9" t="s">
        <v>15</v>
      </c>
      <c r="D5" s="9" t="s">
        <v>14</v>
      </c>
      <c r="E5" s="9" t="s">
        <v>35</v>
      </c>
      <c r="F5" s="9">
        <v>2.83</v>
      </c>
      <c r="G5" s="9">
        <v>2.2000000000000002</v>
      </c>
      <c r="H5" s="9">
        <v>2.63</v>
      </c>
      <c r="I5" s="10">
        <v>3.1</v>
      </c>
      <c r="J5" t="s">
        <v>31</v>
      </c>
      <c r="K5" s="135">
        <v>0.55208333333333337</v>
      </c>
      <c r="L5" s="135">
        <v>0.57638888888888884</v>
      </c>
      <c r="AE5">
        <f t="shared" si="2"/>
        <v>0.27</v>
      </c>
    </row>
    <row r="6" spans="1:36" x14ac:dyDescent="0.3">
      <c r="A6" s="61" t="s">
        <v>16</v>
      </c>
      <c r="B6" t="s">
        <v>15</v>
      </c>
      <c r="C6" t="s">
        <v>15</v>
      </c>
      <c r="D6" t="s">
        <v>16</v>
      </c>
      <c r="E6" t="s">
        <v>32</v>
      </c>
      <c r="F6">
        <v>2.85</v>
      </c>
      <c r="G6">
        <v>2.48</v>
      </c>
      <c r="H6">
        <v>2.2999999999999998</v>
      </c>
      <c r="I6" s="7">
        <v>2.92</v>
      </c>
      <c r="P6">
        <f>AVERAGE(F6:F9)</f>
        <v>3.1150000000000002</v>
      </c>
      <c r="Q6">
        <f t="shared" ref="Q6:S6" si="3">AVERAGE(G6:G9)</f>
        <v>2.4500000000000002</v>
      </c>
      <c r="R6">
        <f t="shared" si="3"/>
        <v>2.5599999999999996</v>
      </c>
      <c r="S6">
        <f t="shared" si="3"/>
        <v>3.1675</v>
      </c>
      <c r="T6">
        <f>_xlfn.STDEV.S(F6:F9)</f>
        <v>0.18266545011760343</v>
      </c>
      <c r="U6">
        <f t="shared" ref="U6:W6" si="4">_xlfn.STDEV.S(G6:G9)</f>
        <v>0.16512621435334446</v>
      </c>
      <c r="V6">
        <f t="shared" si="4"/>
        <v>0.19882991056008986</v>
      </c>
      <c r="W6">
        <f t="shared" si="4"/>
        <v>0.1656049516167919</v>
      </c>
      <c r="AE6">
        <f t="shared" si="2"/>
        <v>6.999999999999984E-2</v>
      </c>
      <c r="AF6">
        <f t="shared" ref="AF6" si="5">AVERAGE(AE6:AE9)</f>
        <v>5.2499999999999769E-2</v>
      </c>
      <c r="AG6">
        <f t="shared" ref="AG6" si="6">_xlfn.STDEV.S(AE6:AE9)</f>
        <v>5.8523499553598028E-2</v>
      </c>
    </row>
    <row r="7" spans="1:36" x14ac:dyDescent="0.3">
      <c r="A7" s="61" t="s">
        <v>16</v>
      </c>
      <c r="B7" t="s">
        <v>15</v>
      </c>
      <c r="C7" t="s">
        <v>15</v>
      </c>
      <c r="D7" t="s">
        <v>16</v>
      </c>
      <c r="E7" t="s">
        <v>33</v>
      </c>
      <c r="F7">
        <v>3.22</v>
      </c>
      <c r="G7">
        <v>2.35</v>
      </c>
      <c r="H7">
        <v>2.78</v>
      </c>
      <c r="I7" s="7">
        <v>3.26</v>
      </c>
      <c r="AE7">
        <f t="shared" si="2"/>
        <v>3.9999999999999591E-2</v>
      </c>
    </row>
    <row r="8" spans="1:36" x14ac:dyDescent="0.3">
      <c r="A8" s="61" t="s">
        <v>16</v>
      </c>
      <c r="B8" t="s">
        <v>15</v>
      </c>
      <c r="C8" t="s">
        <v>15</v>
      </c>
      <c r="D8" t="s">
        <v>16</v>
      </c>
      <c r="E8" t="s">
        <v>34</v>
      </c>
      <c r="F8">
        <v>3.25</v>
      </c>
      <c r="G8">
        <v>2.67</v>
      </c>
      <c r="H8">
        <v>2.61</v>
      </c>
      <c r="I8" s="7">
        <v>3.23</v>
      </c>
      <c r="AE8">
        <f t="shared" si="2"/>
        <v>-2.0000000000000018E-2</v>
      </c>
    </row>
    <row r="9" spans="1:36" ht="15" thickBot="1" x14ac:dyDescent="0.35">
      <c r="A9" s="62" t="s">
        <v>16</v>
      </c>
      <c r="B9" s="9" t="s">
        <v>15</v>
      </c>
      <c r="C9" s="9" t="s">
        <v>15</v>
      </c>
      <c r="D9" s="9" t="s">
        <v>16</v>
      </c>
      <c r="E9" s="9" t="s">
        <v>35</v>
      </c>
      <c r="F9" s="9">
        <v>3.14</v>
      </c>
      <c r="G9" s="9">
        <v>2.2999999999999998</v>
      </c>
      <c r="H9" s="9">
        <v>2.5499999999999998</v>
      </c>
      <c r="I9" s="10">
        <v>3.26</v>
      </c>
      <c r="AE9">
        <f t="shared" si="2"/>
        <v>0.11999999999999966</v>
      </c>
    </row>
    <row r="10" spans="1:36" x14ac:dyDescent="0.3">
      <c r="A10" s="61" t="s">
        <v>36</v>
      </c>
      <c r="B10" t="s">
        <v>15</v>
      </c>
      <c r="C10" t="s">
        <v>19</v>
      </c>
      <c r="D10" t="s">
        <v>36</v>
      </c>
      <c r="E10" t="s">
        <v>32</v>
      </c>
      <c r="F10">
        <v>2.97</v>
      </c>
      <c r="G10">
        <v>2.48</v>
      </c>
      <c r="H10">
        <v>5.04</v>
      </c>
      <c r="I10" s="7">
        <v>8.27</v>
      </c>
      <c r="P10">
        <f>AVERAGE(F10:F13)</f>
        <v>2.9299999999999997</v>
      </c>
      <c r="Q10">
        <f t="shared" ref="Q10:S10" si="7">AVERAGE(G10:G13)</f>
        <v>2.3975</v>
      </c>
      <c r="R10">
        <f t="shared" si="7"/>
        <v>4.3375000000000004</v>
      </c>
      <c r="S10">
        <f t="shared" si="7"/>
        <v>7.3075000000000001</v>
      </c>
      <c r="T10">
        <f>_xlfn.STDEV.S(F10:F13)</f>
        <v>8.7559503577091469E-2</v>
      </c>
      <c r="U10">
        <f t="shared" ref="U10:W10" si="8">_xlfn.STDEV.S(G10:G13)</f>
        <v>0.2877933286231647</v>
      </c>
      <c r="V10">
        <f t="shared" si="8"/>
        <v>0.48609841253255159</v>
      </c>
      <c r="W10">
        <f t="shared" si="8"/>
        <v>0.67874271021254162</v>
      </c>
      <c r="AE10">
        <f t="shared" si="2"/>
        <v>5.2999999999999989</v>
      </c>
      <c r="AF10">
        <f t="shared" ref="AF10" si="9">AVERAGE(AE10:AE13)</f>
        <v>4.3774999999999995</v>
      </c>
      <c r="AG10">
        <f>_xlfn.STDEV.S(AE10:AE13)</f>
        <v>0.68182964636826171</v>
      </c>
    </row>
    <row r="11" spans="1:36" x14ac:dyDescent="0.3">
      <c r="A11" s="61" t="s">
        <v>36</v>
      </c>
      <c r="B11" t="s">
        <v>15</v>
      </c>
      <c r="C11" t="s">
        <v>19</v>
      </c>
      <c r="D11" t="s">
        <v>36</v>
      </c>
      <c r="E11" t="s">
        <v>33</v>
      </c>
      <c r="F11">
        <v>2.96</v>
      </c>
      <c r="G11">
        <v>2.1</v>
      </c>
      <c r="H11">
        <v>3.97</v>
      </c>
      <c r="I11" s="7">
        <v>6.73</v>
      </c>
      <c r="AE11">
        <f t="shared" si="2"/>
        <v>3.7700000000000005</v>
      </c>
    </row>
    <row r="12" spans="1:36" x14ac:dyDescent="0.3">
      <c r="A12" s="61" t="s">
        <v>36</v>
      </c>
      <c r="B12" t="s">
        <v>15</v>
      </c>
      <c r="C12" t="s">
        <v>19</v>
      </c>
      <c r="D12" t="s">
        <v>36</v>
      </c>
      <c r="E12" t="s">
        <v>34</v>
      </c>
      <c r="F12">
        <v>2.99</v>
      </c>
      <c r="G12">
        <v>2.76</v>
      </c>
      <c r="H12">
        <v>4.0599999999999996</v>
      </c>
      <c r="I12" s="7">
        <v>6.96</v>
      </c>
      <c r="AE12">
        <f t="shared" si="2"/>
        <v>3.9699999999999998</v>
      </c>
    </row>
    <row r="13" spans="1:36" ht="15" thickBot="1" x14ac:dyDescent="0.35">
      <c r="A13" s="62" t="s">
        <v>36</v>
      </c>
      <c r="B13" s="9" t="s">
        <v>15</v>
      </c>
      <c r="C13" s="9" t="s">
        <v>19</v>
      </c>
      <c r="D13" s="9" t="s">
        <v>36</v>
      </c>
      <c r="E13" s="9" t="s">
        <v>35</v>
      </c>
      <c r="F13" s="9">
        <v>2.8</v>
      </c>
      <c r="G13" s="9">
        <v>2.25</v>
      </c>
      <c r="H13" s="9">
        <v>4.28</v>
      </c>
      <c r="I13" s="10">
        <v>7.27</v>
      </c>
      <c r="AE13">
        <f t="shared" si="2"/>
        <v>4.47</v>
      </c>
    </row>
    <row r="14" spans="1:36" x14ac:dyDescent="0.3">
      <c r="A14" s="61" t="s">
        <v>37</v>
      </c>
      <c r="B14" t="s">
        <v>15</v>
      </c>
      <c r="C14" t="s">
        <v>19</v>
      </c>
      <c r="D14" t="s">
        <v>37</v>
      </c>
      <c r="E14" t="s">
        <v>32</v>
      </c>
      <c r="F14">
        <v>2.8</v>
      </c>
      <c r="G14">
        <v>1.22</v>
      </c>
      <c r="H14">
        <v>2.54</v>
      </c>
      <c r="I14" s="7">
        <v>4.8099999999999996</v>
      </c>
      <c r="P14">
        <f>AVERAGE(F14:F17)</f>
        <v>2.7774999999999999</v>
      </c>
      <c r="Q14">
        <f t="shared" ref="Q14:S14" si="10">AVERAGE(G14:G17)</f>
        <v>1.8425</v>
      </c>
      <c r="R14">
        <f t="shared" si="10"/>
        <v>2.6774999999999998</v>
      </c>
      <c r="S14">
        <f t="shared" si="10"/>
        <v>4.5125000000000002</v>
      </c>
      <c r="T14">
        <f>_xlfn.STDEV.S(F14:F17)</f>
        <v>0.16459546368799674</v>
      </c>
      <c r="U14">
        <f t="shared" ref="U14:W14" si="11">_xlfn.STDEV.S(G14:G17)</f>
        <v>0.48444985980663313</v>
      </c>
      <c r="V14">
        <f t="shared" si="11"/>
        <v>0.44297291113565929</v>
      </c>
      <c r="W14">
        <f t="shared" si="11"/>
        <v>1.0455740050326421</v>
      </c>
      <c r="AE14">
        <f t="shared" si="2"/>
        <v>2.0099999999999998</v>
      </c>
      <c r="AF14">
        <f t="shared" ref="AF14" si="12">AVERAGE(AE14:AE17)</f>
        <v>1.7349999999999999</v>
      </c>
      <c r="AG14">
        <f t="shared" ref="AG14" si="13">_xlfn.STDEV.S(AE14:AE17)</f>
        <v>1.076738903665446</v>
      </c>
    </row>
    <row r="15" spans="1:36" x14ac:dyDescent="0.3">
      <c r="A15" s="61" t="s">
        <v>37</v>
      </c>
      <c r="B15" t="s">
        <v>15</v>
      </c>
      <c r="C15" t="s">
        <v>19</v>
      </c>
      <c r="D15" t="s">
        <v>37</v>
      </c>
      <c r="E15" t="s">
        <v>33</v>
      </c>
      <c r="F15">
        <v>2.96</v>
      </c>
      <c r="G15">
        <v>1.76</v>
      </c>
      <c r="H15">
        <v>2.21</v>
      </c>
      <c r="I15" s="7">
        <v>3.43</v>
      </c>
      <c r="AE15">
        <f t="shared" si="2"/>
        <v>0.4700000000000002</v>
      </c>
    </row>
    <row r="16" spans="1:36" x14ac:dyDescent="0.3">
      <c r="A16" s="61" t="s">
        <v>37</v>
      </c>
      <c r="B16" t="s">
        <v>15</v>
      </c>
      <c r="C16" t="s">
        <v>19</v>
      </c>
      <c r="D16" t="s">
        <v>37</v>
      </c>
      <c r="E16" t="s">
        <v>34</v>
      </c>
      <c r="F16">
        <v>2.56</v>
      </c>
      <c r="G16">
        <v>2.02</v>
      </c>
      <c r="H16">
        <v>2.69</v>
      </c>
      <c r="I16" s="7">
        <v>3.98</v>
      </c>
      <c r="AE16">
        <f t="shared" si="2"/>
        <v>1.42</v>
      </c>
    </row>
    <row r="17" spans="1:39" ht="15" thickBot="1" x14ac:dyDescent="0.35">
      <c r="A17" s="62" t="s">
        <v>37</v>
      </c>
      <c r="B17" s="9" t="s">
        <v>15</v>
      </c>
      <c r="C17" s="9" t="s">
        <v>19</v>
      </c>
      <c r="D17" s="9" t="s">
        <v>37</v>
      </c>
      <c r="E17" s="9" t="s">
        <v>35</v>
      </c>
      <c r="F17" s="9">
        <v>2.79</v>
      </c>
      <c r="G17" s="9">
        <v>2.37</v>
      </c>
      <c r="H17" s="9">
        <v>3.27</v>
      </c>
      <c r="I17" s="10">
        <v>5.83</v>
      </c>
      <c r="AE17">
        <f t="shared" si="2"/>
        <v>3.04</v>
      </c>
    </row>
    <row r="18" spans="1:39" x14ac:dyDescent="0.3">
      <c r="A18" s="63" t="s">
        <v>123</v>
      </c>
      <c r="B18" s="64" t="s">
        <v>21</v>
      </c>
      <c r="C18" s="64" t="s">
        <v>15</v>
      </c>
      <c r="D18" s="64" t="str">
        <f t="shared" ref="D18:D49" si="14">A18&amp;B18</f>
        <v>6ppdqlow</v>
      </c>
      <c r="E18" s="64" t="s">
        <v>32</v>
      </c>
      <c r="F18" s="64">
        <v>3.11</v>
      </c>
      <c r="G18" s="64">
        <v>1.56</v>
      </c>
      <c r="H18" s="64">
        <v>1.91</v>
      </c>
      <c r="I18" s="65">
        <v>2.06</v>
      </c>
      <c r="P18">
        <f>AVERAGE(F18:F21)</f>
        <v>3.125</v>
      </c>
      <c r="Q18">
        <f t="shared" ref="Q18:S18" si="15">AVERAGE(G18:G21)</f>
        <v>1.4650000000000001</v>
      </c>
      <c r="R18">
        <f t="shared" si="15"/>
        <v>1.7375</v>
      </c>
      <c r="S18">
        <f t="shared" si="15"/>
        <v>2.4750000000000001</v>
      </c>
      <c r="T18">
        <f>_xlfn.STDEV.S(F18:F21)</f>
        <v>0.22113344387495981</v>
      </c>
      <c r="U18">
        <f t="shared" ref="U18:W18" si="16">_xlfn.STDEV.S(G18:G21)</f>
        <v>0.15631165450257811</v>
      </c>
      <c r="V18">
        <f>_xlfn.STDEV.S(H18:H21)</f>
        <v>0.18300728582946263</v>
      </c>
      <c r="W18">
        <f t="shared" si="16"/>
        <v>0.28442925306655786</v>
      </c>
      <c r="X18">
        <f>((I18-S$6)/S$6)*100</f>
        <v>-34.964483030781373</v>
      </c>
      <c r="Y18">
        <f>AVERAGE(X18:X21)</f>
        <v>-21.862667719021307</v>
      </c>
      <c r="Z18">
        <f>_xlfn.STDEV.S(X18:X21)</f>
        <v>8.9796133564817051</v>
      </c>
      <c r="AA18">
        <f>((I18-$S$2)/$S$2)*100</f>
        <v>-27.400881057268716</v>
      </c>
      <c r="AB18">
        <f>AVERAGE(AA18:AA21)</f>
        <v>-12.775330396475766</v>
      </c>
      <c r="AC18">
        <f>_xlfn.STDEV.S(AA18:AA21)</f>
        <v>10.023938434063709</v>
      </c>
      <c r="AE18">
        <f t="shared" si="2"/>
        <v>-1.0499999999999998</v>
      </c>
      <c r="AF18">
        <f t="shared" ref="AF18" si="17">AVERAGE(AE18:AE21)</f>
        <v>-0.64999999999999991</v>
      </c>
      <c r="AG18">
        <f t="shared" ref="AG18" si="18">_xlfn.STDEV.S(AE18:AE21)</f>
        <v>0.3878143885933063</v>
      </c>
      <c r="AH18">
        <f>((AE18-$AF$6)/$AF$6)*100</f>
        <v>-2100.0000000000086</v>
      </c>
      <c r="AI18">
        <f>AVERAGE(AH18:AH21)</f>
        <v>-1338.0952380952435</v>
      </c>
      <c r="AJ18">
        <f>_xlfn.STDEV.S(AH18:AH21)</f>
        <v>738.69407351106292</v>
      </c>
      <c r="AK18">
        <f>((AE18-$AF$2)/$AF$2)*100</f>
        <v>900</v>
      </c>
      <c r="AL18">
        <f>AVERAGE(AK18:AK21)</f>
        <v>519.04761904761904</v>
      </c>
      <c r="AM18">
        <f>_xlfn.STDEV.S(AK18:AK21)</f>
        <v>369.3470367555301</v>
      </c>
    </row>
    <row r="19" spans="1:39" x14ac:dyDescent="0.3">
      <c r="A19" s="63" t="s">
        <v>123</v>
      </c>
      <c r="B19" s="64" t="s">
        <v>21</v>
      </c>
      <c r="C19" s="64" t="s">
        <v>15</v>
      </c>
      <c r="D19" s="64" t="str">
        <f t="shared" si="14"/>
        <v>6ppdqlow</v>
      </c>
      <c r="E19" s="64" t="s">
        <v>33</v>
      </c>
      <c r="F19" s="64">
        <v>2.87</v>
      </c>
      <c r="G19" s="64">
        <v>1.26</v>
      </c>
      <c r="H19" s="64">
        <v>1.6</v>
      </c>
      <c r="I19" s="65">
        <v>2.66</v>
      </c>
      <c r="X19">
        <f t="shared" ref="X19:X49" si="19">((I19-S$6)/S$6)*100</f>
        <v>-16.022099447513806</v>
      </c>
      <c r="AA19">
        <f t="shared" ref="AA19:AA49" si="20">((I19-$S$2)/$S$2)*100</f>
        <v>-6.2555066079295081</v>
      </c>
      <c r="AE19">
        <f t="shared" si="2"/>
        <v>-0.20999999999999996</v>
      </c>
      <c r="AH19">
        <f t="shared" ref="AH19:AH49" si="21">((AE19-$AF$6)/$AF$6)*100</f>
        <v>-500.00000000000171</v>
      </c>
      <c r="AK19">
        <f t="shared" ref="AK19:AK49" si="22">((AE19-$AF$2)/$AF$2)*100</f>
        <v>100</v>
      </c>
    </row>
    <row r="20" spans="1:39" x14ac:dyDescent="0.3">
      <c r="A20" s="63" t="s">
        <v>123</v>
      </c>
      <c r="B20" s="64" t="s">
        <v>21</v>
      </c>
      <c r="C20" s="64" t="s">
        <v>15</v>
      </c>
      <c r="D20" s="64" t="str">
        <f t="shared" si="14"/>
        <v>6ppdqlow</v>
      </c>
      <c r="E20" s="64" t="s">
        <v>34</v>
      </c>
      <c r="F20" s="64">
        <v>3.41</v>
      </c>
      <c r="G20" s="64">
        <v>1.43</v>
      </c>
      <c r="H20" s="64">
        <v>1.56</v>
      </c>
      <c r="I20" s="65">
        <v>2.52</v>
      </c>
      <c r="X20">
        <f t="shared" si="19"/>
        <v>-20.44198895027624</v>
      </c>
      <c r="AA20">
        <f t="shared" si="20"/>
        <v>-11.189427312775328</v>
      </c>
      <c r="AE20">
        <f t="shared" si="2"/>
        <v>-0.89000000000000012</v>
      </c>
      <c r="AH20">
        <f t="shared" si="21"/>
        <v>-1795.2380952381031</v>
      </c>
      <c r="AK20">
        <f t="shared" si="22"/>
        <v>747.61904761904793</v>
      </c>
    </row>
    <row r="21" spans="1:39" ht="15" thickBot="1" x14ac:dyDescent="0.35">
      <c r="A21" s="136" t="s">
        <v>123</v>
      </c>
      <c r="B21" s="67" t="s">
        <v>21</v>
      </c>
      <c r="C21" s="67" t="s">
        <v>15</v>
      </c>
      <c r="D21" s="67" t="str">
        <f t="shared" si="14"/>
        <v>6ppdqlow</v>
      </c>
      <c r="E21" s="67" t="s">
        <v>35</v>
      </c>
      <c r="F21" s="67">
        <v>3.11</v>
      </c>
      <c r="G21" s="67">
        <v>1.61</v>
      </c>
      <c r="H21" s="67">
        <v>1.88</v>
      </c>
      <c r="I21" s="68">
        <v>2.66</v>
      </c>
      <c r="X21">
        <f t="shared" si="19"/>
        <v>-16.022099447513806</v>
      </c>
      <c r="AA21">
        <f t="shared" si="20"/>
        <v>-6.2555066079295081</v>
      </c>
      <c r="AE21">
        <f t="shared" si="2"/>
        <v>-0.44999999999999973</v>
      </c>
      <c r="AH21">
        <f t="shared" si="21"/>
        <v>-957.14285714286052</v>
      </c>
      <c r="AK21">
        <f t="shared" si="22"/>
        <v>328.57142857142838</v>
      </c>
    </row>
    <row r="22" spans="1:39" x14ac:dyDescent="0.3">
      <c r="A22" s="69" t="s">
        <v>123</v>
      </c>
      <c r="B22" s="15" t="s">
        <v>22</v>
      </c>
      <c r="C22" s="15" t="s">
        <v>15</v>
      </c>
      <c r="D22" s="15" t="str">
        <f t="shared" si="14"/>
        <v>6ppdqhigh</v>
      </c>
      <c r="E22" s="15" t="s">
        <v>32</v>
      </c>
      <c r="F22" s="15">
        <v>2.8</v>
      </c>
      <c r="G22" s="15">
        <v>1.75</v>
      </c>
      <c r="H22" s="15">
        <v>1.55</v>
      </c>
      <c r="I22" s="16">
        <v>1.84</v>
      </c>
      <c r="P22">
        <f>AVERAGE(F22:F25)</f>
        <v>2.8849999999999998</v>
      </c>
      <c r="Q22">
        <f t="shared" ref="Q22:S22" si="23">AVERAGE(G22:G25)</f>
        <v>1.7925</v>
      </c>
      <c r="R22">
        <f t="shared" si="23"/>
        <v>1.7000000000000002</v>
      </c>
      <c r="S22">
        <f t="shared" si="23"/>
        <v>2.0874999999999999</v>
      </c>
      <c r="T22">
        <f>_xlfn.STDEV.S(F22:F25)</f>
        <v>0.12476644848141946</v>
      </c>
      <c r="U22">
        <f t="shared" ref="U22:W22" si="24">_xlfn.STDEV.S(G22:G25)</f>
        <v>5.0579969684978437E-2</v>
      </c>
      <c r="V22">
        <f t="shared" si="24"/>
        <v>0.27067816067548905</v>
      </c>
      <c r="W22">
        <f t="shared" si="24"/>
        <v>0.51487053388853776</v>
      </c>
      <c r="X22">
        <f>((I22-S$6)/S$6)*100</f>
        <v>-41.910023677979474</v>
      </c>
      <c r="Y22">
        <f>AVERAGE(X22:X25)</f>
        <v>-34.096290449881607</v>
      </c>
      <c r="Z22">
        <f>_xlfn.STDEV.S(X22:X25)</f>
        <v>16.254791914397362</v>
      </c>
      <c r="AA22">
        <f t="shared" si="20"/>
        <v>-35.154185022026432</v>
      </c>
      <c r="AB22">
        <f>AVERAGE(AA22:AA25)</f>
        <v>-26.431718061674005</v>
      </c>
      <c r="AC22">
        <f>_xlfn.STDEV.S(AA22:AA25)</f>
        <v>18.145217053340502</v>
      </c>
      <c r="AE22">
        <f t="shared" si="2"/>
        <v>-0.95999999999999974</v>
      </c>
      <c r="AF22">
        <f t="shared" ref="AF22" si="25">AVERAGE(AE22:AE25)</f>
        <v>-0.79749999999999988</v>
      </c>
      <c r="AG22">
        <f t="shared" ref="AG22" si="26">_xlfn.STDEV.S(AE22:AE25)</f>
        <v>0.45028694555064935</v>
      </c>
      <c r="AH22">
        <f t="shared" si="21"/>
        <v>-1928.5714285714362</v>
      </c>
      <c r="AI22">
        <f t="shared" ref="AI22" si="27">AVERAGE(AH22:AH25)</f>
        <v>-1619.0476190476254</v>
      </c>
      <c r="AJ22">
        <f t="shared" ref="AJ22" si="28">_xlfn.STDEV.S(AH22:AH25)</f>
        <v>857.68942009647901</v>
      </c>
      <c r="AK22">
        <f t="shared" si="22"/>
        <v>814.28571428571422</v>
      </c>
      <c r="AL22">
        <f t="shared" ref="AL22" si="29">AVERAGE(AK22:AK25)</f>
        <v>659.52380952380952</v>
      </c>
      <c r="AM22">
        <f t="shared" ref="AM22" si="30">_xlfn.STDEV.S(AK22:AK25)</f>
        <v>428.84471004823746</v>
      </c>
    </row>
    <row r="23" spans="1:39" x14ac:dyDescent="0.3">
      <c r="A23" s="69" t="s">
        <v>123</v>
      </c>
      <c r="B23" s="15" t="s">
        <v>22</v>
      </c>
      <c r="C23" s="15" t="s">
        <v>15</v>
      </c>
      <c r="D23" s="15" t="str">
        <f t="shared" si="14"/>
        <v>6ppdqhigh</v>
      </c>
      <c r="E23" s="15" t="s">
        <v>33</v>
      </c>
      <c r="F23" s="15">
        <v>2.76</v>
      </c>
      <c r="G23" s="15">
        <v>1.85</v>
      </c>
      <c r="H23" s="15">
        <v>1.52</v>
      </c>
      <c r="I23" s="16">
        <v>1.93</v>
      </c>
      <c r="X23">
        <f t="shared" si="19"/>
        <v>-39.068666140489341</v>
      </c>
      <c r="AA23">
        <f t="shared" si="20"/>
        <v>-31.982378854625548</v>
      </c>
      <c r="AE23">
        <f t="shared" si="2"/>
        <v>-0.82999999999999985</v>
      </c>
      <c r="AH23">
        <f t="shared" si="21"/>
        <v>-1680.9523809523878</v>
      </c>
      <c r="AK23">
        <f t="shared" si="22"/>
        <v>690.47619047619048</v>
      </c>
    </row>
    <row r="24" spans="1:39" x14ac:dyDescent="0.3">
      <c r="A24" s="69" t="s">
        <v>123</v>
      </c>
      <c r="B24" s="15" t="s">
        <v>22</v>
      </c>
      <c r="C24" s="15" t="s">
        <v>15</v>
      </c>
      <c r="D24" s="15" t="str">
        <f t="shared" si="14"/>
        <v>6ppdqhigh</v>
      </c>
      <c r="E24" s="15" t="s">
        <v>34</v>
      </c>
      <c r="F24" s="15">
        <v>2.96</v>
      </c>
      <c r="G24" s="15">
        <v>1.82</v>
      </c>
      <c r="H24" s="15">
        <v>1.63</v>
      </c>
      <c r="I24" s="16">
        <v>1.73</v>
      </c>
      <c r="X24">
        <f t="shared" si="19"/>
        <v>-45.382794001578532</v>
      </c>
      <c r="AA24">
        <f t="shared" si="20"/>
        <v>-39.030837004405285</v>
      </c>
      <c r="AE24">
        <f t="shared" si="2"/>
        <v>-1.23</v>
      </c>
      <c r="AH24">
        <f t="shared" si="21"/>
        <v>-2442.8571428571531</v>
      </c>
      <c r="AK24">
        <f t="shared" si="22"/>
        <v>1071.4285714285716</v>
      </c>
    </row>
    <row r="25" spans="1:39" ht="15" thickBot="1" x14ac:dyDescent="0.35">
      <c r="A25" s="137" t="s">
        <v>123</v>
      </c>
      <c r="B25" s="71" t="s">
        <v>22</v>
      </c>
      <c r="C25" s="71" t="s">
        <v>15</v>
      </c>
      <c r="D25" s="71" t="str">
        <f t="shared" si="14"/>
        <v>6ppdqhigh</v>
      </c>
      <c r="E25" s="71" t="s">
        <v>35</v>
      </c>
      <c r="F25" s="71">
        <v>3.02</v>
      </c>
      <c r="G25" s="71">
        <v>1.75</v>
      </c>
      <c r="H25" s="71">
        <v>2.1</v>
      </c>
      <c r="I25" s="72">
        <v>2.85</v>
      </c>
      <c r="X25">
        <f t="shared" si="19"/>
        <v>-10.023677979479082</v>
      </c>
      <c r="AA25">
        <f t="shared" si="20"/>
        <v>0.44052863436123979</v>
      </c>
      <c r="AE25">
        <f t="shared" si="2"/>
        <v>-0.16999999999999993</v>
      </c>
      <c r="AH25">
        <f t="shared" si="21"/>
        <v>-423.80952380952505</v>
      </c>
      <c r="AK25">
        <f t="shared" si="22"/>
        <v>61.904761904761862</v>
      </c>
    </row>
    <row r="26" spans="1:39" x14ac:dyDescent="0.3">
      <c r="A26" s="73" t="s">
        <v>124</v>
      </c>
      <c r="B26" s="18" t="s">
        <v>21</v>
      </c>
      <c r="C26" s="18" t="s">
        <v>15</v>
      </c>
      <c r="D26" s="18" t="str">
        <f t="shared" si="14"/>
        <v>6ppdq+Carblow</v>
      </c>
      <c r="E26" s="18" t="s">
        <v>32</v>
      </c>
      <c r="F26" s="18">
        <v>3.06</v>
      </c>
      <c r="G26" s="18">
        <v>1.79</v>
      </c>
      <c r="H26" s="18">
        <v>1.65</v>
      </c>
      <c r="I26" s="19">
        <v>2.09</v>
      </c>
      <c r="P26">
        <f>AVERAGE(F26:F29)</f>
        <v>3.1625000000000001</v>
      </c>
      <c r="Q26">
        <f t="shared" ref="Q26:S26" si="31">AVERAGE(G26:G29)</f>
        <v>1.9349999999999998</v>
      </c>
      <c r="R26">
        <f t="shared" si="31"/>
        <v>1.9124999999999999</v>
      </c>
      <c r="S26">
        <f t="shared" si="31"/>
        <v>2.6224999999999996</v>
      </c>
      <c r="T26">
        <f>_xlfn.STDEV.S(F26:F29)</f>
        <v>0.2145343795292492</v>
      </c>
      <c r="U26">
        <f t="shared" ref="U26:W26" si="32">_xlfn.STDEV.S(G26:G29)</f>
        <v>0.28641461787648687</v>
      </c>
      <c r="V26">
        <f t="shared" si="32"/>
        <v>0.34062442660502268</v>
      </c>
      <c r="W26">
        <f t="shared" si="32"/>
        <v>0.53337760232940989</v>
      </c>
      <c r="X26">
        <f t="shared" si="19"/>
        <v>-34.017363851618001</v>
      </c>
      <c r="Y26">
        <f>AVERAGE(X26:X29)</f>
        <v>-17.205998421468038</v>
      </c>
      <c r="Z26">
        <f>_xlfn.STDEV.S(X26:X29)</f>
        <v>16.839071896745271</v>
      </c>
      <c r="AA26">
        <f t="shared" si="20"/>
        <v>-26.343612334801765</v>
      </c>
      <c r="AB26">
        <f>AVERAGE(AA26:AA29)</f>
        <v>-7.5770925110132161</v>
      </c>
      <c r="AC26">
        <f>_xlfn.STDEV.S(AA26:AA29)</f>
        <v>18.797448540243405</v>
      </c>
      <c r="AE26">
        <f t="shared" si="2"/>
        <v>-0.9700000000000002</v>
      </c>
      <c r="AF26">
        <f>AVERAGE(AE26:AE29)</f>
        <v>-0.54</v>
      </c>
      <c r="AG26">
        <f t="shared" ref="AG26" si="33">_xlfn.STDEV.S(AE26:AE29)</f>
        <v>0.34660255817482571</v>
      </c>
      <c r="AH26">
        <f t="shared" si="21"/>
        <v>-1947.6190476190559</v>
      </c>
      <c r="AI26">
        <f t="shared" ref="AI26" si="34">AVERAGE(AH26:AH29)</f>
        <v>-1128.5714285714332</v>
      </c>
      <c r="AJ26">
        <f t="shared" ref="AJ26" si="35">_xlfn.STDEV.S(AH26:AH29)</f>
        <v>660.19534890443242</v>
      </c>
      <c r="AK26">
        <f t="shared" si="22"/>
        <v>823.80952380952408</v>
      </c>
      <c r="AL26">
        <f t="shared" ref="AL26" si="36">AVERAGE(AK26:AK29)</f>
        <v>414.28571428571439</v>
      </c>
      <c r="AM26">
        <f t="shared" ref="AM26" si="37">_xlfn.STDEV.S(AK26:AK29)</f>
        <v>330.0976744522149</v>
      </c>
    </row>
    <row r="27" spans="1:39" x14ac:dyDescent="0.3">
      <c r="A27" s="73" t="s">
        <v>124</v>
      </c>
      <c r="B27" s="18" t="s">
        <v>21</v>
      </c>
      <c r="C27" s="18" t="s">
        <v>15</v>
      </c>
      <c r="D27" s="18" t="str">
        <f t="shared" si="14"/>
        <v>6ppdq+Carblow</v>
      </c>
      <c r="E27" s="18" t="s">
        <v>33</v>
      </c>
      <c r="F27" s="18">
        <v>2.91</v>
      </c>
      <c r="G27" s="18">
        <v>1.66</v>
      </c>
      <c r="H27" s="18">
        <v>1.6</v>
      </c>
      <c r="I27" s="19">
        <v>2.2400000000000002</v>
      </c>
      <c r="X27">
        <f t="shared" si="19"/>
        <v>-29.281767955801097</v>
      </c>
      <c r="AA27">
        <f t="shared" si="20"/>
        <v>-21.057268722466951</v>
      </c>
      <c r="AE27">
        <f t="shared" si="2"/>
        <v>-0.66999999999999993</v>
      </c>
      <c r="AH27">
        <f t="shared" si="21"/>
        <v>-1376.1904761904816</v>
      </c>
      <c r="AK27">
        <f t="shared" si="22"/>
        <v>538.09523809523819</v>
      </c>
    </row>
    <row r="28" spans="1:39" x14ac:dyDescent="0.3">
      <c r="A28" s="73" t="s">
        <v>124</v>
      </c>
      <c r="B28" s="18" t="s">
        <v>21</v>
      </c>
      <c r="C28" s="18" t="s">
        <v>15</v>
      </c>
      <c r="D28" s="18" t="str">
        <f t="shared" si="14"/>
        <v>6ppdq+Carblow</v>
      </c>
      <c r="E28" s="18" t="s">
        <v>34</v>
      </c>
      <c r="F28" s="18">
        <v>3.32</v>
      </c>
      <c r="G28" s="18">
        <v>2.3199999999999998</v>
      </c>
      <c r="H28" s="18">
        <v>2.11</v>
      </c>
      <c r="I28" s="19">
        <v>3.03</v>
      </c>
      <c r="X28">
        <f t="shared" si="19"/>
        <v>-4.3409629044988218</v>
      </c>
      <c r="AA28">
        <f t="shared" si="20"/>
        <v>6.7841409691629924</v>
      </c>
      <c r="AE28">
        <f t="shared" si="2"/>
        <v>-0.29000000000000004</v>
      </c>
      <c r="AH28">
        <f t="shared" si="21"/>
        <v>-652.38095238095491</v>
      </c>
      <c r="AK28">
        <f t="shared" si="22"/>
        <v>176.19047619047626</v>
      </c>
    </row>
    <row r="29" spans="1:39" ht="15" thickBot="1" x14ac:dyDescent="0.35">
      <c r="A29" s="138" t="s">
        <v>124</v>
      </c>
      <c r="B29" s="75" t="s">
        <v>21</v>
      </c>
      <c r="C29" s="75" t="s">
        <v>15</v>
      </c>
      <c r="D29" s="75" t="str">
        <f t="shared" si="14"/>
        <v>6ppdq+Carblow</v>
      </c>
      <c r="E29" s="75" t="s">
        <v>35</v>
      </c>
      <c r="F29" s="75">
        <v>3.36</v>
      </c>
      <c r="G29" s="75">
        <v>1.97</v>
      </c>
      <c r="H29" s="75">
        <v>2.29</v>
      </c>
      <c r="I29" s="76">
        <v>3.13</v>
      </c>
      <c r="X29">
        <f t="shared" si="19"/>
        <v>-1.1838989739542254</v>
      </c>
      <c r="AA29">
        <f t="shared" si="20"/>
        <v>10.308370044052863</v>
      </c>
      <c r="AE29">
        <f t="shared" si="2"/>
        <v>-0.22999999999999998</v>
      </c>
      <c r="AH29">
        <f t="shared" si="21"/>
        <v>-538.09523809524001</v>
      </c>
      <c r="AK29">
        <f t="shared" si="22"/>
        <v>119.04761904761907</v>
      </c>
    </row>
    <row r="30" spans="1:39" x14ac:dyDescent="0.3">
      <c r="A30" s="77" t="s">
        <v>124</v>
      </c>
      <c r="B30" s="21" t="s">
        <v>22</v>
      </c>
      <c r="C30" s="21" t="s">
        <v>15</v>
      </c>
      <c r="D30" s="21" t="str">
        <f t="shared" si="14"/>
        <v>6ppdq+Carbhigh</v>
      </c>
      <c r="E30" s="21" t="s">
        <v>32</v>
      </c>
      <c r="F30" s="21">
        <v>3.05</v>
      </c>
      <c r="G30" s="21">
        <v>1.45</v>
      </c>
      <c r="H30" s="21">
        <v>1.73</v>
      </c>
      <c r="I30" s="22">
        <v>2.31</v>
      </c>
      <c r="P30">
        <f>AVERAGE(F30:F33)</f>
        <v>2.95</v>
      </c>
      <c r="Q30">
        <f t="shared" ref="Q30:S30" si="38">AVERAGE(G30:G33)</f>
        <v>1.4974999999999998</v>
      </c>
      <c r="R30">
        <f t="shared" si="38"/>
        <v>1.73</v>
      </c>
      <c r="S30">
        <f t="shared" si="38"/>
        <v>2.3200000000000003</v>
      </c>
      <c r="T30">
        <f>_xlfn.STDEV.S(F30:F33)</f>
        <v>0.23930454794396752</v>
      </c>
      <c r="U30">
        <f t="shared" ref="U30:W30" si="39">_xlfn.STDEV.S(G30:G33)</f>
        <v>0.14268263150549662</v>
      </c>
      <c r="V30">
        <f t="shared" si="39"/>
        <v>6.3770421565696692E-2</v>
      </c>
      <c r="W30">
        <f t="shared" si="39"/>
        <v>0.24152294576982403</v>
      </c>
      <c r="X30">
        <f t="shared" si="19"/>
        <v>-27.071823204419886</v>
      </c>
      <c r="Y30">
        <f>AVERAGE(X30:X33)</f>
        <v>-26.756116811365427</v>
      </c>
      <c r="Z30">
        <f>_xlfn.STDEV.S(X30:X33)</f>
        <v>7.6250338048879014</v>
      </c>
      <c r="AA30">
        <f t="shared" si="20"/>
        <v>-18.590308370044049</v>
      </c>
      <c r="AB30">
        <f>AVERAGE(AA30:AA33)</f>
        <v>-18.237885462555063</v>
      </c>
      <c r="AC30">
        <f>_xlfn.STDEV.S(AA30:AA33)</f>
        <v>8.5118218773506236</v>
      </c>
      <c r="AE30">
        <f t="shared" si="2"/>
        <v>-0.73999999999999977</v>
      </c>
      <c r="AF30">
        <f t="shared" ref="AF30" si="40">AVERAGE(AE30:AE33)</f>
        <v>-0.63</v>
      </c>
      <c r="AG30">
        <f t="shared" ref="AG30" si="41">_xlfn.STDEV.S(AE30:AE33)</f>
        <v>7.7459666924147894E-2</v>
      </c>
      <c r="AH30">
        <f t="shared" si="21"/>
        <v>-1509.5238095238153</v>
      </c>
      <c r="AI30">
        <f t="shared" ref="AI30" si="42">AVERAGE(AH30:AH33)</f>
        <v>-1300.0000000000052</v>
      </c>
      <c r="AJ30">
        <f t="shared" ref="AJ30" si="43">_xlfn.STDEV.S(AH30:AH33)</f>
        <v>147.54222271266389</v>
      </c>
      <c r="AK30">
        <f t="shared" si="22"/>
        <v>604.7619047619047</v>
      </c>
      <c r="AL30">
        <f t="shared" ref="AL30" si="44">AVERAGE(AK30:AK33)</f>
        <v>500.00000000000011</v>
      </c>
      <c r="AM30">
        <f>_xlfn.STDEV.S(AK30:AK33)</f>
        <v>73.771111356331645</v>
      </c>
    </row>
    <row r="31" spans="1:39" x14ac:dyDescent="0.3">
      <c r="A31" s="77" t="s">
        <v>124</v>
      </c>
      <c r="B31" s="21" t="s">
        <v>22</v>
      </c>
      <c r="C31" s="21" t="s">
        <v>15</v>
      </c>
      <c r="D31" s="21" t="str">
        <f t="shared" si="14"/>
        <v>6ppdq+Carbhigh</v>
      </c>
      <c r="E31" s="21" t="s">
        <v>33</v>
      </c>
      <c r="F31" s="21">
        <v>3.18</v>
      </c>
      <c r="G31" s="21">
        <v>1.41</v>
      </c>
      <c r="H31" s="21">
        <v>1.69</v>
      </c>
      <c r="I31" s="22">
        <v>2.58</v>
      </c>
      <c r="X31">
        <f t="shared" si="19"/>
        <v>-18.547750591949487</v>
      </c>
      <c r="AA31">
        <f t="shared" si="20"/>
        <v>-9.0748898678414047</v>
      </c>
      <c r="AE31">
        <f t="shared" si="2"/>
        <v>-0.60000000000000009</v>
      </c>
      <c r="AH31">
        <f t="shared" si="21"/>
        <v>-1242.8571428571481</v>
      </c>
      <c r="AK31">
        <f t="shared" si="22"/>
        <v>471.42857142857162</v>
      </c>
    </row>
    <row r="32" spans="1:39" x14ac:dyDescent="0.3">
      <c r="A32" s="77" t="s">
        <v>124</v>
      </c>
      <c r="B32" s="21" t="s">
        <v>22</v>
      </c>
      <c r="C32" s="21" t="s">
        <v>15</v>
      </c>
      <c r="D32" s="21" t="str">
        <f t="shared" si="14"/>
        <v>6ppdq+Carbhigh</v>
      </c>
      <c r="E32" s="21" t="s">
        <v>34</v>
      </c>
      <c r="F32" s="21">
        <v>2.62</v>
      </c>
      <c r="G32" s="21">
        <v>1.42</v>
      </c>
      <c r="H32" s="21">
        <v>1.68</v>
      </c>
      <c r="I32" s="22">
        <v>2</v>
      </c>
      <c r="X32">
        <f t="shared" si="19"/>
        <v>-36.858721389108126</v>
      </c>
      <c r="AA32">
        <f t="shared" si="20"/>
        <v>-29.515418502202639</v>
      </c>
      <c r="AE32">
        <f t="shared" si="2"/>
        <v>-0.62000000000000011</v>
      </c>
      <c r="AH32">
        <f t="shared" si="21"/>
        <v>-1280.9523809523864</v>
      </c>
      <c r="AK32">
        <f t="shared" si="22"/>
        <v>490.47619047619071</v>
      </c>
    </row>
    <row r="33" spans="1:39" ht="15" thickBot="1" x14ac:dyDescent="0.35">
      <c r="A33" s="139" t="s">
        <v>124</v>
      </c>
      <c r="B33" s="79" t="s">
        <v>22</v>
      </c>
      <c r="C33" s="79" t="s">
        <v>15</v>
      </c>
      <c r="D33" s="79" t="str">
        <f t="shared" si="14"/>
        <v>6ppdq+Carbhigh</v>
      </c>
      <c r="E33" s="79" t="s">
        <v>35</v>
      </c>
      <c r="F33" s="79">
        <v>2.95</v>
      </c>
      <c r="G33" s="79">
        <v>1.71</v>
      </c>
      <c r="H33" s="79">
        <v>1.82</v>
      </c>
      <c r="I33" s="80">
        <v>2.39</v>
      </c>
      <c r="X33">
        <f t="shared" si="19"/>
        <v>-24.546172059984212</v>
      </c>
      <c r="AA33">
        <f t="shared" si="20"/>
        <v>-15.770925110132152</v>
      </c>
      <c r="AE33">
        <f t="shared" si="2"/>
        <v>-0.56000000000000005</v>
      </c>
      <c r="AH33">
        <f t="shared" si="21"/>
        <v>-1166.6666666666715</v>
      </c>
      <c r="AK33">
        <f t="shared" si="22"/>
        <v>433.33333333333348</v>
      </c>
    </row>
    <row r="34" spans="1:39" x14ac:dyDescent="0.3">
      <c r="A34" s="81" t="s">
        <v>125</v>
      </c>
      <c r="B34" s="24" t="s">
        <v>21</v>
      </c>
      <c r="C34" s="24" t="s">
        <v>15</v>
      </c>
      <c r="D34" s="24" t="str">
        <f t="shared" si="14"/>
        <v>6ppdq+Diclow</v>
      </c>
      <c r="E34" s="24" t="s">
        <v>32</v>
      </c>
      <c r="F34" s="24">
        <v>2.87</v>
      </c>
      <c r="G34" s="24">
        <v>1.41</v>
      </c>
      <c r="H34" s="24">
        <v>1.74</v>
      </c>
      <c r="I34" s="25">
        <v>1.82</v>
      </c>
      <c r="P34">
        <f>AVERAGE(F34:F37)</f>
        <v>2.94</v>
      </c>
      <c r="Q34">
        <f t="shared" ref="Q34:S34" si="45">AVERAGE(G34:G37)</f>
        <v>1.635</v>
      </c>
      <c r="R34">
        <f t="shared" si="45"/>
        <v>1.5875000000000001</v>
      </c>
      <c r="S34">
        <f t="shared" si="45"/>
        <v>2.125</v>
      </c>
      <c r="T34">
        <f>_xlfn.STDEV.S(F34:F37)</f>
        <v>7.8740078740118014E-2</v>
      </c>
      <c r="U34">
        <f t="shared" ref="U34:W34" si="46">_xlfn.STDEV.S(G34:G37)</f>
        <v>0.25488559525141125</v>
      </c>
      <c r="V34">
        <f t="shared" si="46"/>
        <v>0.15478479684172261</v>
      </c>
      <c r="W34">
        <f t="shared" si="46"/>
        <v>0.41323923660110951</v>
      </c>
      <c r="X34">
        <f t="shared" si="19"/>
        <v>-42.541436464088392</v>
      </c>
      <c r="Y34">
        <f>AVERAGE(X34:X37)</f>
        <v>-32.912391475927386</v>
      </c>
      <c r="Z34">
        <f>_xlfn.STDEV.S(X34:X37)</f>
        <v>13.046226885591418</v>
      </c>
      <c r="AA34">
        <f t="shared" si="20"/>
        <v>-35.859030837004404</v>
      </c>
      <c r="AB34">
        <f>AVERAGE(AA34:AA37)</f>
        <v>-25.110132158590304</v>
      </c>
      <c r="AC34">
        <f>_xlfn.STDEV.S(AA34:AA37)</f>
        <v>14.563497325149193</v>
      </c>
      <c r="AE34">
        <f t="shared" si="2"/>
        <v>-1.05</v>
      </c>
      <c r="AF34">
        <f t="shared" ref="AF34" si="47">AVERAGE(AE34:AE37)</f>
        <v>-0.81499999999999984</v>
      </c>
      <c r="AG34">
        <f t="shared" ref="AG34" si="48">_xlfn.STDEV.S(AE34:AE37)</f>
        <v>0.44873897386639683</v>
      </c>
      <c r="AH34">
        <f t="shared" si="21"/>
        <v>-2100.0000000000091</v>
      </c>
      <c r="AI34">
        <f t="shared" ref="AI34" si="49">AVERAGE(AH34:AH37)</f>
        <v>-1652.3809523809589</v>
      </c>
      <c r="AJ34">
        <f t="shared" ref="AJ34" si="50">_xlfn.STDEV.S(AH34:AH37)</f>
        <v>854.74090260266439</v>
      </c>
      <c r="AK34">
        <f t="shared" si="22"/>
        <v>900.00000000000023</v>
      </c>
      <c r="AL34">
        <f t="shared" ref="AL34" si="51">AVERAGE(AK34:AK37)</f>
        <v>676.19047619047615</v>
      </c>
      <c r="AM34">
        <f t="shared" ref="AM34" si="52">_xlfn.STDEV.S(AK34:AK37)</f>
        <v>427.37045130133049</v>
      </c>
    </row>
    <row r="35" spans="1:39" x14ac:dyDescent="0.3">
      <c r="A35" s="81" t="s">
        <v>125</v>
      </c>
      <c r="B35" s="24" t="s">
        <v>21</v>
      </c>
      <c r="C35" s="24" t="s">
        <v>15</v>
      </c>
      <c r="D35" s="24" t="str">
        <f t="shared" si="14"/>
        <v>6ppdq+Diclow</v>
      </c>
      <c r="E35" s="24" t="s">
        <v>33</v>
      </c>
      <c r="F35" s="24">
        <v>3.05</v>
      </c>
      <c r="G35" s="24">
        <v>1.43</v>
      </c>
      <c r="H35" s="24">
        <v>1.38</v>
      </c>
      <c r="I35" s="25">
        <v>1.8</v>
      </c>
      <c r="X35">
        <f t="shared" si="19"/>
        <v>-43.172849250197316</v>
      </c>
      <c r="AA35">
        <f t="shared" si="20"/>
        <v>-36.563876651982376</v>
      </c>
      <c r="AE35">
        <f t="shared" si="2"/>
        <v>-1.2499999999999998</v>
      </c>
      <c r="AH35">
        <f t="shared" si="21"/>
        <v>-2480.9523809523907</v>
      </c>
      <c r="AK35">
        <f t="shared" si="22"/>
        <v>1090.4761904761906</v>
      </c>
    </row>
    <row r="36" spans="1:39" x14ac:dyDescent="0.3">
      <c r="A36" s="81" t="s">
        <v>125</v>
      </c>
      <c r="B36" s="24" t="s">
        <v>21</v>
      </c>
      <c r="C36" s="24" t="s">
        <v>15</v>
      </c>
      <c r="D36" s="24" t="str">
        <f t="shared" si="14"/>
        <v>6ppdq+Diclow</v>
      </c>
      <c r="E36" s="24" t="s">
        <v>34</v>
      </c>
      <c r="F36" s="24">
        <v>2.94</v>
      </c>
      <c r="G36" s="24">
        <v>1.78</v>
      </c>
      <c r="H36" s="24">
        <v>1.57</v>
      </c>
      <c r="I36" s="25">
        <v>2.2000000000000002</v>
      </c>
      <c r="X36">
        <f t="shared" si="19"/>
        <v>-30.544593528018936</v>
      </c>
      <c r="AA36">
        <f t="shared" si="20"/>
        <v>-22.466960352422898</v>
      </c>
      <c r="AE36">
        <f t="shared" si="2"/>
        <v>-0.73999999999999977</v>
      </c>
      <c r="AH36">
        <f t="shared" si="21"/>
        <v>-1509.5238095238153</v>
      </c>
      <c r="AK36">
        <f t="shared" si="22"/>
        <v>604.7619047619047</v>
      </c>
    </row>
    <row r="37" spans="1:39" ht="15" thickBot="1" x14ac:dyDescent="0.35">
      <c r="A37" s="140" t="s">
        <v>125</v>
      </c>
      <c r="B37" s="83" t="s">
        <v>21</v>
      </c>
      <c r="C37" s="83" t="s">
        <v>15</v>
      </c>
      <c r="D37" s="83" t="str">
        <f t="shared" si="14"/>
        <v>6ppdq+Diclow</v>
      </c>
      <c r="E37" s="83" t="s">
        <v>35</v>
      </c>
      <c r="F37" s="83">
        <v>2.9</v>
      </c>
      <c r="G37" s="83">
        <v>1.92</v>
      </c>
      <c r="H37" s="83">
        <v>1.66</v>
      </c>
      <c r="I37" s="84">
        <v>2.68</v>
      </c>
      <c r="X37">
        <f t="shared" si="19"/>
        <v>-15.390686661404887</v>
      </c>
      <c r="AA37">
        <f t="shared" si="20"/>
        <v>-5.5506607929515335</v>
      </c>
      <c r="AE37">
        <f t="shared" si="2"/>
        <v>-0.21999999999999975</v>
      </c>
      <c r="AH37">
        <f t="shared" si="21"/>
        <v>-519.0476190476204</v>
      </c>
      <c r="AK37">
        <f t="shared" si="22"/>
        <v>109.52380952380932</v>
      </c>
    </row>
    <row r="38" spans="1:39" x14ac:dyDescent="0.3">
      <c r="A38" s="85" t="s">
        <v>125</v>
      </c>
      <c r="B38" s="27" t="s">
        <v>22</v>
      </c>
      <c r="C38" s="27" t="s">
        <v>15</v>
      </c>
      <c r="D38" s="27" t="str">
        <f t="shared" si="14"/>
        <v>6ppdq+Dichigh</v>
      </c>
      <c r="E38" s="27" t="s">
        <v>32</v>
      </c>
      <c r="F38" s="27">
        <v>3.23</v>
      </c>
      <c r="G38" s="27">
        <v>1.74</v>
      </c>
      <c r="H38" s="27">
        <v>1.84</v>
      </c>
      <c r="I38" s="28">
        <v>2.15</v>
      </c>
      <c r="P38">
        <f>AVERAGE(F38:F41)</f>
        <v>2.88</v>
      </c>
      <c r="Q38">
        <f t="shared" ref="Q38:S38" si="53">AVERAGE(G38:G41)</f>
        <v>1.7524999999999999</v>
      </c>
      <c r="R38">
        <f t="shared" si="53"/>
        <v>1.8174999999999999</v>
      </c>
      <c r="S38">
        <f t="shared" si="53"/>
        <v>2.39</v>
      </c>
      <c r="T38">
        <f>_xlfn.STDEV.S(F38:F41)</f>
        <v>0.24644133852366021</v>
      </c>
      <c r="U38">
        <f t="shared" ref="U38:W38" si="54">_xlfn.STDEV.S(G38:G41)</f>
        <v>5.6199051000291274E-2</v>
      </c>
      <c r="V38">
        <f t="shared" si="54"/>
        <v>3.862210075418826E-2</v>
      </c>
      <c r="W38">
        <f t="shared" si="54"/>
        <v>0.37532208390483285</v>
      </c>
      <c r="X38">
        <f t="shared" si="19"/>
        <v>-32.123125493291241</v>
      </c>
      <c r="Y38">
        <f>AVERAGE(X38:X41)</f>
        <v>-24.546172059984215</v>
      </c>
      <c r="Z38">
        <f>_xlfn.STDEV.S(X38:X41)</f>
        <v>11.84915813432781</v>
      </c>
      <c r="AA38">
        <f t="shared" si="20"/>
        <v>-24.229074889867842</v>
      </c>
      <c r="AB38">
        <f>AVERAGE(AA38:AA41)</f>
        <v>-15.770925110132159</v>
      </c>
      <c r="AC38">
        <f>_xlfn.STDEV.S(AA38:AA41)</f>
        <v>13.22721000545668</v>
      </c>
      <c r="AE38">
        <f t="shared" si="2"/>
        <v>-1.08</v>
      </c>
      <c r="AF38">
        <f t="shared" ref="AF38" si="55">AVERAGE(AE38:AE41)</f>
        <v>-0.49000000000000021</v>
      </c>
      <c r="AG38">
        <f>_xlfn.STDEV.S(AE38:AE41)</f>
        <v>0.47222875812470366</v>
      </c>
      <c r="AH38">
        <f t="shared" si="21"/>
        <v>-2157.142857142866</v>
      </c>
      <c r="AI38">
        <f t="shared" ref="AI38" si="56">AVERAGE(AH38:AH41)</f>
        <v>-1033.3333333333378</v>
      </c>
      <c r="AJ38">
        <f t="shared" ref="AJ38" si="57">_xlfn.STDEV.S(AH38:AH41)</f>
        <v>899.48334880896334</v>
      </c>
      <c r="AK38">
        <f t="shared" si="22"/>
        <v>928.57142857142878</v>
      </c>
      <c r="AL38">
        <f t="shared" ref="AL38" si="58">AVERAGE(AK38:AK41)</f>
        <v>366.66666666666691</v>
      </c>
      <c r="AM38">
        <f t="shared" ref="AM38" si="59">_xlfn.STDEV.S(AK38:AK41)</f>
        <v>449.74167440447985</v>
      </c>
    </row>
    <row r="39" spans="1:39" x14ac:dyDescent="0.3">
      <c r="A39" s="85" t="s">
        <v>125</v>
      </c>
      <c r="B39" s="27" t="s">
        <v>22</v>
      </c>
      <c r="C39" s="27" t="s">
        <v>15</v>
      </c>
      <c r="D39" s="27" t="str">
        <f t="shared" si="14"/>
        <v>6ppdq+Dichigh</v>
      </c>
      <c r="E39" s="27" t="s">
        <v>33</v>
      </c>
      <c r="F39" s="27">
        <v>2.68</v>
      </c>
      <c r="G39" s="27">
        <v>1.68</v>
      </c>
      <c r="H39" s="27">
        <v>1.83</v>
      </c>
      <c r="I39" s="28">
        <v>2.0699999999999998</v>
      </c>
      <c r="X39">
        <f t="shared" si="19"/>
        <v>-34.648776637726918</v>
      </c>
      <c r="AA39">
        <f t="shared" si="20"/>
        <v>-27.048458149779741</v>
      </c>
      <c r="AE39">
        <f t="shared" si="2"/>
        <v>-0.61000000000000032</v>
      </c>
      <c r="AH39">
        <f t="shared" si="21"/>
        <v>-1261.9047619047676</v>
      </c>
      <c r="AK39">
        <f t="shared" si="22"/>
        <v>480.95238095238136</v>
      </c>
    </row>
    <row r="40" spans="1:39" x14ac:dyDescent="0.3">
      <c r="A40" s="85" t="s">
        <v>125</v>
      </c>
      <c r="B40" s="27" t="s">
        <v>22</v>
      </c>
      <c r="C40" s="27" t="s">
        <v>15</v>
      </c>
      <c r="D40" s="27" t="str">
        <f t="shared" si="14"/>
        <v>6ppdq+Dichigh</v>
      </c>
      <c r="E40" s="27" t="s">
        <v>34</v>
      </c>
      <c r="F40" s="27">
        <v>2.74</v>
      </c>
      <c r="G40" s="27">
        <v>1.78</v>
      </c>
      <c r="H40" s="27">
        <v>1.84</v>
      </c>
      <c r="I40" s="28">
        <v>2.44</v>
      </c>
      <c r="X40">
        <f t="shared" si="19"/>
        <v>-22.967640094711918</v>
      </c>
      <c r="AA40">
        <f t="shared" si="20"/>
        <v>-14.008810572687224</v>
      </c>
      <c r="AE40">
        <f t="shared" si="2"/>
        <v>-0.30000000000000027</v>
      </c>
      <c r="AH40">
        <f t="shared" si="21"/>
        <v>-671.42857142857451</v>
      </c>
      <c r="AK40">
        <f t="shared" si="22"/>
        <v>185.71428571428601</v>
      </c>
    </row>
    <row r="41" spans="1:39" ht="15" thickBot="1" x14ac:dyDescent="0.35">
      <c r="A41" s="141" t="s">
        <v>125</v>
      </c>
      <c r="B41" s="87" t="s">
        <v>22</v>
      </c>
      <c r="C41" s="87" t="s">
        <v>15</v>
      </c>
      <c r="D41" s="87" t="str">
        <f t="shared" si="14"/>
        <v>6ppdq+Dichigh</v>
      </c>
      <c r="E41" s="87" t="s">
        <v>35</v>
      </c>
      <c r="F41" s="87">
        <v>2.87</v>
      </c>
      <c r="G41" s="87">
        <v>1.81</v>
      </c>
      <c r="H41" s="87">
        <v>1.76</v>
      </c>
      <c r="I41" s="88">
        <v>2.9</v>
      </c>
      <c r="X41">
        <f t="shared" si="19"/>
        <v>-8.4451460142067898</v>
      </c>
      <c r="AA41">
        <f t="shared" si="20"/>
        <v>2.2026431718061676</v>
      </c>
      <c r="AE41">
        <f t="shared" si="2"/>
        <v>2.9999999999999805E-2</v>
      </c>
      <c r="AH41">
        <f t="shared" si="21"/>
        <v>-42.857142857142975</v>
      </c>
      <c r="AK41">
        <f t="shared" si="22"/>
        <v>-128.57142857142838</v>
      </c>
    </row>
    <row r="42" spans="1:39" x14ac:dyDescent="0.3">
      <c r="A42" s="89" t="s">
        <v>126</v>
      </c>
      <c r="B42" s="30" t="s">
        <v>21</v>
      </c>
      <c r="C42" s="30" t="s">
        <v>15</v>
      </c>
      <c r="D42" s="30" t="str">
        <f t="shared" si="14"/>
        <v>6ppdq+PFOSlow</v>
      </c>
      <c r="E42" s="30" t="s">
        <v>32</v>
      </c>
      <c r="F42" s="30">
        <v>3.33</v>
      </c>
      <c r="G42" s="30">
        <v>1.86</v>
      </c>
      <c r="H42" s="30">
        <v>1.76</v>
      </c>
      <c r="I42" s="31">
        <v>2.14</v>
      </c>
      <c r="P42">
        <f>AVERAGE(F42:F45)</f>
        <v>3.085</v>
      </c>
      <c r="Q42">
        <f t="shared" ref="Q42:S42" si="60">AVERAGE(G42:G45)</f>
        <v>2.0299999999999998</v>
      </c>
      <c r="R42">
        <f t="shared" si="60"/>
        <v>1.7225000000000001</v>
      </c>
      <c r="S42">
        <f t="shared" si="60"/>
        <v>2.3875000000000002</v>
      </c>
      <c r="T42">
        <f>_xlfn.STDEV.S(F42:F45)</f>
        <v>0.20207259421636911</v>
      </c>
      <c r="U42">
        <f t="shared" ref="U42:W42" si="61">_xlfn.STDEV.S(G42:G45)</f>
        <v>0.14899664425751338</v>
      </c>
      <c r="V42">
        <f t="shared" si="61"/>
        <v>0.11086778913041728</v>
      </c>
      <c r="W42">
        <f t="shared" si="61"/>
        <v>0.2475715384826509</v>
      </c>
      <c r="X42">
        <f t="shared" si="19"/>
        <v>-32.438831886345696</v>
      </c>
      <c r="Y42">
        <f>AVERAGE(X42:X45)</f>
        <v>-24.625098658247829</v>
      </c>
      <c r="Z42">
        <f>_xlfn.STDEV.S(X42:X45)</f>
        <v>7.8159917437300903</v>
      </c>
      <c r="AA42">
        <f t="shared" si="20"/>
        <v>-24.581497797356821</v>
      </c>
      <c r="AB42">
        <f>AVERAGE(AA42:AA45)</f>
        <v>-15.859030837004401</v>
      </c>
      <c r="AC42">
        <f>_xlfn.STDEV.S(AA42:AA45)</f>
        <v>8.7249881403577394</v>
      </c>
      <c r="AE42">
        <f t="shared" si="2"/>
        <v>-1.19</v>
      </c>
      <c r="AF42">
        <f t="shared" ref="AF42" si="62">AVERAGE(AE42:AE45)</f>
        <v>-0.6974999999999999</v>
      </c>
      <c r="AG42">
        <f t="shared" ref="AG42" si="63">_xlfn.STDEV.S(AE42:AE45)</f>
        <v>0.44025560757360049</v>
      </c>
      <c r="AH42">
        <f t="shared" si="21"/>
        <v>-2366.6666666666765</v>
      </c>
      <c r="AI42">
        <f t="shared" ref="AI42" si="64">AVERAGE(AH42:AH45)</f>
        <v>-1428.5714285714344</v>
      </c>
      <c r="AJ42">
        <f t="shared" ref="AJ42" si="65">_xlfn.STDEV.S(AH42:AH45)</f>
        <v>838.58210966400418</v>
      </c>
      <c r="AK42">
        <f t="shared" si="22"/>
        <v>1033.3333333333335</v>
      </c>
      <c r="AL42">
        <f t="shared" ref="AL42" si="66">AVERAGE(AK42:AK45)</f>
        <v>564.28571428571422</v>
      </c>
      <c r="AM42">
        <f t="shared" ref="AM42" si="67">_xlfn.STDEV.S(AK42:AK45)</f>
        <v>419.29105483200061</v>
      </c>
    </row>
    <row r="43" spans="1:39" x14ac:dyDescent="0.3">
      <c r="A43" s="89" t="s">
        <v>126</v>
      </c>
      <c r="B43" s="30" t="s">
        <v>21</v>
      </c>
      <c r="C43" s="30" t="s">
        <v>15</v>
      </c>
      <c r="D43" s="30" t="str">
        <f t="shared" si="14"/>
        <v>6ppdq+PFOSlow</v>
      </c>
      <c r="E43" s="30" t="s">
        <v>33</v>
      </c>
      <c r="F43" s="30">
        <v>3.12</v>
      </c>
      <c r="G43" s="30">
        <v>2.16</v>
      </c>
      <c r="H43" s="30">
        <v>1.61</v>
      </c>
      <c r="I43" s="31">
        <v>2.41</v>
      </c>
      <c r="X43">
        <f t="shared" si="19"/>
        <v>-23.914759273875291</v>
      </c>
      <c r="AA43">
        <f t="shared" si="20"/>
        <v>-15.066079295154179</v>
      </c>
      <c r="AE43">
        <f t="shared" si="2"/>
        <v>-0.71</v>
      </c>
      <c r="AH43">
        <f t="shared" si="21"/>
        <v>-1452.3809523809582</v>
      </c>
      <c r="AK43">
        <f t="shared" si="22"/>
        <v>576.19047619047626</v>
      </c>
    </row>
    <row r="44" spans="1:39" x14ac:dyDescent="0.3">
      <c r="A44" s="89" t="s">
        <v>126</v>
      </c>
      <c r="B44" s="30" t="s">
        <v>21</v>
      </c>
      <c r="C44" s="30" t="s">
        <v>15</v>
      </c>
      <c r="D44" s="30" t="str">
        <f t="shared" si="14"/>
        <v>6ppdq+PFOSlow</v>
      </c>
      <c r="E44" s="30" t="s">
        <v>34</v>
      </c>
      <c r="F44" s="30">
        <v>2.84</v>
      </c>
      <c r="G44" s="30">
        <v>2.15</v>
      </c>
      <c r="H44" s="30">
        <v>1.86</v>
      </c>
      <c r="I44" s="31">
        <v>2.72</v>
      </c>
      <c r="X44">
        <f t="shared" si="19"/>
        <v>-14.12786108918705</v>
      </c>
      <c r="AA44">
        <f t="shared" si="20"/>
        <v>-4.1409691629955852</v>
      </c>
      <c r="AE44">
        <f t="shared" si="2"/>
        <v>-0.11999999999999966</v>
      </c>
      <c r="AH44">
        <f t="shared" si="21"/>
        <v>-328.5714285714289</v>
      </c>
      <c r="AK44">
        <f t="shared" si="22"/>
        <v>14.285714285713983</v>
      </c>
    </row>
    <row r="45" spans="1:39" ht="15" thickBot="1" x14ac:dyDescent="0.35">
      <c r="A45" s="142" t="s">
        <v>126</v>
      </c>
      <c r="B45" s="91" t="s">
        <v>21</v>
      </c>
      <c r="C45" s="91" t="s">
        <v>15</v>
      </c>
      <c r="D45" s="91" t="str">
        <f t="shared" si="14"/>
        <v>6ppdq+PFOSlow</v>
      </c>
      <c r="E45" s="91" t="s">
        <v>35</v>
      </c>
      <c r="F45" s="91">
        <v>3.05</v>
      </c>
      <c r="G45" s="91">
        <v>1.95</v>
      </c>
      <c r="H45" s="91">
        <v>1.66</v>
      </c>
      <c r="I45" s="92">
        <v>2.2799999999999998</v>
      </c>
      <c r="X45">
        <f t="shared" si="19"/>
        <v>-28.018942383583273</v>
      </c>
      <c r="AA45">
        <f t="shared" si="20"/>
        <v>-19.647577092511018</v>
      </c>
      <c r="AE45">
        <f t="shared" si="2"/>
        <v>-0.77</v>
      </c>
      <c r="AH45">
        <f t="shared" si="21"/>
        <v>-1566.6666666666731</v>
      </c>
      <c r="AK45">
        <f t="shared" si="22"/>
        <v>633.33333333333348</v>
      </c>
    </row>
    <row r="46" spans="1:39" x14ac:dyDescent="0.3">
      <c r="A46" s="93" t="s">
        <v>126</v>
      </c>
      <c r="B46" s="94" t="s">
        <v>22</v>
      </c>
      <c r="C46" s="94" t="s">
        <v>15</v>
      </c>
      <c r="D46" s="94" t="str">
        <f t="shared" si="14"/>
        <v>6ppdq+PFOShigh</v>
      </c>
      <c r="E46" s="94" t="s">
        <v>32</v>
      </c>
      <c r="F46" s="94">
        <v>2.87</v>
      </c>
      <c r="G46" s="94">
        <v>1.74</v>
      </c>
      <c r="H46" s="94">
        <v>1.57</v>
      </c>
      <c r="I46" s="95">
        <v>1.85</v>
      </c>
      <c r="P46">
        <f>AVERAGE(F46:F49)</f>
        <v>3.0050000000000003</v>
      </c>
      <c r="Q46">
        <f t="shared" ref="Q46:S46" si="68">AVERAGE(G46:G49)</f>
        <v>1.9424999999999999</v>
      </c>
      <c r="R46">
        <f t="shared" si="68"/>
        <v>1.6274999999999999</v>
      </c>
      <c r="S46">
        <f t="shared" si="68"/>
        <v>1.98</v>
      </c>
      <c r="T46">
        <f>_xlfn.STDEV.S(F46:F49)</f>
        <v>0.10630145812734636</v>
      </c>
      <c r="U46">
        <f t="shared" ref="U46:W46" si="69">_xlfn.STDEV.S(G46:G49)</f>
        <v>0.14361406616345063</v>
      </c>
      <c r="V46">
        <f t="shared" si="69"/>
        <v>0.17632829230349462</v>
      </c>
      <c r="W46">
        <f t="shared" si="69"/>
        <v>0.3219730837611533</v>
      </c>
      <c r="X46">
        <f t="shared" si="19"/>
        <v>-41.594317284925012</v>
      </c>
      <c r="Y46">
        <f>AVERAGE(X46:X49)</f>
        <v>-37.490134175217051</v>
      </c>
      <c r="Z46">
        <f>_xlfn.STDEV.S(X46:X49)</f>
        <v>10.164896093485478</v>
      </c>
      <c r="AA46">
        <f t="shared" si="20"/>
        <v>-34.801762114537439</v>
      </c>
      <c r="AB46">
        <f>AVERAGE(AA46:AA49)</f>
        <v>-30.220264317180614</v>
      </c>
      <c r="AC46">
        <f>_xlfn.STDEV.S(AA46:AA49)</f>
        <v>11.347069031230079</v>
      </c>
      <c r="AE46">
        <f t="shared" si="2"/>
        <v>-1.02</v>
      </c>
      <c r="AF46">
        <f t="shared" ref="AF46" si="70">AVERAGE(AE46:AE49)</f>
        <v>-1.0249999999999999</v>
      </c>
      <c r="AG46">
        <f t="shared" ref="AG46" si="71">_xlfn.STDEV.S(AE46:AE49)</f>
        <v>0.36646964403617382</v>
      </c>
      <c r="AH46">
        <f t="shared" si="21"/>
        <v>-2042.8571428571515</v>
      </c>
      <c r="AI46">
        <f t="shared" ref="AI46" si="72">AVERAGE(AH46:AH49)</f>
        <v>-2052.3809523809605</v>
      </c>
      <c r="AJ46">
        <f t="shared" ref="AJ46" si="73">_xlfn.STDEV.S(AH46:AH49)</f>
        <v>698.03741721176345</v>
      </c>
      <c r="AK46">
        <f t="shared" si="22"/>
        <v>871.42857142857156</v>
      </c>
      <c r="AL46">
        <f t="shared" ref="AL46" si="74">AVERAGE(AK46:AK49)</f>
        <v>876.19047619047637</v>
      </c>
      <c r="AM46">
        <f t="shared" ref="AM46" si="75">_xlfn.STDEV.S(AK46:AK49)</f>
        <v>349.01870860587974</v>
      </c>
    </row>
    <row r="47" spans="1:39" x14ac:dyDescent="0.3">
      <c r="A47" s="93" t="s">
        <v>126</v>
      </c>
      <c r="B47" s="94" t="s">
        <v>22</v>
      </c>
      <c r="C47" s="94" t="s">
        <v>15</v>
      </c>
      <c r="D47" s="94" t="str">
        <f t="shared" si="14"/>
        <v>6ppdq+PFOShigh</v>
      </c>
      <c r="E47" s="94" t="s">
        <v>33</v>
      </c>
      <c r="F47" s="94">
        <v>3.09</v>
      </c>
      <c r="G47" s="94">
        <v>1.95</v>
      </c>
      <c r="H47" s="94">
        <v>1.47</v>
      </c>
      <c r="I47" s="95">
        <v>1.77</v>
      </c>
      <c r="X47">
        <f t="shared" si="19"/>
        <v>-44.119968429360696</v>
      </c>
      <c r="AA47">
        <f t="shared" si="20"/>
        <v>-37.621145374449341</v>
      </c>
      <c r="AE47">
        <f t="shared" si="2"/>
        <v>-1.3199999999999998</v>
      </c>
      <c r="AH47">
        <f t="shared" si="21"/>
        <v>-2614.2857142857247</v>
      </c>
      <c r="AK47">
        <f t="shared" si="22"/>
        <v>1157.1428571428571</v>
      </c>
    </row>
    <row r="48" spans="1:39" x14ac:dyDescent="0.3">
      <c r="A48" s="93" t="s">
        <v>126</v>
      </c>
      <c r="B48" s="94" t="s">
        <v>22</v>
      </c>
      <c r="C48" s="94" t="s">
        <v>15</v>
      </c>
      <c r="D48" s="94" t="str">
        <f t="shared" si="14"/>
        <v>6ppdq+PFOShigh</v>
      </c>
      <c r="E48" s="94" t="s">
        <v>34</v>
      </c>
      <c r="F48" s="94">
        <v>3.09</v>
      </c>
      <c r="G48" s="94">
        <v>2.0699999999999998</v>
      </c>
      <c r="H48" s="94">
        <v>1.88</v>
      </c>
      <c r="I48" s="95">
        <v>1.84</v>
      </c>
      <c r="X48">
        <f t="shared" si="19"/>
        <v>-41.910023677979474</v>
      </c>
      <c r="AA48">
        <f t="shared" si="20"/>
        <v>-35.154185022026432</v>
      </c>
      <c r="AE48">
        <f t="shared" si="2"/>
        <v>-1.2499999999999998</v>
      </c>
      <c r="AH48">
        <f t="shared" si="21"/>
        <v>-2480.9523809523907</v>
      </c>
      <c r="AK48">
        <f t="shared" si="22"/>
        <v>1090.4761904761906</v>
      </c>
    </row>
    <row r="49" spans="1:39" ht="15" thickBot="1" x14ac:dyDescent="0.35">
      <c r="A49" s="143" t="s">
        <v>126</v>
      </c>
      <c r="B49" s="33" t="s">
        <v>22</v>
      </c>
      <c r="C49" s="33" t="s">
        <v>15</v>
      </c>
      <c r="D49" s="33" t="str">
        <f t="shared" si="14"/>
        <v>6ppdq+PFOShigh</v>
      </c>
      <c r="E49" s="33" t="s">
        <v>35</v>
      </c>
      <c r="F49" s="33">
        <v>2.97</v>
      </c>
      <c r="G49" s="33">
        <v>2.0099999999999998</v>
      </c>
      <c r="H49" s="33">
        <v>1.59</v>
      </c>
      <c r="I49" s="34">
        <v>2.46</v>
      </c>
      <c r="X49">
        <f t="shared" si="19"/>
        <v>-22.336227308603</v>
      </c>
      <c r="AA49">
        <f t="shared" si="20"/>
        <v>-13.303964757709249</v>
      </c>
      <c r="AE49">
        <f t="shared" si="2"/>
        <v>-0.51000000000000023</v>
      </c>
      <c r="AH49">
        <f t="shared" si="21"/>
        <v>-1071.4285714285761</v>
      </c>
      <c r="AK49">
        <f t="shared" si="22"/>
        <v>385.71428571428601</v>
      </c>
    </row>
    <row r="50" spans="1:39" x14ac:dyDescent="0.3">
      <c r="A50" s="97" t="s">
        <v>123</v>
      </c>
      <c r="B50" s="98" t="s">
        <v>21</v>
      </c>
      <c r="C50" s="98" t="s">
        <v>19</v>
      </c>
      <c r="D50" s="98" t="str">
        <f>A50&amp;B50&amp;C50</f>
        <v>6ppdqlownutrients</v>
      </c>
      <c r="E50" s="98" t="s">
        <v>32</v>
      </c>
      <c r="F50" s="98">
        <v>2.75</v>
      </c>
      <c r="G50" s="98">
        <v>1.76</v>
      </c>
      <c r="H50" s="98">
        <v>3</v>
      </c>
      <c r="I50" s="99">
        <v>4.54</v>
      </c>
      <c r="P50">
        <f>AVERAGE(F50:F53)</f>
        <v>2.8374999999999999</v>
      </c>
      <c r="Q50">
        <f t="shared" ref="Q50:S50" si="76">AVERAGE(G50:G53)</f>
        <v>2.0274999999999999</v>
      </c>
      <c r="R50">
        <f t="shared" si="76"/>
        <v>3.3174999999999999</v>
      </c>
      <c r="S50">
        <f t="shared" si="76"/>
        <v>5.1224999999999996</v>
      </c>
      <c r="T50">
        <f>_xlfn.STDEV.S(F50:F53)</f>
        <v>6.0759087111860635E-2</v>
      </c>
      <c r="U50">
        <f t="shared" ref="U50:W50" si="77">_xlfn.STDEV.S(G50:G53)</f>
        <v>0.19889276842895359</v>
      </c>
      <c r="V50">
        <f t="shared" si="77"/>
        <v>0.47563115961845842</v>
      </c>
      <c r="W50">
        <f t="shared" si="77"/>
        <v>0.8915295844782708</v>
      </c>
      <c r="X50">
        <f>((I50-$S$14)/$S$14)*100</f>
        <v>0.6094182825484733</v>
      </c>
      <c r="Y50">
        <f>AVERAGE(X50:X53)</f>
        <v>13.518005540166195</v>
      </c>
      <c r="Z50">
        <f>_xlfn.STDEV.S(X50:X53)</f>
        <v>19.756888298687461</v>
      </c>
      <c r="AA50">
        <f>((I50-$S$10)/$S$10)*100</f>
        <v>-37.872049264454326</v>
      </c>
      <c r="AB50">
        <f>AVERAGE(AA50:AA53)</f>
        <v>-29.900786862812179</v>
      </c>
      <c r="AC50">
        <f>_xlfn.STDEV.S(AA50:AA53)</f>
        <v>12.200199582323254</v>
      </c>
      <c r="AE50">
        <f t="shared" si="2"/>
        <v>1.79</v>
      </c>
      <c r="AF50">
        <f t="shared" ref="AF50" si="78">AVERAGE(AE50:AE53)</f>
        <v>2.2850000000000001</v>
      </c>
      <c r="AG50">
        <f t="shared" ref="AG50" si="79">_xlfn.STDEV.S(AE50:AE53)</f>
        <v>0.85332682289182982</v>
      </c>
      <c r="AH50">
        <f>((AE50-AF14)/$AF$14)*100</f>
        <v>3.170028818443813</v>
      </c>
      <c r="AI50">
        <f t="shared" ref="AI50" si="80">AVERAGE(AH50:AH53)</f>
        <v>106.70028818443805</v>
      </c>
      <c r="AJ50">
        <f t="shared" ref="AJ50" si="81">_xlfn.STDEV.S(AH50:AH53)</f>
        <v>82.58931426949151</v>
      </c>
      <c r="AK50">
        <f>((AE50-$AF$10)/$AF$10)*100</f>
        <v>-59.109080525414051</v>
      </c>
      <c r="AL50">
        <f t="shared" ref="AL50" si="82">AVERAGE(AK50:AK53)</f>
        <v>-47.80125642490006</v>
      </c>
      <c r="AM50">
        <f t="shared" ref="AM50" si="83">_xlfn.STDEV.S(AK50:AK53)</f>
        <v>19.493473966689468</v>
      </c>
    </row>
    <row r="51" spans="1:39" x14ac:dyDescent="0.3">
      <c r="A51" s="97" t="s">
        <v>123</v>
      </c>
      <c r="B51" s="98" t="s">
        <v>21</v>
      </c>
      <c r="C51" s="98" t="s">
        <v>19</v>
      </c>
      <c r="D51" s="98" t="str">
        <f t="shared" ref="D51:D81" si="84">A51&amp;B51&amp;C51</f>
        <v>6ppdqlownutrients</v>
      </c>
      <c r="E51" s="98" t="s">
        <v>33</v>
      </c>
      <c r="F51" s="98">
        <v>2.86</v>
      </c>
      <c r="G51" s="98">
        <v>2.04</v>
      </c>
      <c r="H51" s="98">
        <v>3.63</v>
      </c>
      <c r="I51" s="99">
        <v>5.46</v>
      </c>
      <c r="X51">
        <f t="shared" ref="X51:X81" si="85">((I51-$S$14)/$S$14)*100</f>
        <v>20.997229916897499</v>
      </c>
      <c r="AA51">
        <f t="shared" ref="AA51:AA81" si="86">((I51-$S$10)/$S$10)*100</f>
        <v>-25.282244269586041</v>
      </c>
      <c r="AE51">
        <f t="shared" si="2"/>
        <v>2.6</v>
      </c>
      <c r="AH51">
        <f t="shared" ref="AH51:AH81" si="87">((AE51-AF15)/$AF$14)*100</f>
        <v>149.85590778097983</v>
      </c>
      <c r="AK51">
        <f t="shared" ref="AK51:AK81" si="88">((AE51-$AF$10)/$AF$10)*100</f>
        <v>-40.605368360936602</v>
      </c>
    </row>
    <row r="52" spans="1:39" x14ac:dyDescent="0.3">
      <c r="A52" s="97" t="s">
        <v>123</v>
      </c>
      <c r="B52" s="98" t="s">
        <v>21</v>
      </c>
      <c r="C52" s="98" t="s">
        <v>19</v>
      </c>
      <c r="D52" s="98" t="str">
        <f t="shared" si="84"/>
        <v>6ppdqlownutrients</v>
      </c>
      <c r="E52" s="98" t="s">
        <v>34</v>
      </c>
      <c r="F52" s="98">
        <v>2.89</v>
      </c>
      <c r="G52" s="98">
        <v>2.2400000000000002</v>
      </c>
      <c r="H52" s="98">
        <v>3.81</v>
      </c>
      <c r="I52" s="99">
        <v>6.22</v>
      </c>
      <c r="X52">
        <f t="shared" si="85"/>
        <v>37.839335180055386</v>
      </c>
      <c r="AA52">
        <f t="shared" si="86"/>
        <v>-14.881970578173116</v>
      </c>
      <c r="AE52">
        <f t="shared" si="2"/>
        <v>3.3299999999999996</v>
      </c>
      <c r="AH52">
        <f t="shared" si="87"/>
        <v>191.9308357348703</v>
      </c>
      <c r="AK52">
        <f t="shared" si="88"/>
        <v>-23.929183323814961</v>
      </c>
    </row>
    <row r="53" spans="1:39" ht="15" thickBot="1" x14ac:dyDescent="0.35">
      <c r="A53" s="144" t="s">
        <v>123</v>
      </c>
      <c r="B53" s="101" t="s">
        <v>21</v>
      </c>
      <c r="C53" s="101" t="s">
        <v>19</v>
      </c>
      <c r="D53" s="101" t="str">
        <f t="shared" si="84"/>
        <v>6ppdqlownutrients</v>
      </c>
      <c r="E53" s="101" t="s">
        <v>35</v>
      </c>
      <c r="F53" s="101">
        <v>2.85</v>
      </c>
      <c r="G53" s="101">
        <v>2.0699999999999998</v>
      </c>
      <c r="H53" s="101">
        <v>2.83</v>
      </c>
      <c r="I53" s="102">
        <v>4.2699999999999996</v>
      </c>
      <c r="X53">
        <f t="shared" si="85"/>
        <v>-5.3739612188365777</v>
      </c>
      <c r="AA53">
        <f t="shared" si="86"/>
        <v>-41.566883339035243</v>
      </c>
      <c r="AE53">
        <f t="shared" si="2"/>
        <v>1.4199999999999995</v>
      </c>
      <c r="AH53">
        <f t="shared" si="87"/>
        <v>81.844380403458189</v>
      </c>
      <c r="AK53">
        <f t="shared" si="88"/>
        <v>-67.561393489434622</v>
      </c>
    </row>
    <row r="54" spans="1:39" x14ac:dyDescent="0.3">
      <c r="A54" s="103" t="s">
        <v>123</v>
      </c>
      <c r="B54" s="39" t="s">
        <v>22</v>
      </c>
      <c r="C54" s="39" t="s">
        <v>19</v>
      </c>
      <c r="D54" s="39" t="str">
        <f t="shared" si="84"/>
        <v>6ppdqhighnutrients</v>
      </c>
      <c r="E54" s="39" t="s">
        <v>32</v>
      </c>
      <c r="F54" s="39">
        <v>2.88</v>
      </c>
      <c r="G54" s="39">
        <v>1.36</v>
      </c>
      <c r="H54" s="39">
        <v>1.75</v>
      </c>
      <c r="I54" s="40">
        <v>4.2699999999999996</v>
      </c>
      <c r="P54">
        <f>AVERAGE(F54:F57)</f>
        <v>2.87</v>
      </c>
      <c r="Q54">
        <f t="shared" ref="Q54:S54" si="89">AVERAGE(G54:G57)</f>
        <v>1.4325000000000001</v>
      </c>
      <c r="R54">
        <f t="shared" si="89"/>
        <v>2.2774999999999999</v>
      </c>
      <c r="S54">
        <f t="shared" si="89"/>
        <v>6.3125</v>
      </c>
      <c r="T54">
        <f>_xlfn.STDEV.S(F54:F57)</f>
        <v>5.3541261347363499E-2</v>
      </c>
      <c r="U54">
        <f t="shared" ref="U54:W54" si="90">_xlfn.STDEV.S(G54:G57)</f>
        <v>0.1241974234837422</v>
      </c>
      <c r="V54">
        <f t="shared" si="90"/>
        <v>0.41347107919821152</v>
      </c>
      <c r="W54">
        <f t="shared" si="90"/>
        <v>2.2352087896510544</v>
      </c>
      <c r="X54">
        <f t="shared" si="85"/>
        <v>-5.3739612188365777</v>
      </c>
      <c r="Y54">
        <f>AVERAGE(X54:X57)</f>
        <v>39.889196675900266</v>
      </c>
      <c r="Z54">
        <f>_xlfn.STDEV.S(X54:X57)</f>
        <v>49.533712790051084</v>
      </c>
      <c r="AA54">
        <f t="shared" si="86"/>
        <v>-41.566883339035243</v>
      </c>
      <c r="AB54">
        <f>AVERAGE(AA54:AA57)</f>
        <v>-13.616147793362984</v>
      </c>
      <c r="AC54">
        <f>_xlfn.STDEV.S(AA54:AA57)</f>
        <v>30.58787259187212</v>
      </c>
      <c r="AE54">
        <f t="shared" si="2"/>
        <v>1.3899999999999997</v>
      </c>
      <c r="AF54">
        <f t="shared" ref="AF54" si="91">AVERAGE(AE54:AE57)</f>
        <v>3.4424999999999999</v>
      </c>
      <c r="AG54">
        <f t="shared" ref="AG54" si="92">_xlfn.STDEV.S(AE54:AE57)</f>
        <v>2.2750439556193194</v>
      </c>
      <c r="AH54">
        <f t="shared" si="87"/>
        <v>117.57925072046108</v>
      </c>
      <c r="AI54">
        <f t="shared" ref="AI54" si="93">AVERAGE(AH54:AH57)</f>
        <v>207.78097982708937</v>
      </c>
      <c r="AJ54">
        <f t="shared" ref="AJ54" si="94">_xlfn.STDEV.S(AH54:AH57)</f>
        <v>120.79065454341847</v>
      </c>
      <c r="AK54">
        <f t="shared" si="88"/>
        <v>-68.246716162193039</v>
      </c>
      <c r="AL54">
        <f t="shared" ref="AL54" si="95">AVERAGE(AK54:AK57)</f>
        <v>-21.359223300970864</v>
      </c>
      <c r="AM54">
        <f t="shared" ref="AM54" si="96">_xlfn.STDEV.S(AK54:AK57)</f>
        <v>51.971306810264309</v>
      </c>
    </row>
    <row r="55" spans="1:39" x14ac:dyDescent="0.3">
      <c r="A55" s="103" t="s">
        <v>123</v>
      </c>
      <c r="B55" s="39" t="s">
        <v>22</v>
      </c>
      <c r="C55" s="39" t="s">
        <v>19</v>
      </c>
      <c r="D55" s="39" t="str">
        <f t="shared" si="84"/>
        <v>6ppdqhighnutrients</v>
      </c>
      <c r="E55" s="39" t="s">
        <v>33</v>
      </c>
      <c r="F55" s="39">
        <v>2.87</v>
      </c>
      <c r="G55" s="39">
        <v>1.45</v>
      </c>
      <c r="H55" s="39">
        <v>2.76</v>
      </c>
      <c r="I55" s="40">
        <v>5.55</v>
      </c>
      <c r="X55">
        <f t="shared" si="85"/>
        <v>22.991689750692512</v>
      </c>
      <c r="AA55">
        <f t="shared" si="86"/>
        <v>-24.050632911392409</v>
      </c>
      <c r="AE55">
        <f t="shared" si="2"/>
        <v>2.6799999999999997</v>
      </c>
      <c r="AH55">
        <f t="shared" si="87"/>
        <v>154.46685878962535</v>
      </c>
      <c r="AK55">
        <f t="shared" si="88"/>
        <v>-38.777841233580816</v>
      </c>
    </row>
    <row r="56" spans="1:39" x14ac:dyDescent="0.3">
      <c r="A56" s="103" t="s">
        <v>123</v>
      </c>
      <c r="B56" s="39" t="s">
        <v>22</v>
      </c>
      <c r="C56" s="39" t="s">
        <v>19</v>
      </c>
      <c r="D56" s="39" t="str">
        <f t="shared" si="84"/>
        <v>6ppdqhighnutrients</v>
      </c>
      <c r="E56" s="39" t="s">
        <v>34</v>
      </c>
      <c r="F56" s="39">
        <v>2.93</v>
      </c>
      <c r="G56" s="39">
        <v>1.6</v>
      </c>
      <c r="H56" s="39">
        <v>2.3199999999999998</v>
      </c>
      <c r="I56" s="40">
        <v>5.94</v>
      </c>
      <c r="X56">
        <f t="shared" si="85"/>
        <v>31.634349030470915</v>
      </c>
      <c r="AA56">
        <f>((I56-$S$10)/$S$10)*100</f>
        <v>-18.713650359219976</v>
      </c>
      <c r="AE56">
        <f t="shared" si="2"/>
        <v>3.0100000000000002</v>
      </c>
      <c r="AH56">
        <f t="shared" si="87"/>
        <v>173.48703170028821</v>
      </c>
      <c r="AK56">
        <f t="shared" si="88"/>
        <v>-31.239291833238138</v>
      </c>
    </row>
    <row r="57" spans="1:39" ht="15" thickBot="1" x14ac:dyDescent="0.35">
      <c r="A57" s="145" t="s">
        <v>123</v>
      </c>
      <c r="B57" s="105" t="s">
        <v>22</v>
      </c>
      <c r="C57" s="105" t="s">
        <v>19</v>
      </c>
      <c r="D57" s="105" t="str">
        <f t="shared" si="84"/>
        <v>6ppdqhighnutrients</v>
      </c>
      <c r="E57" s="105" t="s">
        <v>35</v>
      </c>
      <c r="F57" s="105">
        <v>2.8</v>
      </c>
      <c r="G57" s="105">
        <v>1.32</v>
      </c>
      <c r="H57" s="105">
        <v>2.2799999999999998</v>
      </c>
      <c r="I57" s="106">
        <v>9.49</v>
      </c>
      <c r="X57">
        <f t="shared" si="85"/>
        <v>110.30470914127423</v>
      </c>
      <c r="AA57">
        <f t="shared" si="86"/>
        <v>29.866575436195692</v>
      </c>
      <c r="AE57">
        <f t="shared" si="2"/>
        <v>6.69</v>
      </c>
      <c r="AH57">
        <f t="shared" si="87"/>
        <v>385.59077809798276</v>
      </c>
      <c r="AK57">
        <f t="shared" si="88"/>
        <v>52.826956025128524</v>
      </c>
    </row>
    <row r="58" spans="1:39" x14ac:dyDescent="0.3">
      <c r="A58" s="107" t="s">
        <v>124</v>
      </c>
      <c r="B58" s="42" t="s">
        <v>21</v>
      </c>
      <c r="C58" s="42" t="s">
        <v>19</v>
      </c>
      <c r="D58" s="42" t="str">
        <f t="shared" si="84"/>
        <v>6ppdq+Carblownutrients</v>
      </c>
      <c r="E58" s="42" t="s">
        <v>32</v>
      </c>
      <c r="F58" s="42">
        <v>2.82</v>
      </c>
      <c r="G58" s="42">
        <v>1.26</v>
      </c>
      <c r="H58" s="42">
        <v>2.06</v>
      </c>
      <c r="I58" s="43">
        <v>5.71</v>
      </c>
      <c r="P58">
        <f>AVERAGE(F58:F61)</f>
        <v>3.0250000000000004</v>
      </c>
      <c r="Q58">
        <f t="shared" ref="Q58:S58" si="97">AVERAGE(G58:G61)</f>
        <v>1.44</v>
      </c>
      <c r="R58">
        <f t="shared" si="97"/>
        <v>2.3025000000000002</v>
      </c>
      <c r="S58">
        <f t="shared" si="97"/>
        <v>6.64</v>
      </c>
      <c r="T58">
        <f>_xlfn.STDEV.S(F58:F61)</f>
        <v>0.20207259421636906</v>
      </c>
      <c r="U58">
        <f t="shared" ref="U58:W58" si="98">_xlfn.STDEV.S(G58:G61)</f>
        <v>0.14787382008545893</v>
      </c>
      <c r="V58">
        <f t="shared" si="98"/>
        <v>0.17969882210706523</v>
      </c>
      <c r="W58">
        <f t="shared" si="98"/>
        <v>0.69325320049748052</v>
      </c>
      <c r="X58">
        <f>((I58-$S$14)/$S$14)*100</f>
        <v>26.537396121883649</v>
      </c>
      <c r="Y58">
        <f>AVERAGE(X58:X61)</f>
        <v>47.146814404432128</v>
      </c>
      <c r="Z58">
        <f>_xlfn.STDEV.S(X58:X61)</f>
        <v>15.362951811578494</v>
      </c>
      <c r="AA58">
        <f t="shared" si="86"/>
        <v>-21.861101607937051</v>
      </c>
      <c r="AB58">
        <f>AVERAGE(AA58:AA61)</f>
        <v>-9.1344509066028081</v>
      </c>
      <c r="AC58">
        <f>_xlfn.STDEV.S(AA58:AA61)</f>
        <v>9.4868723981865255</v>
      </c>
      <c r="AE58">
        <f t="shared" si="2"/>
        <v>2.89</v>
      </c>
      <c r="AF58">
        <f t="shared" ref="AF58" si="99">AVERAGE(AE58:AE61)</f>
        <v>3.6149999999999998</v>
      </c>
      <c r="AG58">
        <f t="shared" ref="AG58" si="100">_xlfn.STDEV.S(AE58:AE61)</f>
        <v>0.52335456432518102</v>
      </c>
      <c r="AH58">
        <f t="shared" si="87"/>
        <v>212.53602305475505</v>
      </c>
      <c r="AI58">
        <f t="shared" ref="AI58" si="101">AVERAGE(AH58:AH61)</f>
        <v>219.84870317002881</v>
      </c>
      <c r="AJ58">
        <f t="shared" ref="AJ58" si="102">_xlfn.STDEV.S(AH58:AH61)</f>
        <v>12.554159482107611</v>
      </c>
      <c r="AK58">
        <f t="shared" si="88"/>
        <v>-33.980582524271838</v>
      </c>
      <c r="AL58">
        <f t="shared" ref="AL58" si="103">AVERAGE(AK58:AK61)</f>
        <v>-17.41861793260993</v>
      </c>
      <c r="AM58">
        <f t="shared" ref="AM58" si="104">_xlfn.STDEV.S(AK58:AK61)</f>
        <v>11.955558294121785</v>
      </c>
    </row>
    <row r="59" spans="1:39" x14ac:dyDescent="0.3">
      <c r="A59" s="107" t="s">
        <v>124</v>
      </c>
      <c r="B59" s="42" t="s">
        <v>21</v>
      </c>
      <c r="C59" s="42" t="s">
        <v>19</v>
      </c>
      <c r="D59" s="42" t="str">
        <f t="shared" si="84"/>
        <v>6ppdq+Carblownutrients</v>
      </c>
      <c r="E59" s="42" t="s">
        <v>33</v>
      </c>
      <c r="F59" s="42">
        <v>2.93</v>
      </c>
      <c r="G59" s="42">
        <v>1.62</v>
      </c>
      <c r="H59" s="42">
        <v>2.4700000000000002</v>
      </c>
      <c r="I59" s="43">
        <v>6.81</v>
      </c>
      <c r="X59">
        <f t="shared" si="85"/>
        <v>50.914127423822698</v>
      </c>
      <c r="AA59">
        <f t="shared" si="86"/>
        <v>-6.8080738966814973</v>
      </c>
      <c r="AE59">
        <f t="shared" si="2"/>
        <v>3.8799999999999994</v>
      </c>
      <c r="AH59">
        <f t="shared" si="87"/>
        <v>223.63112391930832</v>
      </c>
      <c r="AK59">
        <f t="shared" si="88"/>
        <v>-11.364934323243864</v>
      </c>
    </row>
    <row r="60" spans="1:39" x14ac:dyDescent="0.3">
      <c r="A60" s="107" t="s">
        <v>124</v>
      </c>
      <c r="B60" s="42" t="s">
        <v>21</v>
      </c>
      <c r="C60" s="42" t="s">
        <v>19</v>
      </c>
      <c r="D60" s="42" t="str">
        <f t="shared" si="84"/>
        <v>6ppdq+Carblownutrients</v>
      </c>
      <c r="E60" s="42" t="s">
        <v>34</v>
      </c>
      <c r="F60" s="42">
        <v>3.06</v>
      </c>
      <c r="G60" s="42">
        <v>1.46</v>
      </c>
      <c r="H60" s="42">
        <v>2.2799999999999998</v>
      </c>
      <c r="I60" s="43">
        <v>6.66</v>
      </c>
      <c r="X60">
        <f t="shared" si="85"/>
        <v>47.590027700831023</v>
      </c>
      <c r="AA60">
        <f t="shared" si="86"/>
        <v>-8.8607594936708853</v>
      </c>
      <c r="AE60">
        <f t="shared" si="2"/>
        <v>3.6</v>
      </c>
      <c r="AH60">
        <f t="shared" si="87"/>
        <v>207.49279538904898</v>
      </c>
      <c r="AK60">
        <f t="shared" si="88"/>
        <v>-17.761279268989139</v>
      </c>
    </row>
    <row r="61" spans="1:39" ht="15" thickBot="1" x14ac:dyDescent="0.35">
      <c r="A61" s="146" t="s">
        <v>124</v>
      </c>
      <c r="B61" s="109" t="s">
        <v>21</v>
      </c>
      <c r="C61" s="109" t="s">
        <v>19</v>
      </c>
      <c r="D61" s="109" t="str">
        <f t="shared" si="84"/>
        <v>6ppdq+Carblownutrients</v>
      </c>
      <c r="E61" s="109" t="s">
        <v>35</v>
      </c>
      <c r="F61" s="109">
        <v>3.29</v>
      </c>
      <c r="G61" s="109">
        <v>1.42</v>
      </c>
      <c r="H61" s="109">
        <v>2.4</v>
      </c>
      <c r="I61" s="110">
        <v>7.38</v>
      </c>
      <c r="X61">
        <f t="shared" si="85"/>
        <v>63.545706371191123</v>
      </c>
      <c r="AA61">
        <f t="shared" si="86"/>
        <v>0.99213137187820433</v>
      </c>
      <c r="AE61">
        <f t="shared" si="2"/>
        <v>4.09</v>
      </c>
      <c r="AH61">
        <f t="shared" si="87"/>
        <v>235.7348703170029</v>
      </c>
      <c r="AK61">
        <f>((AE61-$AF$10)/$AF$10)*100</f>
        <v>-6.5676756139348864</v>
      </c>
    </row>
    <row r="62" spans="1:39" x14ac:dyDescent="0.3">
      <c r="A62" s="111" t="s">
        <v>124</v>
      </c>
      <c r="B62" s="112" t="s">
        <v>22</v>
      </c>
      <c r="C62" s="112" t="s">
        <v>19</v>
      </c>
      <c r="D62" s="112" t="str">
        <f t="shared" si="84"/>
        <v>6ppdq+Carbhighnutrients</v>
      </c>
      <c r="E62" s="112" t="s">
        <v>32</v>
      </c>
      <c r="F62" s="112">
        <v>3.08</v>
      </c>
      <c r="G62" s="112">
        <v>1.5</v>
      </c>
      <c r="H62" s="112">
        <v>2.39</v>
      </c>
      <c r="I62" s="113">
        <v>6.6</v>
      </c>
      <c r="P62">
        <f>AVERAGE(F62:F65)</f>
        <v>3.0975000000000001</v>
      </c>
      <c r="Q62">
        <f t="shared" ref="Q62:S62" si="105">AVERAGE(G62:G65)</f>
        <v>1.7250000000000001</v>
      </c>
      <c r="R62">
        <f t="shared" si="105"/>
        <v>2.9699999999999998</v>
      </c>
      <c r="S62">
        <f t="shared" si="105"/>
        <v>8.5950000000000006</v>
      </c>
      <c r="T62">
        <f>_xlfn.STDEV.S(F62:F65)</f>
        <v>0.21234798484249084</v>
      </c>
      <c r="U62">
        <f t="shared" ref="U62:W62" si="106">_xlfn.STDEV.S(G62:G65)</f>
        <v>0.16901676445449623</v>
      </c>
      <c r="V62">
        <f t="shared" si="106"/>
        <v>0.46368092477478634</v>
      </c>
      <c r="W62">
        <f t="shared" si="106"/>
        <v>2.2897525339360696</v>
      </c>
      <c r="X62">
        <f t="shared" si="85"/>
        <v>46.260387811634338</v>
      </c>
      <c r="Y62">
        <f>AVERAGE(X62:X65)</f>
        <v>90.470914127423811</v>
      </c>
      <c r="Z62">
        <f>_xlfn.STDEV.S(X62:X65)</f>
        <v>50.742438425176147</v>
      </c>
      <c r="AA62">
        <f t="shared" si="86"/>
        <v>-9.6818337324666501</v>
      </c>
      <c r="AB62">
        <f>AVERAGE(AA62:AA65)</f>
        <v>17.618884707492299</v>
      </c>
      <c r="AC62">
        <f>_xlfn.STDEV.S(AA62:AA65)</f>
        <v>31.334280313870313</v>
      </c>
      <c r="AE62">
        <f t="shared" si="2"/>
        <v>3.5199999999999996</v>
      </c>
      <c r="AF62">
        <f t="shared" ref="AF62" si="107">AVERAGE(AE62:AE65)</f>
        <v>5.4974999999999996</v>
      </c>
      <c r="AG62">
        <f t="shared" ref="AG62" si="108">_xlfn.STDEV.S(AE62:AE65)</f>
        <v>2.1997329383359254</v>
      </c>
      <c r="AH62">
        <f t="shared" si="87"/>
        <v>234.00576368876079</v>
      </c>
      <c r="AI62">
        <f t="shared" ref="AI62" si="109">AVERAGE(AH62:AH65)</f>
        <v>324.63976945244957</v>
      </c>
      <c r="AJ62">
        <f t="shared" ref="AJ62" si="110">_xlfn.STDEV.S(AH62:AH65)</f>
        <v>118.11800905584863</v>
      </c>
      <c r="AK62">
        <f t="shared" si="88"/>
        <v>-19.588806396344946</v>
      </c>
      <c r="AL62">
        <f t="shared" ref="AL62" si="111">AVERAGE(AK62:AK65)</f>
        <v>25.585379782981168</v>
      </c>
      <c r="AM62">
        <f t="shared" ref="AM62" si="112">_xlfn.STDEV.S(AK62:AK65)</f>
        <v>50.250895221837233</v>
      </c>
    </row>
    <row r="63" spans="1:39" x14ac:dyDescent="0.3">
      <c r="A63" s="111" t="s">
        <v>124</v>
      </c>
      <c r="B63" s="112" t="s">
        <v>22</v>
      </c>
      <c r="C63" s="112" t="s">
        <v>19</v>
      </c>
      <c r="D63" s="112" t="str">
        <f t="shared" si="84"/>
        <v>6ppdq+Carbhighnutrients</v>
      </c>
      <c r="E63" s="112" t="s">
        <v>33</v>
      </c>
      <c r="F63" s="112">
        <v>2.82</v>
      </c>
      <c r="G63" s="112">
        <v>1.75</v>
      </c>
      <c r="H63" s="112">
        <v>2.88</v>
      </c>
      <c r="I63" s="113">
        <v>7.21</v>
      </c>
      <c r="X63">
        <f t="shared" si="85"/>
        <v>59.778393351800553</v>
      </c>
      <c r="AA63">
        <f t="shared" si="86"/>
        <v>-1.3342456380431083</v>
      </c>
      <c r="AE63">
        <f t="shared" si="2"/>
        <v>4.3900000000000006</v>
      </c>
      <c r="AH63">
        <f t="shared" si="87"/>
        <v>253.02593659942369</v>
      </c>
      <c r="AK63">
        <f t="shared" si="88"/>
        <v>0.28555111364936758</v>
      </c>
    </row>
    <row r="64" spans="1:39" x14ac:dyDescent="0.3">
      <c r="A64" s="111" t="s">
        <v>124</v>
      </c>
      <c r="B64" s="112" t="s">
        <v>22</v>
      </c>
      <c r="C64" s="112" t="s">
        <v>19</v>
      </c>
      <c r="D64" s="112" t="str">
        <f t="shared" si="84"/>
        <v>6ppdq+Carbhighnutrients</v>
      </c>
      <c r="E64" s="112" t="s">
        <v>34</v>
      </c>
      <c r="F64" s="112">
        <v>3.16</v>
      </c>
      <c r="G64" s="112">
        <v>1.74</v>
      </c>
      <c r="H64" s="112">
        <v>3.11</v>
      </c>
      <c r="I64" s="113">
        <v>11.72</v>
      </c>
      <c r="X64">
        <f t="shared" si="85"/>
        <v>159.7229916897507</v>
      </c>
      <c r="AA64">
        <f t="shared" si="86"/>
        <v>60.383167978104687</v>
      </c>
      <c r="AE64">
        <f t="shared" si="2"/>
        <v>8.56</v>
      </c>
      <c r="AH64">
        <f t="shared" si="87"/>
        <v>493.37175792507207</v>
      </c>
      <c r="AK64">
        <f t="shared" si="88"/>
        <v>95.545402627070274</v>
      </c>
    </row>
    <row r="65" spans="1:39" ht="15" thickBot="1" x14ac:dyDescent="0.35">
      <c r="A65" s="147" t="s">
        <v>124</v>
      </c>
      <c r="B65" s="115" t="s">
        <v>22</v>
      </c>
      <c r="C65" s="115" t="s">
        <v>19</v>
      </c>
      <c r="D65" s="115" t="str">
        <f t="shared" si="84"/>
        <v>6ppdq+Carbhighnutrients</v>
      </c>
      <c r="E65" s="115" t="s">
        <v>35</v>
      </c>
      <c r="F65" s="115">
        <v>3.33</v>
      </c>
      <c r="G65" s="115">
        <v>1.91</v>
      </c>
      <c r="H65" s="115">
        <v>3.5</v>
      </c>
      <c r="I65" s="116">
        <v>8.85</v>
      </c>
      <c r="X65">
        <f t="shared" si="85"/>
        <v>96.121883656509681</v>
      </c>
      <c r="AA65">
        <f t="shared" si="86"/>
        <v>21.108450222374266</v>
      </c>
      <c r="AE65">
        <f t="shared" si="2"/>
        <v>5.52</v>
      </c>
      <c r="AH65">
        <f t="shared" si="87"/>
        <v>318.15561959654178</v>
      </c>
      <c r="AK65">
        <f t="shared" si="88"/>
        <v>26.099371787549973</v>
      </c>
    </row>
    <row r="66" spans="1:39" x14ac:dyDescent="0.3">
      <c r="A66" s="117" t="s">
        <v>125</v>
      </c>
      <c r="B66" s="48" t="s">
        <v>21</v>
      </c>
      <c r="C66" s="48" t="s">
        <v>19</v>
      </c>
      <c r="D66" s="48" t="str">
        <f t="shared" si="84"/>
        <v>6ppdq+Diclownutrients</v>
      </c>
      <c r="E66" s="48" t="s">
        <v>32</v>
      </c>
      <c r="F66" s="48">
        <v>2.6</v>
      </c>
      <c r="G66" s="48">
        <v>1.79</v>
      </c>
      <c r="H66" s="48">
        <v>1.97</v>
      </c>
      <c r="I66" s="49">
        <v>5.88</v>
      </c>
      <c r="P66">
        <f>AVERAGE(F66:F69)</f>
        <v>2.7875000000000001</v>
      </c>
      <c r="Q66">
        <f t="shared" ref="Q66:S66" si="113">AVERAGE(G66:G69)</f>
        <v>1.7225000000000001</v>
      </c>
      <c r="R66">
        <f t="shared" si="113"/>
        <v>2.4550000000000001</v>
      </c>
      <c r="S66">
        <f t="shared" si="113"/>
        <v>5.1550000000000002</v>
      </c>
      <c r="T66">
        <f>_xlfn.STDEV.S(F66:F69)</f>
        <v>0.16152915113584501</v>
      </c>
      <c r="U66">
        <f t="shared" ref="U66:W66" si="114">_xlfn.STDEV.S(G66:G69)</f>
        <v>0.10436314802968844</v>
      </c>
      <c r="V66">
        <f t="shared" si="114"/>
        <v>0.56759727506980395</v>
      </c>
      <c r="W66">
        <f t="shared" si="114"/>
        <v>1.6674431524542797</v>
      </c>
      <c r="X66">
        <f t="shared" si="85"/>
        <v>30.304709141274234</v>
      </c>
      <c r="Y66">
        <f>AVERAGE(X66:X69)</f>
        <v>14.238227146814399</v>
      </c>
      <c r="Z66">
        <f>_xlfn.STDEV.S(X66:X69)</f>
        <v>36.951648807851079</v>
      </c>
      <c r="AA66">
        <f t="shared" si="86"/>
        <v>-19.534724598015739</v>
      </c>
      <c r="AB66">
        <f>AVERAGE(AA66:AA69)</f>
        <v>-29.456038316797812</v>
      </c>
      <c r="AC66">
        <f>_xlfn.STDEV.S(AA66:AA69)</f>
        <v>22.818243618943278</v>
      </c>
      <c r="AE66">
        <f t="shared" si="2"/>
        <v>3.28</v>
      </c>
      <c r="AF66">
        <f t="shared" ref="AF66" si="115">AVERAGE(AE66:AE69)</f>
        <v>2.3674999999999997</v>
      </c>
      <c r="AG66">
        <f t="shared" ref="AG66" si="116">_xlfn.STDEV.S(AE66:AE69)</f>
        <v>1.7844023275782479</v>
      </c>
      <c r="AH66">
        <f t="shared" si="87"/>
        <v>225.36023054755043</v>
      </c>
      <c r="AI66">
        <f t="shared" ref="AI66" si="117">AVERAGE(AH66:AH69)</f>
        <v>145.53314121037465</v>
      </c>
      <c r="AJ66">
        <f t="shared" ref="AJ66" si="118">_xlfn.STDEV.S(AH66:AH69)</f>
        <v>110.36473220093643</v>
      </c>
      <c r="AK66">
        <f t="shared" si="88"/>
        <v>-25.07138777841233</v>
      </c>
      <c r="AL66">
        <f t="shared" ref="AL66" si="119">AVERAGE(AK66:AK69)</f>
        <v>-45.916619074814385</v>
      </c>
      <c r="AM66">
        <f t="shared" ref="AM66" si="120">_xlfn.STDEV.S(AK66:AK69)</f>
        <v>40.763045747075914</v>
      </c>
    </row>
    <row r="67" spans="1:39" x14ac:dyDescent="0.3">
      <c r="A67" s="117" t="s">
        <v>125</v>
      </c>
      <c r="B67" s="48" t="s">
        <v>21</v>
      </c>
      <c r="C67" s="48" t="s">
        <v>19</v>
      </c>
      <c r="D67" s="48" t="str">
        <f t="shared" si="84"/>
        <v>6ppdq+Diclownutrients</v>
      </c>
      <c r="E67" s="48" t="s">
        <v>33</v>
      </c>
      <c r="F67" s="48">
        <v>2.86</v>
      </c>
      <c r="G67" s="48">
        <v>1.57</v>
      </c>
      <c r="H67" s="48">
        <v>2.14</v>
      </c>
      <c r="I67" s="49">
        <v>3.4</v>
      </c>
      <c r="X67">
        <f t="shared" si="85"/>
        <v>-24.653739612188371</v>
      </c>
      <c r="AA67">
        <f t="shared" si="86"/>
        <v>-53.472459801573727</v>
      </c>
      <c r="AE67">
        <f t="shared" si="2"/>
        <v>0.54</v>
      </c>
      <c r="AH67">
        <f t="shared" si="87"/>
        <v>31.123919308357351</v>
      </c>
      <c r="AK67">
        <f t="shared" si="88"/>
        <v>-87.664191890348377</v>
      </c>
    </row>
    <row r="68" spans="1:39" x14ac:dyDescent="0.3">
      <c r="A68" s="117" t="s">
        <v>125</v>
      </c>
      <c r="B68" s="48" t="s">
        <v>21</v>
      </c>
      <c r="C68" s="48" t="s">
        <v>19</v>
      </c>
      <c r="D68" s="48" t="str">
        <f t="shared" si="84"/>
        <v>6ppdq+Diclownutrients</v>
      </c>
      <c r="E68" s="48" t="s">
        <v>34</v>
      </c>
      <c r="F68" s="48">
        <v>2.97</v>
      </c>
      <c r="G68" s="48">
        <v>1.74</v>
      </c>
      <c r="H68" s="48">
        <v>2.46</v>
      </c>
      <c r="I68" s="49">
        <v>4.22</v>
      </c>
      <c r="X68">
        <f t="shared" si="85"/>
        <v>-6.4819944598338033</v>
      </c>
      <c r="AA68">
        <f t="shared" si="86"/>
        <v>-42.25111187136504</v>
      </c>
      <c r="AE68">
        <f t="shared" ref="AE68:AE81" si="121">I68-F68</f>
        <v>1.2499999999999996</v>
      </c>
      <c r="AH68">
        <f t="shared" si="87"/>
        <v>72.046109510086438</v>
      </c>
      <c r="AK68">
        <f t="shared" si="88"/>
        <v>-71.444888635065681</v>
      </c>
    </row>
    <row r="69" spans="1:39" ht="15" thickBot="1" x14ac:dyDescent="0.35">
      <c r="A69" s="148" t="s">
        <v>125</v>
      </c>
      <c r="B69" s="119" t="s">
        <v>21</v>
      </c>
      <c r="C69" s="119" t="s">
        <v>19</v>
      </c>
      <c r="D69" s="119" t="str">
        <f t="shared" si="84"/>
        <v>6ppdq+Diclownutrients</v>
      </c>
      <c r="E69" s="119" t="s">
        <v>35</v>
      </c>
      <c r="F69" s="119">
        <v>2.72</v>
      </c>
      <c r="G69" s="119">
        <v>1.79</v>
      </c>
      <c r="H69" s="119">
        <v>3.25</v>
      </c>
      <c r="I69" s="120">
        <v>7.12</v>
      </c>
      <c r="X69">
        <f t="shared" si="85"/>
        <v>57.78393351800554</v>
      </c>
      <c r="AA69">
        <f t="shared" si="86"/>
        <v>-2.565856996236743</v>
      </c>
      <c r="AE69">
        <f t="shared" si="121"/>
        <v>4.4000000000000004</v>
      </c>
      <c r="AH69">
        <f t="shared" si="87"/>
        <v>253.60230547550438</v>
      </c>
      <c r="AK69">
        <f t="shared" si="88"/>
        <v>0.51399200456883731</v>
      </c>
    </row>
    <row r="70" spans="1:39" x14ac:dyDescent="0.3">
      <c r="A70" s="121" t="s">
        <v>125</v>
      </c>
      <c r="B70" s="51" t="s">
        <v>22</v>
      </c>
      <c r="C70" s="51" t="s">
        <v>19</v>
      </c>
      <c r="D70" s="51" t="str">
        <f t="shared" si="84"/>
        <v>6ppdq+Dichighnutrients</v>
      </c>
      <c r="E70" s="51" t="s">
        <v>32</v>
      </c>
      <c r="F70" s="51">
        <v>2.72</v>
      </c>
      <c r="G70" s="51">
        <v>1.19</v>
      </c>
      <c r="H70" s="51">
        <v>1.87</v>
      </c>
      <c r="I70" s="52">
        <v>4.43</v>
      </c>
      <c r="P70">
        <f>AVERAGE(F70:F73)</f>
        <v>2.7725</v>
      </c>
      <c r="Q70">
        <f t="shared" ref="Q70:S70" si="122">AVERAGE(G70:G73)</f>
        <v>1.6350000000000002</v>
      </c>
      <c r="R70">
        <f t="shared" si="122"/>
        <v>2.0250000000000004</v>
      </c>
      <c r="S70">
        <f t="shared" si="122"/>
        <v>4.2074999999999996</v>
      </c>
      <c r="T70">
        <f>_xlfn.STDEV.S(F70:F73)</f>
        <v>4.7871355387816866E-2</v>
      </c>
      <c r="U70">
        <f t="shared" ref="U70:W70" si="123">_xlfn.STDEV.S(G70:G73)</f>
        <v>0.2973774257292105</v>
      </c>
      <c r="V70">
        <f t="shared" si="123"/>
        <v>0.26362852652927737</v>
      </c>
      <c r="W70">
        <f t="shared" si="123"/>
        <v>0.77984507008337267</v>
      </c>
      <c r="X70">
        <f t="shared" si="85"/>
        <v>-1.8282548476454397</v>
      </c>
      <c r="Y70">
        <f>AVERAGE(X70:X73)</f>
        <v>-6.7590027700831072</v>
      </c>
      <c r="Z70">
        <f>_xlfn.STDEV.S(X70:X73)</f>
        <v>17.281885209603722</v>
      </c>
      <c r="AA70">
        <f t="shared" si="86"/>
        <v>-39.377352035579889</v>
      </c>
      <c r="AB70">
        <f>AVERAGE(AA70:AA73)</f>
        <v>-42.422169004447497</v>
      </c>
      <c r="AC70">
        <f>_xlfn.STDEV.S(AA70:AA73)</f>
        <v>10.671844954955393</v>
      </c>
      <c r="AE70">
        <f t="shared" si="121"/>
        <v>1.7099999999999995</v>
      </c>
      <c r="AF70">
        <f t="shared" ref="AF70" si="124">AVERAGE(AE70:AE73)</f>
        <v>1.4349999999999998</v>
      </c>
      <c r="AG70">
        <f t="shared" ref="AG70" si="125">_xlfn.STDEV.S(AE70:AE73)</f>
        <v>0.81798532994180262</v>
      </c>
      <c r="AH70">
        <f t="shared" si="87"/>
        <v>145.53314121037462</v>
      </c>
      <c r="AI70">
        <f t="shared" ref="AI70" si="126">AVERAGE(AH70:AH73)</f>
        <v>94.452449567723335</v>
      </c>
      <c r="AJ70">
        <f t="shared" ref="AJ70" si="127">_xlfn.STDEV.S(AH70:AH73)</f>
        <v>57.190575058278363</v>
      </c>
      <c r="AK70">
        <f t="shared" si="88"/>
        <v>-60.936607652769851</v>
      </c>
      <c r="AL70">
        <f t="shared" ref="AL70" si="128">AVERAGE(AK70:AK73)</f>
        <v>-67.218732153055399</v>
      </c>
      <c r="AM70">
        <f t="shared" ref="AM70" si="129">_xlfn.STDEV.S(AK70:AK73)</f>
        <v>18.686129753096537</v>
      </c>
    </row>
    <row r="71" spans="1:39" x14ac:dyDescent="0.3">
      <c r="A71" s="121" t="s">
        <v>125</v>
      </c>
      <c r="B71" s="51" t="s">
        <v>22</v>
      </c>
      <c r="C71" s="51" t="s">
        <v>19</v>
      </c>
      <c r="D71" s="51" t="str">
        <f t="shared" si="84"/>
        <v>6ppdq+Dichighnutrients</v>
      </c>
      <c r="E71" s="51" t="s">
        <v>33</v>
      </c>
      <c r="F71" s="51">
        <v>2.79</v>
      </c>
      <c r="G71" s="51">
        <v>1.76</v>
      </c>
      <c r="H71" s="51">
        <v>1.98</v>
      </c>
      <c r="I71" s="52">
        <v>3.85</v>
      </c>
      <c r="X71">
        <f t="shared" si="85"/>
        <v>-14.681440443213297</v>
      </c>
      <c r="AA71">
        <f t="shared" si="86"/>
        <v>-47.314403010605545</v>
      </c>
      <c r="AE71">
        <f t="shared" si="121"/>
        <v>1.06</v>
      </c>
      <c r="AH71">
        <f t="shared" si="87"/>
        <v>61.095100864553316</v>
      </c>
      <c r="AK71">
        <f t="shared" si="88"/>
        <v>-75.785265562535685</v>
      </c>
    </row>
    <row r="72" spans="1:39" x14ac:dyDescent="0.3">
      <c r="A72" s="121" t="s">
        <v>125</v>
      </c>
      <c r="B72" s="51" t="s">
        <v>22</v>
      </c>
      <c r="C72" s="51" t="s">
        <v>19</v>
      </c>
      <c r="D72" s="51" t="str">
        <f t="shared" si="84"/>
        <v>6ppdq+Dichighnutrients</v>
      </c>
      <c r="E72" s="51" t="s">
        <v>34</v>
      </c>
      <c r="F72" s="51">
        <v>2.83</v>
      </c>
      <c r="G72" s="51">
        <v>1.78</v>
      </c>
      <c r="H72" s="51">
        <v>1.84</v>
      </c>
      <c r="I72" s="52">
        <v>3.37</v>
      </c>
      <c r="X72">
        <f t="shared" si="85"/>
        <v>-25.318559556786703</v>
      </c>
      <c r="AA72">
        <f t="shared" si="86"/>
        <v>-53.882996920971607</v>
      </c>
      <c r="AE72">
        <f t="shared" si="121"/>
        <v>0.54</v>
      </c>
      <c r="AH72">
        <f t="shared" si="87"/>
        <v>31.123919308357351</v>
      </c>
      <c r="AK72">
        <f t="shared" si="88"/>
        <v>-87.664191890348377</v>
      </c>
    </row>
    <row r="73" spans="1:39" ht="15" thickBot="1" x14ac:dyDescent="0.35">
      <c r="A73" s="149" t="s">
        <v>125</v>
      </c>
      <c r="B73" s="123" t="s">
        <v>22</v>
      </c>
      <c r="C73" s="123" t="s">
        <v>19</v>
      </c>
      <c r="D73" s="123" t="str">
        <f t="shared" si="84"/>
        <v>6ppdq+Dichighnutrients</v>
      </c>
      <c r="E73" s="123" t="s">
        <v>35</v>
      </c>
      <c r="F73" s="123">
        <v>2.75</v>
      </c>
      <c r="G73" s="123">
        <v>1.81</v>
      </c>
      <c r="H73" s="123">
        <v>2.41</v>
      </c>
      <c r="I73" s="124">
        <v>5.18</v>
      </c>
      <c r="X73">
        <f t="shared" si="85"/>
        <v>14.79224376731301</v>
      </c>
      <c r="AA73">
        <f t="shared" si="86"/>
        <v>-29.113924050632917</v>
      </c>
      <c r="AE73">
        <f t="shared" si="121"/>
        <v>2.4299999999999997</v>
      </c>
      <c r="AH73">
        <f t="shared" si="87"/>
        <v>140.05763688760806</v>
      </c>
      <c r="AK73">
        <f t="shared" si="88"/>
        <v>-44.488863506567675</v>
      </c>
    </row>
    <row r="74" spans="1:39" x14ac:dyDescent="0.3">
      <c r="A74" s="125" t="s">
        <v>126</v>
      </c>
      <c r="B74" s="54" t="s">
        <v>21</v>
      </c>
      <c r="C74" s="54" t="s">
        <v>19</v>
      </c>
      <c r="D74" s="54" t="str">
        <f t="shared" si="84"/>
        <v>6ppdq+PFOSlownutrients</v>
      </c>
      <c r="E74" s="54" t="s">
        <v>32</v>
      </c>
      <c r="F74" s="54">
        <v>2.99</v>
      </c>
      <c r="G74" s="54">
        <v>1.19</v>
      </c>
      <c r="H74" s="54">
        <v>2.56</v>
      </c>
      <c r="I74" s="55">
        <v>3.92</v>
      </c>
      <c r="P74">
        <f>AVERAGE(F74:F77)</f>
        <v>2.89</v>
      </c>
      <c r="Q74">
        <f t="shared" ref="Q74:S74" si="130">AVERAGE(G74:G77)</f>
        <v>1.3975</v>
      </c>
      <c r="R74">
        <f t="shared" si="130"/>
        <v>2.8574999999999999</v>
      </c>
      <c r="S74">
        <f t="shared" si="130"/>
        <v>5.1274999999999995</v>
      </c>
      <c r="T74">
        <f>_xlfn.STDEV.S(F74:F77)</f>
        <v>9.0921211313239117E-2</v>
      </c>
      <c r="U74">
        <f t="shared" ref="U74:W74" si="131">_xlfn.STDEV.S(G74:G77)</f>
        <v>0.21777281740382612</v>
      </c>
      <c r="V74">
        <f t="shared" si="131"/>
        <v>0.30137186331839272</v>
      </c>
      <c r="W74">
        <f t="shared" si="131"/>
        <v>1.0161159710715491</v>
      </c>
      <c r="X74">
        <f t="shared" si="85"/>
        <v>-13.130193905817181</v>
      </c>
      <c r="Y74">
        <f>AVERAGE(X74:X77)</f>
        <v>13.628808864265928</v>
      </c>
      <c r="Z74">
        <f>_xlfn.STDEV.S(X74:X77)</f>
        <v>22.517805453109013</v>
      </c>
      <c r="AA74">
        <f t="shared" si="86"/>
        <v>-46.356483065343831</v>
      </c>
      <c r="AB74">
        <f>AVERAGE(AA74:AA77)</f>
        <v>-29.832364009579198</v>
      </c>
      <c r="AC74">
        <f>_xlfn.STDEV.S(AA74:AA77)</f>
        <v>13.905110791263011</v>
      </c>
      <c r="AE74">
        <f t="shared" si="121"/>
        <v>0.92999999999999972</v>
      </c>
      <c r="AF74">
        <f t="shared" ref="AF74" si="132">AVERAGE(AE74:AE77)</f>
        <v>2.2374999999999998</v>
      </c>
      <c r="AG74">
        <f t="shared" ref="AG74" si="133">_xlfn.STDEV.S(AE74:AE77)</f>
        <v>1.0620538278888385</v>
      </c>
      <c r="AH74">
        <f t="shared" si="87"/>
        <v>81.844380403458217</v>
      </c>
      <c r="AI74">
        <f t="shared" ref="AI74" si="134">AVERAGE(AH74:AH77)</f>
        <v>136.02305475504323</v>
      </c>
      <c r="AJ74">
        <f t="shared" ref="AJ74" si="135">_xlfn.STDEV.S(AH74:AH77)</f>
        <v>50.275314957028478</v>
      </c>
      <c r="AK74">
        <f t="shared" si="88"/>
        <v>-78.754997144488868</v>
      </c>
      <c r="AL74">
        <f t="shared" ref="AL74" si="136">AVERAGE(AK74:AK77)</f>
        <v>-48.886350656767554</v>
      </c>
      <c r="AM74">
        <f t="shared" ref="AM74" si="137">_xlfn.STDEV.S(AK74:AK77)</f>
        <v>24.261652264736455</v>
      </c>
    </row>
    <row r="75" spans="1:39" x14ac:dyDescent="0.3">
      <c r="A75" s="125" t="s">
        <v>126</v>
      </c>
      <c r="B75" s="54" t="s">
        <v>21</v>
      </c>
      <c r="C75" s="54" t="s">
        <v>19</v>
      </c>
      <c r="D75" s="54" t="str">
        <f t="shared" si="84"/>
        <v>6ppdq+PFOSlownutrients</v>
      </c>
      <c r="E75" s="54" t="s">
        <v>33</v>
      </c>
      <c r="F75" s="54">
        <v>2.77</v>
      </c>
      <c r="G75" s="54">
        <v>1.49</v>
      </c>
      <c r="H75" s="54">
        <v>2.86</v>
      </c>
      <c r="I75" s="55">
        <v>5.19</v>
      </c>
      <c r="X75">
        <f t="shared" si="85"/>
        <v>15.01385041551247</v>
      </c>
      <c r="AA75">
        <f t="shared" si="86"/>
        <v>-28.977078344166944</v>
      </c>
      <c r="AE75">
        <f t="shared" si="121"/>
        <v>2.4200000000000004</v>
      </c>
      <c r="AH75">
        <f t="shared" si="87"/>
        <v>139.48126801152739</v>
      </c>
      <c r="AK75">
        <f t="shared" si="88"/>
        <v>-44.717304397487133</v>
      </c>
    </row>
    <row r="76" spans="1:39" x14ac:dyDescent="0.3">
      <c r="A76" s="125" t="s">
        <v>126</v>
      </c>
      <c r="B76" s="54" t="s">
        <v>21</v>
      </c>
      <c r="C76" s="54" t="s">
        <v>19</v>
      </c>
      <c r="D76" s="54" t="str">
        <f t="shared" si="84"/>
        <v>6ppdq+PFOSlownutrients</v>
      </c>
      <c r="E76" s="54" t="s">
        <v>34</v>
      </c>
      <c r="F76" s="54">
        <v>2.91</v>
      </c>
      <c r="G76" s="54">
        <v>1.25</v>
      </c>
      <c r="H76" s="54">
        <v>3.27</v>
      </c>
      <c r="I76" s="55">
        <v>5</v>
      </c>
      <c r="X76">
        <f t="shared" si="85"/>
        <v>10.803324099722987</v>
      </c>
      <c r="AA76">
        <f t="shared" si="86"/>
        <v>-31.577146767020185</v>
      </c>
      <c r="AE76">
        <f t="shared" si="121"/>
        <v>2.09</v>
      </c>
      <c r="AH76">
        <f t="shared" si="87"/>
        <v>120.46109510086455</v>
      </c>
      <c r="AK76">
        <f t="shared" si="88"/>
        <v>-52.255853797829808</v>
      </c>
    </row>
    <row r="77" spans="1:39" ht="15" thickBot="1" x14ac:dyDescent="0.35">
      <c r="A77" s="150" t="s">
        <v>126</v>
      </c>
      <c r="B77" s="127" t="s">
        <v>21</v>
      </c>
      <c r="C77" s="127" t="s">
        <v>19</v>
      </c>
      <c r="D77" s="127" t="str">
        <f t="shared" si="84"/>
        <v>6ppdq+PFOSlownutrients</v>
      </c>
      <c r="E77" s="127" t="s">
        <v>35</v>
      </c>
      <c r="F77" s="127">
        <v>2.89</v>
      </c>
      <c r="G77" s="127">
        <v>1.66</v>
      </c>
      <c r="H77" s="127">
        <v>2.74</v>
      </c>
      <c r="I77" s="128">
        <v>6.4</v>
      </c>
      <c r="X77">
        <f t="shared" si="85"/>
        <v>41.828254847645432</v>
      </c>
      <c r="AA77">
        <f t="shared" si="86"/>
        <v>-12.418747861785832</v>
      </c>
      <c r="AE77">
        <f t="shared" si="121"/>
        <v>3.5100000000000002</v>
      </c>
      <c r="AH77">
        <f t="shared" si="87"/>
        <v>202.3054755043228</v>
      </c>
      <c r="AK77">
        <f t="shared" si="88"/>
        <v>-19.817247287264404</v>
      </c>
    </row>
    <row r="78" spans="1:39" x14ac:dyDescent="0.3">
      <c r="A78" s="129" t="s">
        <v>126</v>
      </c>
      <c r="B78" s="130" t="s">
        <v>22</v>
      </c>
      <c r="C78" s="130" t="s">
        <v>19</v>
      </c>
      <c r="D78" s="130" t="str">
        <f t="shared" si="84"/>
        <v>6ppdq+PFOShighnutrients</v>
      </c>
      <c r="E78" s="130" t="s">
        <v>32</v>
      </c>
      <c r="F78" s="130">
        <v>2.87</v>
      </c>
      <c r="G78" s="130">
        <v>1.35</v>
      </c>
      <c r="H78" s="130">
        <v>2.39</v>
      </c>
      <c r="I78" s="131">
        <v>3.7</v>
      </c>
      <c r="P78">
        <f>AVERAGE(F78:F81)</f>
        <v>2.8925000000000001</v>
      </c>
      <c r="Q78">
        <f t="shared" ref="Q78:S78" si="138">AVERAGE(G78:G81)</f>
        <v>1.4175</v>
      </c>
      <c r="R78">
        <f t="shared" si="138"/>
        <v>2.1325000000000003</v>
      </c>
      <c r="S78">
        <f t="shared" si="138"/>
        <v>3.4175</v>
      </c>
      <c r="T78">
        <f>_xlfn.STDEV.S(F78:F81)</f>
        <v>1.7078251276599316E-2</v>
      </c>
      <c r="U78">
        <f t="shared" ref="U78:W78" si="139">_xlfn.STDEV.S(G78:G81)</f>
        <v>0.15041608956491315</v>
      </c>
      <c r="V78">
        <f t="shared" si="139"/>
        <v>0.22925604317734649</v>
      </c>
      <c r="W78">
        <f t="shared" si="139"/>
        <v>0.42804789451649006</v>
      </c>
      <c r="X78">
        <f t="shared" si="85"/>
        <v>-18.005540166204987</v>
      </c>
      <c r="Y78">
        <f>AVERAGE(X78:X81)</f>
        <v>-24.26592797783934</v>
      </c>
      <c r="Z78">
        <f>_xlfn.STDEV.S(X78:X81)</f>
        <v>9.4858259172629324</v>
      </c>
      <c r="AA78">
        <f t="shared" si="86"/>
        <v>-49.367088607594937</v>
      </c>
      <c r="AB78">
        <f>AVERAGE(AA78:AA81)</f>
        <v>-53.232979815258297</v>
      </c>
      <c r="AC78">
        <f>_xlfn.STDEV.S(AA78:AA81)</f>
        <v>5.8576516526375642</v>
      </c>
      <c r="AE78">
        <f t="shared" si="121"/>
        <v>0.83000000000000007</v>
      </c>
      <c r="AF78">
        <f t="shared" ref="AF78" si="140">AVERAGE(AE78:AE81)</f>
        <v>0.52499999999999991</v>
      </c>
      <c r="AG78">
        <f t="shared" ref="AG78" si="141">_xlfn.STDEV.S(AE78:AE81)</f>
        <v>0.42813549257215283</v>
      </c>
      <c r="AH78">
        <f t="shared" si="87"/>
        <v>88.040345821325644</v>
      </c>
      <c r="AI78">
        <f t="shared" ref="AI78" si="142">AVERAGE(AH78:AH81)</f>
        <v>40.30979827089336</v>
      </c>
      <c r="AJ78">
        <f t="shared" ref="AJ78" si="143">_xlfn.STDEV.S(AH78:AH81)</f>
        <v>38.524193974884312</v>
      </c>
      <c r="AK78">
        <f t="shared" si="88"/>
        <v>-81.039406053683607</v>
      </c>
      <c r="AL78">
        <f t="shared" ref="AL78" si="144">AVERAGE(AK78:AK81)</f>
        <v>-88.006853226727586</v>
      </c>
      <c r="AM78">
        <f t="shared" ref="AM78" si="145">_xlfn.STDEV.S(AK78:AK81)</f>
        <v>9.7803653357430651</v>
      </c>
    </row>
    <row r="79" spans="1:39" x14ac:dyDescent="0.3">
      <c r="A79" s="129" t="s">
        <v>126</v>
      </c>
      <c r="B79" s="130" t="s">
        <v>22</v>
      </c>
      <c r="C79" s="130" t="s">
        <v>19</v>
      </c>
      <c r="D79" s="130" t="str">
        <f t="shared" si="84"/>
        <v>6ppdq+PFOShighnutrients</v>
      </c>
      <c r="E79" s="130" t="s">
        <v>33</v>
      </c>
      <c r="F79" s="130">
        <v>2.9</v>
      </c>
      <c r="G79" s="130">
        <v>1.31</v>
      </c>
      <c r="H79" s="130">
        <v>1.85</v>
      </c>
      <c r="I79" s="131">
        <v>3.13</v>
      </c>
      <c r="X79">
        <f t="shared" si="85"/>
        <v>-30.637119113573412</v>
      </c>
      <c r="AA79">
        <f t="shared" si="86"/>
        <v>-57.167293876154638</v>
      </c>
      <c r="AE79">
        <f t="shared" si="121"/>
        <v>0.22999999999999998</v>
      </c>
      <c r="AH79">
        <f t="shared" si="87"/>
        <v>13.256484149855908</v>
      </c>
      <c r="AK79">
        <f t="shared" si="88"/>
        <v>-94.745859508852064</v>
      </c>
    </row>
    <row r="80" spans="1:39" x14ac:dyDescent="0.3">
      <c r="A80" s="129" t="s">
        <v>126</v>
      </c>
      <c r="B80" s="130" t="s">
        <v>22</v>
      </c>
      <c r="C80" s="130" t="s">
        <v>19</v>
      </c>
      <c r="D80" s="130" t="str">
        <f t="shared" si="84"/>
        <v>6ppdq+PFOShighnutrients</v>
      </c>
      <c r="E80" s="130" t="s">
        <v>34</v>
      </c>
      <c r="F80" s="130">
        <v>2.91</v>
      </c>
      <c r="G80" s="130">
        <v>1.64</v>
      </c>
      <c r="H80" s="130">
        <v>2.2200000000000002</v>
      </c>
      <c r="I80" s="131">
        <v>3.86</v>
      </c>
      <c r="X80">
        <f t="shared" si="85"/>
        <v>-14.459833795013857</v>
      </c>
      <c r="AA80">
        <f t="shared" si="86"/>
        <v>-47.177557304139583</v>
      </c>
      <c r="AE80">
        <f>I80-F80</f>
        <v>0.94999999999999973</v>
      </c>
      <c r="AH80">
        <f t="shared" si="87"/>
        <v>54.755043227665688</v>
      </c>
      <c r="AK80">
        <f t="shared" si="88"/>
        <v>-78.298115362649924</v>
      </c>
    </row>
    <row r="81" spans="1:37" ht="15" thickBot="1" x14ac:dyDescent="0.35">
      <c r="A81" s="151" t="s">
        <v>126</v>
      </c>
      <c r="B81" s="133" t="s">
        <v>22</v>
      </c>
      <c r="C81" s="133" t="s">
        <v>19</v>
      </c>
      <c r="D81" s="133" t="str">
        <f t="shared" si="84"/>
        <v>6ppdq+PFOShighnutrients</v>
      </c>
      <c r="E81" s="133" t="s">
        <v>35</v>
      </c>
      <c r="F81" s="133">
        <v>2.89</v>
      </c>
      <c r="G81" s="133">
        <v>1.37</v>
      </c>
      <c r="H81" s="133">
        <v>2.0699999999999998</v>
      </c>
      <c r="I81" s="134">
        <v>2.98</v>
      </c>
      <c r="X81">
        <f t="shared" si="85"/>
        <v>-33.961218836565102</v>
      </c>
      <c r="AA81">
        <f t="shared" si="86"/>
        <v>-59.219979473144036</v>
      </c>
      <c r="AE81">
        <f t="shared" si="121"/>
        <v>8.9999999999999858E-2</v>
      </c>
      <c r="AH81">
        <f t="shared" si="87"/>
        <v>5.1873198847262172</v>
      </c>
      <c r="AK81">
        <f t="shared" si="88"/>
        <v>-97.944031981724734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C7CCF-3ACE-491E-B9E8-FAAAE61FE5FF}">
  <dimension ref="A1:H33"/>
  <sheetViews>
    <sheetView workbookViewId="0">
      <selection activeCell="O8" sqref="O8"/>
    </sheetView>
  </sheetViews>
  <sheetFormatPr defaultRowHeight="14.4" x14ac:dyDescent="0.3"/>
  <sheetData>
    <row r="1" spans="1:8" x14ac:dyDescent="0.3">
      <c r="A1" t="s">
        <v>50</v>
      </c>
      <c r="B1" t="s">
        <v>51</v>
      </c>
      <c r="F1" t="s">
        <v>50</v>
      </c>
      <c r="G1" t="s">
        <v>51</v>
      </c>
      <c r="H1" t="s">
        <v>52</v>
      </c>
    </row>
    <row r="2" spans="1:8" x14ac:dyDescent="0.3">
      <c r="A2" t="s">
        <v>53</v>
      </c>
      <c r="B2">
        <v>1.04</v>
      </c>
      <c r="C2">
        <v>3.0727975096302544</v>
      </c>
      <c r="F2" t="s">
        <v>53</v>
      </c>
      <c r="G2">
        <f>AVERAGE(B2:B5)</f>
        <v>1.07</v>
      </c>
      <c r="H2">
        <f>AVERAGE(C2:C3)</f>
        <v>2.2924248253991815</v>
      </c>
    </row>
    <row r="3" spans="1:8" x14ac:dyDescent="0.3">
      <c r="A3" t="s">
        <v>53</v>
      </c>
      <c r="B3">
        <v>1.07</v>
      </c>
      <c r="C3">
        <v>1.5120521411681085</v>
      </c>
      <c r="F3" t="s">
        <v>54</v>
      </c>
      <c r="G3">
        <f>AVERAGE(B6:B9)</f>
        <v>2.1275000000000004</v>
      </c>
      <c r="H3">
        <f>AVERAGE(C6:C7)</f>
        <v>2.7428894496210052</v>
      </c>
    </row>
    <row r="4" spans="1:8" x14ac:dyDescent="0.3">
      <c r="A4" t="s">
        <v>53</v>
      </c>
      <c r="B4">
        <v>1</v>
      </c>
      <c r="F4" t="s">
        <v>55</v>
      </c>
      <c r="G4">
        <f>AVERAGE(B10:B13)</f>
        <v>2.7250000000000001</v>
      </c>
      <c r="H4">
        <f>AVERAGE(C10:C11)</f>
        <v>3.907461056103771</v>
      </c>
    </row>
    <row r="5" spans="1:8" x14ac:dyDescent="0.3">
      <c r="A5" t="s">
        <v>53</v>
      </c>
      <c r="B5">
        <v>1.17</v>
      </c>
      <c r="F5" t="s">
        <v>14</v>
      </c>
      <c r="G5">
        <f>AVERAGE(B14:B17)</f>
        <v>3.7674999999999996</v>
      </c>
      <c r="H5">
        <f>AVERAGE(C14:C15)</f>
        <v>5.801185394540914</v>
      </c>
    </row>
    <row r="6" spans="1:8" x14ac:dyDescent="0.3">
      <c r="A6" t="s">
        <v>54</v>
      </c>
      <c r="B6">
        <v>2.2000000000000002</v>
      </c>
      <c r="C6">
        <v>2.6455384987243655</v>
      </c>
      <c r="F6" t="s">
        <v>56</v>
      </c>
      <c r="G6">
        <f>AVERAGE(B18:B21)</f>
        <v>2.3075000000000001</v>
      </c>
      <c r="H6">
        <f>AVERAGE(C18:C19)</f>
        <v>3.4996014830530449</v>
      </c>
    </row>
    <row r="7" spans="1:8" x14ac:dyDescent="0.3">
      <c r="A7" t="s">
        <v>54</v>
      </c>
      <c r="B7">
        <v>2.1800000000000002</v>
      </c>
      <c r="C7">
        <v>2.8402404005176449</v>
      </c>
      <c r="F7" t="s">
        <v>57</v>
      </c>
      <c r="G7">
        <f>AVERAGE(B22:B25)</f>
        <v>4.4050000000000002</v>
      </c>
      <c r="H7">
        <f>AVERAGE(C22:C23)</f>
        <v>7.1677379403096904</v>
      </c>
    </row>
    <row r="8" spans="1:8" x14ac:dyDescent="0.3">
      <c r="A8" t="s">
        <v>54</v>
      </c>
      <c r="B8">
        <v>1.99</v>
      </c>
      <c r="F8" t="s">
        <v>58</v>
      </c>
      <c r="G8">
        <f>AVERAGE(B26:B29)</f>
        <v>6.8224999999999998</v>
      </c>
      <c r="H8">
        <f>AVERAGE(C26:C27)</f>
        <v>10.476097522489507</v>
      </c>
    </row>
    <row r="9" spans="1:8" x14ac:dyDescent="0.3">
      <c r="A9" t="s">
        <v>54</v>
      </c>
      <c r="B9">
        <v>2.14</v>
      </c>
      <c r="F9" t="s">
        <v>59</v>
      </c>
      <c r="G9">
        <f>AVERAGE(B30:B33)</f>
        <v>8.7700000000000014</v>
      </c>
      <c r="H9">
        <f>AVERAGE(C30:C31)</f>
        <v>14.710892168863893</v>
      </c>
    </row>
    <row r="10" spans="1:8" x14ac:dyDescent="0.3">
      <c r="A10" t="s">
        <v>55</v>
      </c>
      <c r="B10">
        <v>2.81</v>
      </c>
      <c r="C10">
        <v>3.8786899928491643</v>
      </c>
    </row>
    <row r="11" spans="1:8" x14ac:dyDescent="0.3">
      <c r="A11" t="s">
        <v>55</v>
      </c>
      <c r="B11">
        <v>2.75</v>
      </c>
      <c r="C11">
        <v>3.9362321193583782</v>
      </c>
    </row>
    <row r="12" spans="1:8" x14ac:dyDescent="0.3">
      <c r="A12" t="s">
        <v>55</v>
      </c>
      <c r="B12">
        <v>2.61</v>
      </c>
    </row>
    <row r="13" spans="1:8" x14ac:dyDescent="0.3">
      <c r="A13" t="s">
        <v>55</v>
      </c>
      <c r="B13">
        <v>2.73</v>
      </c>
    </row>
    <row r="14" spans="1:8" x14ac:dyDescent="0.3">
      <c r="A14" t="s">
        <v>14</v>
      </c>
      <c r="B14">
        <v>3.62</v>
      </c>
      <c r="C14">
        <v>5.7972039663725061</v>
      </c>
    </row>
    <row r="15" spans="1:8" x14ac:dyDescent="0.3">
      <c r="A15" t="s">
        <v>14</v>
      </c>
      <c r="B15">
        <v>4.0199999999999996</v>
      </c>
      <c r="C15">
        <v>5.8051668227093218</v>
      </c>
    </row>
    <row r="16" spans="1:8" x14ac:dyDescent="0.3">
      <c r="A16" t="s">
        <v>14</v>
      </c>
      <c r="B16">
        <v>3.57</v>
      </c>
    </row>
    <row r="17" spans="1:3" x14ac:dyDescent="0.3">
      <c r="A17" t="s">
        <v>14</v>
      </c>
      <c r="B17">
        <v>3.86</v>
      </c>
    </row>
    <row r="18" spans="1:3" x14ac:dyDescent="0.3">
      <c r="A18" t="s">
        <v>56</v>
      </c>
      <c r="B18">
        <v>2.4</v>
      </c>
      <c r="C18">
        <v>3.8925082818110157</v>
      </c>
    </row>
    <row r="19" spans="1:3" x14ac:dyDescent="0.3">
      <c r="A19" t="s">
        <v>56</v>
      </c>
      <c r="B19">
        <v>2.1</v>
      </c>
      <c r="C19">
        <v>3.106694684295074</v>
      </c>
    </row>
    <row r="20" spans="1:3" x14ac:dyDescent="0.3">
      <c r="A20" t="s">
        <v>56</v>
      </c>
      <c r="B20">
        <v>2.37</v>
      </c>
    </row>
    <row r="21" spans="1:3" x14ac:dyDescent="0.3">
      <c r="A21" t="s">
        <v>56</v>
      </c>
      <c r="B21">
        <v>2.36</v>
      </c>
    </row>
    <row r="22" spans="1:3" x14ac:dyDescent="0.3">
      <c r="A22" t="s">
        <v>57</v>
      </c>
      <c r="B22">
        <v>4.34</v>
      </c>
      <c r="C22">
        <v>6.747294811341666</v>
      </c>
    </row>
    <row r="23" spans="1:3" x14ac:dyDescent="0.3">
      <c r="A23" t="s">
        <v>57</v>
      </c>
      <c r="B23">
        <v>4.4000000000000004</v>
      </c>
      <c r="C23">
        <v>7.5881810692777139</v>
      </c>
    </row>
    <row r="24" spans="1:3" x14ac:dyDescent="0.3">
      <c r="A24" t="s">
        <v>57</v>
      </c>
      <c r="B24">
        <v>4.2</v>
      </c>
    </row>
    <row r="25" spans="1:3" x14ac:dyDescent="0.3">
      <c r="A25" t="s">
        <v>57</v>
      </c>
      <c r="B25">
        <v>4.68</v>
      </c>
    </row>
    <row r="26" spans="1:3" x14ac:dyDescent="0.3">
      <c r="A26" t="s">
        <v>58</v>
      </c>
      <c r="B26">
        <v>7.05</v>
      </c>
      <c r="C26">
        <v>10.193477731305309</v>
      </c>
    </row>
    <row r="27" spans="1:3" x14ac:dyDescent="0.3">
      <c r="A27" t="s">
        <v>58</v>
      </c>
      <c r="B27">
        <v>6.81</v>
      </c>
      <c r="C27">
        <v>10.758717313673705</v>
      </c>
    </row>
    <row r="28" spans="1:3" x14ac:dyDescent="0.3">
      <c r="A28" t="s">
        <v>58</v>
      </c>
      <c r="B28">
        <v>6.44</v>
      </c>
    </row>
    <row r="29" spans="1:3" x14ac:dyDescent="0.3">
      <c r="A29" t="s">
        <v>58</v>
      </c>
      <c r="B29">
        <v>6.99</v>
      </c>
    </row>
    <row r="30" spans="1:3" x14ac:dyDescent="0.3">
      <c r="A30" t="s">
        <v>60</v>
      </c>
      <c r="B30">
        <v>9.51</v>
      </c>
      <c r="C30">
        <v>14.832770126653102</v>
      </c>
    </row>
    <row r="31" spans="1:3" x14ac:dyDescent="0.3">
      <c r="A31" t="s">
        <v>60</v>
      </c>
      <c r="B31">
        <v>8.27</v>
      </c>
      <c r="C31">
        <v>14.589014211074682</v>
      </c>
    </row>
    <row r="32" spans="1:3" x14ac:dyDescent="0.3">
      <c r="A32" t="s">
        <v>60</v>
      </c>
      <c r="B32">
        <v>8.3800000000000008</v>
      </c>
    </row>
    <row r="33" spans="1:2" x14ac:dyDescent="0.3">
      <c r="A33" t="s">
        <v>60</v>
      </c>
      <c r="B33">
        <v>8.92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FFEAC-ABEB-4C04-B01D-79375C365DC9}">
  <dimension ref="A1:AM81"/>
  <sheetViews>
    <sheetView topLeftCell="O37" workbookViewId="0">
      <selection activeCell="AK64" sqref="AK64"/>
    </sheetView>
  </sheetViews>
  <sheetFormatPr defaultRowHeight="14.4" x14ac:dyDescent="0.3"/>
  <sheetData>
    <row r="1" spans="1:36" ht="15" thickBot="1" x14ac:dyDescent="0.35">
      <c r="A1" s="59" t="s">
        <v>26</v>
      </c>
      <c r="B1" s="3" t="s">
        <v>2</v>
      </c>
      <c r="C1" s="3" t="s">
        <v>3</v>
      </c>
      <c r="D1" s="3" t="s">
        <v>50</v>
      </c>
      <c r="E1" s="3" t="s">
        <v>27</v>
      </c>
      <c r="F1" s="3" t="s">
        <v>28</v>
      </c>
      <c r="G1" s="3" t="s">
        <v>101</v>
      </c>
      <c r="H1" s="3" t="s">
        <v>30</v>
      </c>
      <c r="I1" s="60" t="s">
        <v>31</v>
      </c>
      <c r="J1" s="3" t="s">
        <v>28</v>
      </c>
      <c r="K1" s="3" t="s">
        <v>101</v>
      </c>
      <c r="L1" s="3" t="s">
        <v>30</v>
      </c>
      <c r="M1" s="60" t="s">
        <v>31</v>
      </c>
      <c r="P1" t="s">
        <v>127</v>
      </c>
      <c r="Q1" t="s">
        <v>128</v>
      </c>
      <c r="R1" t="s">
        <v>129</v>
      </c>
      <c r="S1" t="s">
        <v>130</v>
      </c>
      <c r="T1" t="s">
        <v>131</v>
      </c>
      <c r="U1" t="s">
        <v>132</v>
      </c>
      <c r="V1" t="s">
        <v>133</v>
      </c>
      <c r="W1" t="s">
        <v>134</v>
      </c>
      <c r="X1" t="s">
        <v>135</v>
      </c>
      <c r="Y1" t="s">
        <v>136</v>
      </c>
      <c r="Z1" t="s">
        <v>137</v>
      </c>
      <c r="AE1" t="s">
        <v>163</v>
      </c>
      <c r="AF1" t="s">
        <v>164</v>
      </c>
      <c r="AG1" t="s">
        <v>165</v>
      </c>
      <c r="AH1" t="s">
        <v>177</v>
      </c>
      <c r="AI1" t="s">
        <v>178</v>
      </c>
      <c r="AJ1" t="s">
        <v>179</v>
      </c>
    </row>
    <row r="2" spans="1:36" x14ac:dyDescent="0.3">
      <c r="A2" s="61" t="s">
        <v>14</v>
      </c>
      <c r="B2" t="s">
        <v>15</v>
      </c>
      <c r="C2" t="s">
        <v>15</v>
      </c>
      <c r="D2" t="s">
        <v>14</v>
      </c>
      <c r="E2" t="s">
        <v>32</v>
      </c>
      <c r="F2">
        <v>3.15</v>
      </c>
      <c r="G2">
        <v>2.17</v>
      </c>
      <c r="H2">
        <v>2.39</v>
      </c>
      <c r="I2" s="7">
        <v>2.98</v>
      </c>
      <c r="J2">
        <f xml:space="preserve"> 1.6534*(F2) - 0.2878</f>
        <v>4.9204100000000004</v>
      </c>
      <c r="K2">
        <f t="shared" ref="K2:M2" si="0" xml:space="preserve"> 1.6534*(G2) - 0.2878</f>
        <v>3.3000780000000001</v>
      </c>
      <c r="L2">
        <f t="shared" si="0"/>
        <v>3.6638260000000002</v>
      </c>
      <c r="M2">
        <f t="shared" si="0"/>
        <v>4.6393320000000005</v>
      </c>
      <c r="P2">
        <f>AVERAGE(J2:J5)</f>
        <v>4.5773294999999994</v>
      </c>
      <c r="Q2">
        <f t="shared" ref="Q2:S2" si="1">AVERAGE(K2:K5)</f>
        <v>3.3000780000000001</v>
      </c>
      <c r="R2">
        <f t="shared" si="1"/>
        <v>3.6183575000000001</v>
      </c>
      <c r="S2">
        <f t="shared" si="1"/>
        <v>4.4037225000000007</v>
      </c>
      <c r="T2">
        <f>_xlfn.STDEV.S(J2:J5)</f>
        <v>0.23668273254225092</v>
      </c>
      <c r="U2">
        <f t="shared" ref="U2:W2" si="2">_xlfn.STDEV.S(K2:K5)</f>
        <v>0.22549369617796411</v>
      </c>
      <c r="V2">
        <f t="shared" si="2"/>
        <v>0.37250457415491323</v>
      </c>
      <c r="W2">
        <f t="shared" si="2"/>
        <v>0.40777349366652077</v>
      </c>
      <c r="AE2">
        <f>M2-J2</f>
        <v>-0.28107799999999994</v>
      </c>
      <c r="AF2">
        <f>AVERAGE(AE2:AE5)</f>
        <v>-0.17360700000000007</v>
      </c>
      <c r="AG2">
        <f>_xlfn.STDEV.S(AE2:AE5)</f>
        <v>0.42465887318489698</v>
      </c>
    </row>
    <row r="3" spans="1:36" x14ac:dyDescent="0.3">
      <c r="A3" s="61" t="s">
        <v>14</v>
      </c>
      <c r="B3" t="s">
        <v>15</v>
      </c>
      <c r="C3" t="s">
        <v>15</v>
      </c>
      <c r="D3" t="s">
        <v>14</v>
      </c>
      <c r="E3" t="s">
        <v>33</v>
      </c>
      <c r="F3">
        <v>2.92</v>
      </c>
      <c r="G3">
        <v>2.3199999999999998</v>
      </c>
      <c r="H3">
        <v>2.35</v>
      </c>
      <c r="I3" s="7">
        <v>2.71</v>
      </c>
      <c r="J3">
        <f t="shared" ref="J3:J66" si="3" xml:space="preserve"> 1.6534*(F3) - 0.2878</f>
        <v>4.5401280000000002</v>
      </c>
      <c r="K3">
        <f t="shared" ref="K3:K66" si="4" xml:space="preserve"> 1.6534*(G3) - 0.2878</f>
        <v>3.5480879999999999</v>
      </c>
      <c r="L3">
        <f t="shared" ref="L3:L66" si="5" xml:space="preserve"> 1.6534*(H3) - 0.2878</f>
        <v>3.5976900000000001</v>
      </c>
      <c r="M3">
        <f t="shared" ref="M3:M66" si="6" xml:space="preserve"> 1.6534*(I3) - 0.2878</f>
        <v>4.192914</v>
      </c>
      <c r="AE3">
        <f t="shared" ref="AE3:AE66" si="7">M3-J3</f>
        <v>-0.34721400000000013</v>
      </c>
    </row>
    <row r="4" spans="1:36" x14ac:dyDescent="0.3">
      <c r="A4" s="61" t="s">
        <v>14</v>
      </c>
      <c r="B4" t="s">
        <v>15</v>
      </c>
      <c r="C4" t="s">
        <v>15</v>
      </c>
      <c r="D4" t="s">
        <v>14</v>
      </c>
      <c r="E4" t="s">
        <v>34</v>
      </c>
      <c r="F4">
        <v>2.87</v>
      </c>
      <c r="G4">
        <v>1.99</v>
      </c>
      <c r="H4">
        <v>2.08</v>
      </c>
      <c r="I4" s="7">
        <v>2.56</v>
      </c>
      <c r="J4">
        <f t="shared" si="3"/>
        <v>4.4574579999999999</v>
      </c>
      <c r="K4">
        <f t="shared" si="4"/>
        <v>3.0024660000000001</v>
      </c>
      <c r="L4">
        <f t="shared" si="5"/>
        <v>3.1512720000000001</v>
      </c>
      <c r="M4">
        <f t="shared" si="6"/>
        <v>3.9449040000000002</v>
      </c>
      <c r="AE4">
        <f t="shared" si="7"/>
        <v>-0.51255399999999973</v>
      </c>
    </row>
    <row r="5" spans="1:36" ht="15" thickBot="1" x14ac:dyDescent="0.35">
      <c r="A5" s="62" t="s">
        <v>14</v>
      </c>
      <c r="B5" s="9" t="s">
        <v>15</v>
      </c>
      <c r="C5" s="9" t="s">
        <v>15</v>
      </c>
      <c r="D5" s="9" t="s">
        <v>14</v>
      </c>
      <c r="E5" s="9" t="s">
        <v>35</v>
      </c>
      <c r="F5" s="9">
        <v>2.83</v>
      </c>
      <c r="G5" s="9">
        <v>2.2000000000000002</v>
      </c>
      <c r="H5" s="9">
        <v>2.63</v>
      </c>
      <c r="I5" s="10">
        <v>3.1</v>
      </c>
      <c r="J5">
        <f t="shared" si="3"/>
        <v>4.3913220000000006</v>
      </c>
      <c r="K5">
        <f t="shared" si="4"/>
        <v>3.3496800000000002</v>
      </c>
      <c r="L5">
        <f t="shared" si="5"/>
        <v>4.0606419999999996</v>
      </c>
      <c r="M5">
        <f t="shared" si="6"/>
        <v>4.8377400000000002</v>
      </c>
      <c r="AE5">
        <f t="shared" si="7"/>
        <v>0.44641799999999954</v>
      </c>
    </row>
    <row r="6" spans="1:36" x14ac:dyDescent="0.3">
      <c r="A6" s="61" t="s">
        <v>16</v>
      </c>
      <c r="B6" t="s">
        <v>15</v>
      </c>
      <c r="C6" t="s">
        <v>15</v>
      </c>
      <c r="D6" t="s">
        <v>16</v>
      </c>
      <c r="E6" t="s">
        <v>32</v>
      </c>
      <c r="F6">
        <v>2.85</v>
      </c>
      <c r="G6">
        <v>2.48</v>
      </c>
      <c r="H6">
        <v>2.2999999999999998</v>
      </c>
      <c r="I6" s="7">
        <v>2.92</v>
      </c>
      <c r="J6">
        <f t="shared" si="3"/>
        <v>4.4243899999999998</v>
      </c>
      <c r="K6">
        <f t="shared" si="4"/>
        <v>3.8126319999999998</v>
      </c>
      <c r="L6">
        <f t="shared" si="5"/>
        <v>3.5150199999999998</v>
      </c>
      <c r="M6">
        <f t="shared" si="6"/>
        <v>4.5401280000000002</v>
      </c>
      <c r="P6">
        <f>AVERAGE(J6:J9)</f>
        <v>4.8625410000000002</v>
      </c>
      <c r="Q6">
        <f t="shared" ref="Q6" si="8">AVERAGE(K6:K9)</f>
        <v>3.7630299999999997</v>
      </c>
      <c r="R6">
        <f t="shared" ref="R6" si="9">AVERAGE(L6:L9)</f>
        <v>3.9449040000000002</v>
      </c>
      <c r="S6">
        <f t="shared" ref="S6" si="10">AVERAGE(M6:M9)</f>
        <v>4.9493445000000005</v>
      </c>
      <c r="T6">
        <f>_xlfn.STDEV.S(J6:J9)</f>
        <v>0.30201905522444578</v>
      </c>
      <c r="U6">
        <f t="shared" ref="U6" si="11">_xlfn.STDEV.S(K6:K9)</f>
        <v>0.27301968281181971</v>
      </c>
      <c r="V6">
        <f t="shared" ref="V6" si="12">_xlfn.STDEV.S(L6:L9)</f>
        <v>0.32874537412005245</v>
      </c>
      <c r="W6">
        <f t="shared" ref="W6" si="13">_xlfn.STDEV.S(M6:M9)</f>
        <v>0.27381122700320371</v>
      </c>
      <c r="AE6">
        <f t="shared" si="7"/>
        <v>0.11573800000000034</v>
      </c>
      <c r="AF6">
        <f>AVERAGE(AE6:AE9)</f>
        <v>8.6803499999999811E-2</v>
      </c>
      <c r="AG6">
        <f t="shared" ref="AG6" si="14">_xlfn.STDEV.S(AE6:AE9)</f>
        <v>9.6762754161919151E-2</v>
      </c>
    </row>
    <row r="7" spans="1:36" x14ac:dyDescent="0.3">
      <c r="A7" s="61" t="s">
        <v>16</v>
      </c>
      <c r="B7" t="s">
        <v>15</v>
      </c>
      <c r="C7" t="s">
        <v>15</v>
      </c>
      <c r="D7" t="s">
        <v>16</v>
      </c>
      <c r="E7" t="s">
        <v>33</v>
      </c>
      <c r="F7">
        <v>3.22</v>
      </c>
      <c r="G7">
        <v>2.35</v>
      </c>
      <c r="H7">
        <v>2.78</v>
      </c>
      <c r="I7" s="7">
        <v>3.26</v>
      </c>
      <c r="J7">
        <f t="shared" si="3"/>
        <v>5.0361480000000007</v>
      </c>
      <c r="K7">
        <f t="shared" si="4"/>
        <v>3.5976900000000001</v>
      </c>
      <c r="L7">
        <f t="shared" si="5"/>
        <v>4.3086519999999995</v>
      </c>
      <c r="M7">
        <f t="shared" si="6"/>
        <v>5.102284</v>
      </c>
      <c r="AE7">
        <f t="shared" si="7"/>
        <v>6.6135999999999306E-2</v>
      </c>
    </row>
    <row r="8" spans="1:36" x14ac:dyDescent="0.3">
      <c r="A8" s="61" t="s">
        <v>16</v>
      </c>
      <c r="B8" t="s">
        <v>15</v>
      </c>
      <c r="C8" t="s">
        <v>15</v>
      </c>
      <c r="D8" t="s">
        <v>16</v>
      </c>
      <c r="E8" t="s">
        <v>34</v>
      </c>
      <c r="F8">
        <v>3.25</v>
      </c>
      <c r="G8">
        <v>2.67</v>
      </c>
      <c r="H8">
        <v>2.61</v>
      </c>
      <c r="I8" s="7">
        <v>3.23</v>
      </c>
      <c r="J8">
        <f t="shared" si="3"/>
        <v>5.08575</v>
      </c>
      <c r="K8">
        <f t="shared" si="4"/>
        <v>4.1267779999999998</v>
      </c>
      <c r="L8">
        <f t="shared" si="5"/>
        <v>4.0275739999999995</v>
      </c>
      <c r="M8">
        <f t="shared" si="6"/>
        <v>5.0526819999999999</v>
      </c>
      <c r="AE8">
        <f t="shared" si="7"/>
        <v>-3.3068000000000097E-2</v>
      </c>
    </row>
    <row r="9" spans="1:36" ht="15" thickBot="1" x14ac:dyDescent="0.35">
      <c r="A9" s="62" t="s">
        <v>16</v>
      </c>
      <c r="B9" s="9" t="s">
        <v>15</v>
      </c>
      <c r="C9" s="9" t="s">
        <v>15</v>
      </c>
      <c r="D9" s="9" t="s">
        <v>16</v>
      </c>
      <c r="E9" s="9" t="s">
        <v>35</v>
      </c>
      <c r="F9" s="9">
        <v>3.14</v>
      </c>
      <c r="G9" s="9">
        <v>2.2999999999999998</v>
      </c>
      <c r="H9" s="9">
        <v>2.5499999999999998</v>
      </c>
      <c r="I9" s="10">
        <v>3.26</v>
      </c>
      <c r="J9">
        <f t="shared" si="3"/>
        <v>4.9038760000000003</v>
      </c>
      <c r="K9">
        <f t="shared" si="4"/>
        <v>3.5150199999999998</v>
      </c>
      <c r="L9">
        <f t="shared" si="5"/>
        <v>3.9283700000000001</v>
      </c>
      <c r="M9">
        <f t="shared" si="6"/>
        <v>5.102284</v>
      </c>
      <c r="AE9">
        <f t="shared" si="7"/>
        <v>0.1984079999999997</v>
      </c>
    </row>
    <row r="10" spans="1:36" x14ac:dyDescent="0.3">
      <c r="A10" s="61" t="s">
        <v>36</v>
      </c>
      <c r="B10" t="s">
        <v>15</v>
      </c>
      <c r="C10" t="s">
        <v>19</v>
      </c>
      <c r="D10" t="s">
        <v>36</v>
      </c>
      <c r="E10" t="s">
        <v>32</v>
      </c>
      <c r="F10">
        <v>2.97</v>
      </c>
      <c r="G10">
        <v>2.48</v>
      </c>
      <c r="H10">
        <v>5.04</v>
      </c>
      <c r="I10" s="7">
        <v>8.27</v>
      </c>
      <c r="J10">
        <f t="shared" si="3"/>
        <v>4.6227980000000004</v>
      </c>
      <c r="K10">
        <f t="shared" si="4"/>
        <v>3.8126319999999998</v>
      </c>
      <c r="L10">
        <f t="shared" si="5"/>
        <v>8.0453359999999989</v>
      </c>
      <c r="M10">
        <f t="shared" si="6"/>
        <v>13.385817999999999</v>
      </c>
      <c r="P10">
        <f>AVERAGE(J10:J13)</f>
        <v>4.5566620000000002</v>
      </c>
      <c r="Q10">
        <f t="shared" ref="Q10" si="15">AVERAGE(K10:K13)</f>
        <v>3.6762264999999994</v>
      </c>
      <c r="R10">
        <f t="shared" ref="R10" si="16">AVERAGE(L10:L13)</f>
        <v>6.8838225000000008</v>
      </c>
      <c r="S10">
        <f t="shared" ref="S10" si="17">AVERAGE(M10:M13)</f>
        <v>11.794420500000001</v>
      </c>
      <c r="T10">
        <f>_xlfn.STDEV.S(J10:J13)</f>
        <v>0.14477088321436321</v>
      </c>
      <c r="U10">
        <f t="shared" ref="U10" si="18">_xlfn.STDEV.S(K10:K13)</f>
        <v>0.47583748954553995</v>
      </c>
      <c r="V10">
        <f t="shared" ref="V10" si="19">_xlfn.STDEV.S(L10:L13)</f>
        <v>0.80371511528130501</v>
      </c>
      <c r="W10">
        <f t="shared" ref="W10" si="20">_xlfn.STDEV.S(M10:M13)</f>
        <v>1.1222331970654162</v>
      </c>
      <c r="AE10">
        <f t="shared" si="7"/>
        <v>8.7630199999999974</v>
      </c>
      <c r="AF10">
        <f>AVERAGE(AE10:AE13)</f>
        <v>7.2377584999999991</v>
      </c>
      <c r="AG10">
        <f>_xlfn.STDEV.S(AE10:AE13)</f>
        <v>1.1273371373052814</v>
      </c>
    </row>
    <row r="11" spans="1:36" x14ac:dyDescent="0.3">
      <c r="A11" s="61" t="s">
        <v>36</v>
      </c>
      <c r="B11" t="s">
        <v>15</v>
      </c>
      <c r="C11" t="s">
        <v>19</v>
      </c>
      <c r="D11" t="s">
        <v>36</v>
      </c>
      <c r="E11" t="s">
        <v>33</v>
      </c>
      <c r="F11">
        <v>2.96</v>
      </c>
      <c r="G11">
        <v>2.1</v>
      </c>
      <c r="H11">
        <v>3.97</v>
      </c>
      <c r="I11" s="7">
        <v>6.73</v>
      </c>
      <c r="J11">
        <f t="shared" si="3"/>
        <v>4.6062640000000004</v>
      </c>
      <c r="K11">
        <f t="shared" si="4"/>
        <v>3.1843400000000002</v>
      </c>
      <c r="L11">
        <f t="shared" si="5"/>
        <v>6.2761980000000008</v>
      </c>
      <c r="M11">
        <f t="shared" si="6"/>
        <v>10.839582</v>
      </c>
      <c r="AE11">
        <f t="shared" si="7"/>
        <v>6.2333179999999997</v>
      </c>
    </row>
    <row r="12" spans="1:36" x14ac:dyDescent="0.3">
      <c r="A12" s="61" t="s">
        <v>36</v>
      </c>
      <c r="B12" t="s">
        <v>15</v>
      </c>
      <c r="C12" t="s">
        <v>19</v>
      </c>
      <c r="D12" t="s">
        <v>36</v>
      </c>
      <c r="E12" t="s">
        <v>34</v>
      </c>
      <c r="F12">
        <v>2.99</v>
      </c>
      <c r="G12">
        <v>2.76</v>
      </c>
      <c r="H12">
        <v>4.0599999999999996</v>
      </c>
      <c r="I12" s="7">
        <v>6.96</v>
      </c>
      <c r="J12">
        <f t="shared" si="3"/>
        <v>4.6558660000000005</v>
      </c>
      <c r="K12">
        <f t="shared" si="4"/>
        <v>4.2755839999999994</v>
      </c>
      <c r="L12">
        <f t="shared" si="5"/>
        <v>6.4250039999999995</v>
      </c>
      <c r="M12">
        <f t="shared" si="6"/>
        <v>11.219863999999999</v>
      </c>
      <c r="AE12">
        <f t="shared" si="7"/>
        <v>6.5639979999999989</v>
      </c>
    </row>
    <row r="13" spans="1:36" ht="15" thickBot="1" x14ac:dyDescent="0.35">
      <c r="A13" s="62" t="s">
        <v>36</v>
      </c>
      <c r="B13" s="9" t="s">
        <v>15</v>
      </c>
      <c r="C13" s="9" t="s">
        <v>19</v>
      </c>
      <c r="D13" s="9" t="s">
        <v>36</v>
      </c>
      <c r="E13" s="9" t="s">
        <v>35</v>
      </c>
      <c r="F13" s="9">
        <v>2.8</v>
      </c>
      <c r="G13" s="9">
        <v>2.25</v>
      </c>
      <c r="H13" s="9">
        <v>4.28</v>
      </c>
      <c r="I13" s="10">
        <v>7.27</v>
      </c>
      <c r="J13">
        <f t="shared" si="3"/>
        <v>4.3417199999999996</v>
      </c>
      <c r="K13">
        <f t="shared" si="4"/>
        <v>3.43235</v>
      </c>
      <c r="L13">
        <f t="shared" si="5"/>
        <v>6.7887520000000006</v>
      </c>
      <c r="M13">
        <f t="shared" si="6"/>
        <v>11.732417999999999</v>
      </c>
      <c r="AE13">
        <f t="shared" si="7"/>
        <v>7.3906979999999995</v>
      </c>
    </row>
    <row r="14" spans="1:36" x14ac:dyDescent="0.3">
      <c r="A14" s="61" t="s">
        <v>37</v>
      </c>
      <c r="B14" t="s">
        <v>15</v>
      </c>
      <c r="C14" t="s">
        <v>19</v>
      </c>
      <c r="D14" t="s">
        <v>37</v>
      </c>
      <c r="E14" t="s">
        <v>32</v>
      </c>
      <c r="F14">
        <v>2.8</v>
      </c>
      <c r="G14">
        <v>1.22</v>
      </c>
      <c r="H14">
        <v>2.54</v>
      </c>
      <c r="I14" s="7">
        <v>4.8099999999999996</v>
      </c>
      <c r="J14">
        <f t="shared" si="3"/>
        <v>4.3417199999999996</v>
      </c>
      <c r="K14">
        <f t="shared" si="4"/>
        <v>1.7293479999999997</v>
      </c>
      <c r="L14">
        <f t="shared" si="5"/>
        <v>3.9118360000000001</v>
      </c>
      <c r="M14">
        <f t="shared" si="6"/>
        <v>7.6650539999999996</v>
      </c>
      <c r="P14">
        <f>AVERAGE(J14:J17)</f>
        <v>4.3045185000000004</v>
      </c>
      <c r="Q14">
        <f t="shared" ref="Q14" si="21">AVERAGE(K14:K17)</f>
        <v>2.7585895000000002</v>
      </c>
      <c r="R14">
        <f t="shared" ref="R14" si="22">AVERAGE(L14:L17)</f>
        <v>4.1391784999999999</v>
      </c>
      <c r="S14">
        <f t="shared" ref="S14" si="23">AVERAGE(M14:M17)</f>
        <v>7.1731674999999999</v>
      </c>
      <c r="T14">
        <f>_xlfn.STDEV.S(J14:J17)</f>
        <v>0.2721421396617339</v>
      </c>
      <c r="U14">
        <f t="shared" ref="U14" si="24">_xlfn.STDEV.S(K14:K17)</f>
        <v>0.80098939820428738</v>
      </c>
      <c r="V14">
        <f t="shared" ref="V14" si="25">_xlfn.STDEV.S(L14:L17)</f>
        <v>0.73241141127169918</v>
      </c>
      <c r="W14">
        <f t="shared" ref="W14" si="26">_xlfn.STDEV.S(M14:M17)</f>
        <v>1.7287520599209691</v>
      </c>
      <c r="AE14">
        <f t="shared" si="7"/>
        <v>3.323334</v>
      </c>
      <c r="AF14">
        <f t="shared" ref="AF14" si="27">AVERAGE(AE14:AE17)</f>
        <v>2.8686489999999996</v>
      </c>
      <c r="AG14">
        <f t="shared" ref="AG14" si="28">_xlfn.STDEV.S(AE14:AE17)</f>
        <v>1.7802801033204481</v>
      </c>
    </row>
    <row r="15" spans="1:36" x14ac:dyDescent="0.3">
      <c r="A15" s="61" t="s">
        <v>37</v>
      </c>
      <c r="B15" t="s">
        <v>15</v>
      </c>
      <c r="C15" t="s">
        <v>19</v>
      </c>
      <c r="D15" t="s">
        <v>37</v>
      </c>
      <c r="E15" t="s">
        <v>33</v>
      </c>
      <c r="F15">
        <v>2.96</v>
      </c>
      <c r="G15">
        <v>1.76</v>
      </c>
      <c r="H15">
        <v>2.21</v>
      </c>
      <c r="I15" s="7">
        <v>3.43</v>
      </c>
      <c r="J15">
        <f t="shared" si="3"/>
        <v>4.6062640000000004</v>
      </c>
      <c r="K15">
        <f t="shared" si="4"/>
        <v>2.6221840000000003</v>
      </c>
      <c r="L15">
        <f t="shared" si="5"/>
        <v>3.3662140000000003</v>
      </c>
      <c r="M15">
        <f t="shared" si="6"/>
        <v>5.383362</v>
      </c>
      <c r="AE15">
        <f t="shared" si="7"/>
        <v>0.77709799999999962</v>
      </c>
    </row>
    <row r="16" spans="1:36" x14ac:dyDescent="0.3">
      <c r="A16" s="61" t="s">
        <v>37</v>
      </c>
      <c r="B16" t="s">
        <v>15</v>
      </c>
      <c r="C16" t="s">
        <v>19</v>
      </c>
      <c r="D16" t="s">
        <v>37</v>
      </c>
      <c r="E16" t="s">
        <v>34</v>
      </c>
      <c r="F16">
        <v>2.56</v>
      </c>
      <c r="G16">
        <v>2.02</v>
      </c>
      <c r="H16">
        <v>2.69</v>
      </c>
      <c r="I16" s="7">
        <v>3.98</v>
      </c>
      <c r="J16">
        <f t="shared" si="3"/>
        <v>3.9449040000000002</v>
      </c>
      <c r="K16">
        <f t="shared" si="4"/>
        <v>3.0520680000000002</v>
      </c>
      <c r="L16">
        <f t="shared" si="5"/>
        <v>4.1598459999999999</v>
      </c>
      <c r="M16">
        <f t="shared" si="6"/>
        <v>6.292732</v>
      </c>
      <c r="AE16">
        <f t="shared" si="7"/>
        <v>2.3478279999999998</v>
      </c>
    </row>
    <row r="17" spans="1:39" ht="15" thickBot="1" x14ac:dyDescent="0.35">
      <c r="A17" s="62" t="s">
        <v>37</v>
      </c>
      <c r="B17" s="9" t="s">
        <v>15</v>
      </c>
      <c r="C17" s="9" t="s">
        <v>19</v>
      </c>
      <c r="D17" s="9" t="s">
        <v>37</v>
      </c>
      <c r="E17" s="9" t="s">
        <v>35</v>
      </c>
      <c r="F17" s="9">
        <v>2.79</v>
      </c>
      <c r="G17" s="9">
        <v>2.37</v>
      </c>
      <c r="H17" s="9">
        <v>3.27</v>
      </c>
      <c r="I17" s="10">
        <v>5.83</v>
      </c>
      <c r="J17">
        <f t="shared" si="3"/>
        <v>4.3251860000000004</v>
      </c>
      <c r="K17">
        <f t="shared" si="4"/>
        <v>3.6307580000000002</v>
      </c>
      <c r="L17">
        <f t="shared" si="5"/>
        <v>5.1188180000000001</v>
      </c>
      <c r="M17">
        <f t="shared" si="6"/>
        <v>9.3515219999999992</v>
      </c>
      <c r="AE17">
        <f t="shared" si="7"/>
        <v>5.0263359999999988</v>
      </c>
    </row>
    <row r="18" spans="1:39" x14ac:dyDescent="0.3">
      <c r="A18" s="63" t="s">
        <v>123</v>
      </c>
      <c r="B18" s="64" t="s">
        <v>21</v>
      </c>
      <c r="C18" s="64" t="s">
        <v>15</v>
      </c>
      <c r="D18" s="64" t="str">
        <f t="shared" ref="D18:D49" si="29">A18&amp;B18</f>
        <v>6ppdqlow</v>
      </c>
      <c r="E18" s="64" t="s">
        <v>32</v>
      </c>
      <c r="F18" s="64">
        <v>3.11</v>
      </c>
      <c r="G18" s="64">
        <v>1.56</v>
      </c>
      <c r="H18" s="64">
        <v>1.91</v>
      </c>
      <c r="I18" s="65">
        <v>2.06</v>
      </c>
      <c r="J18">
        <f t="shared" si="3"/>
        <v>4.8542740000000002</v>
      </c>
      <c r="K18">
        <f t="shared" si="4"/>
        <v>2.2915040000000002</v>
      </c>
      <c r="L18">
        <f t="shared" si="5"/>
        <v>2.8701940000000001</v>
      </c>
      <c r="M18">
        <f t="shared" si="6"/>
        <v>3.1182040000000004</v>
      </c>
      <c r="P18">
        <f>AVERAGE(J18:J21)</f>
        <v>4.8790750000000003</v>
      </c>
      <c r="Q18">
        <f t="shared" ref="Q18" si="30">AVERAGE(K18:K21)</f>
        <v>2.1344310000000002</v>
      </c>
      <c r="R18">
        <f t="shared" ref="R18" si="31">AVERAGE(L18:L21)</f>
        <v>2.5849825000000002</v>
      </c>
      <c r="S18">
        <f t="shared" ref="S18" si="32">AVERAGE(M18:M21)</f>
        <v>3.8043650000000007</v>
      </c>
      <c r="T18">
        <f>_xlfn.STDEV.S(J18:J21)</f>
        <v>0.36562203610285893</v>
      </c>
      <c r="U18">
        <f t="shared" ref="U18" si="33">_xlfn.STDEV.S(K18:K21)</f>
        <v>0.25844568955456076</v>
      </c>
      <c r="V18">
        <f t="shared" ref="V18" si="34">_xlfn.STDEV.S(L18:L21)</f>
        <v>0.30258424639043557</v>
      </c>
      <c r="W18">
        <f t="shared" ref="W18" si="35">_xlfn.STDEV.S(M18:M21)</f>
        <v>0.470275327020242</v>
      </c>
      <c r="X18">
        <f>((M18-S$6)/S$6)*100</f>
        <v>-36.997636757756503</v>
      </c>
      <c r="Y18">
        <f>AVERAGE(X18:X21)</f>
        <v>-23.133962487355646</v>
      </c>
      <c r="Z18">
        <f>_xlfn.STDEV.S(X18:X21)</f>
        <v>9.5017699216582567</v>
      </c>
      <c r="AA18">
        <f>((M18-$S$2)/$S$2)*100</f>
        <v>-29.191632760692805</v>
      </c>
      <c r="AB18">
        <f>AVERAGE(AA18:AA21)</f>
        <v>-13.610246785532018</v>
      </c>
      <c r="AC18">
        <f>_xlfn.STDEV.S(AA18:AA21)</f>
        <v>10.67904090278728</v>
      </c>
      <c r="AE18">
        <f t="shared" si="7"/>
        <v>-1.7360699999999998</v>
      </c>
      <c r="AF18">
        <f t="shared" ref="AF18" si="36">AVERAGE(AE18:AE21)</f>
        <v>-1.0747099999999998</v>
      </c>
      <c r="AG18">
        <f t="shared" ref="AG18" si="37">_xlfn.STDEV.S(AE18:AE21)</f>
        <v>0.64121231010017321</v>
      </c>
      <c r="AH18">
        <f>((AE18-$AF$6)/$AF$6)*100</f>
        <v>-2100.0000000000041</v>
      </c>
      <c r="AI18">
        <f>AVERAGE(AH18:AH21)</f>
        <v>-1338.0952380952408</v>
      </c>
      <c r="AJ18">
        <f>_xlfn.STDEV.S(AH18:AH21)</f>
        <v>738.69407351106145</v>
      </c>
      <c r="AK18">
        <f>((AE18-$AF$2)/$AF$2)*100</f>
        <v>899.99999999999943</v>
      </c>
      <c r="AL18">
        <f>AVERAGE(AK18:AK21)</f>
        <v>519.0476190476187</v>
      </c>
      <c r="AM18">
        <f>_xlfn.STDEV.S(AK18:AK21)</f>
        <v>369.34703675552998</v>
      </c>
    </row>
    <row r="19" spans="1:39" x14ac:dyDescent="0.3">
      <c r="A19" s="63" t="s">
        <v>123</v>
      </c>
      <c r="B19" s="64" t="s">
        <v>21</v>
      </c>
      <c r="C19" s="64" t="s">
        <v>15</v>
      </c>
      <c r="D19" s="64" t="str">
        <f t="shared" si="29"/>
        <v>6ppdqlow</v>
      </c>
      <c r="E19" s="64" t="s">
        <v>33</v>
      </c>
      <c r="F19" s="64">
        <v>2.87</v>
      </c>
      <c r="G19" s="64">
        <v>1.26</v>
      </c>
      <c r="H19" s="64">
        <v>1.6</v>
      </c>
      <c r="I19" s="65">
        <v>2.66</v>
      </c>
      <c r="J19">
        <f t="shared" si="3"/>
        <v>4.4574579999999999</v>
      </c>
      <c r="K19">
        <f t="shared" si="4"/>
        <v>1.7954839999999999</v>
      </c>
      <c r="L19">
        <f t="shared" si="5"/>
        <v>2.3576400000000004</v>
      </c>
      <c r="M19">
        <f t="shared" si="6"/>
        <v>4.1102440000000007</v>
      </c>
      <c r="X19">
        <f t="shared" ref="X19:X49" si="38">((M19-S$6)/S$6)*100</f>
        <v>-16.953770342719114</v>
      </c>
      <c r="AA19">
        <f t="shared" ref="AA19:AA49" si="39">((M19-$S$2)/$S$2)*100</f>
        <v>-6.6643277363639495</v>
      </c>
      <c r="AE19">
        <f t="shared" si="7"/>
        <v>-0.34721399999999925</v>
      </c>
      <c r="AH19">
        <f t="shared" ref="AH19:AH49" si="40">((AE19-$AF$6)/$AF$6)*100</f>
        <v>-500</v>
      </c>
      <c r="AK19">
        <f t="shared" ref="AK19:AK49" si="41">((AE19-$AF$2)/$AF$2)*100</f>
        <v>99.999999999999488</v>
      </c>
    </row>
    <row r="20" spans="1:39" x14ac:dyDescent="0.3">
      <c r="A20" s="63" t="s">
        <v>123</v>
      </c>
      <c r="B20" s="64" t="s">
        <v>21</v>
      </c>
      <c r="C20" s="64" t="s">
        <v>15</v>
      </c>
      <c r="D20" s="64" t="str">
        <f t="shared" si="29"/>
        <v>6ppdqlow</v>
      </c>
      <c r="E20" s="64" t="s">
        <v>34</v>
      </c>
      <c r="F20" s="64">
        <v>3.41</v>
      </c>
      <c r="G20" s="64">
        <v>1.43</v>
      </c>
      <c r="H20" s="64">
        <v>1.56</v>
      </c>
      <c r="I20" s="65">
        <v>2.52</v>
      </c>
      <c r="J20">
        <f t="shared" si="3"/>
        <v>5.3502940000000008</v>
      </c>
      <c r="K20">
        <f t="shared" si="4"/>
        <v>2.076562</v>
      </c>
      <c r="L20">
        <f t="shared" si="5"/>
        <v>2.2915040000000002</v>
      </c>
      <c r="M20">
        <f t="shared" si="6"/>
        <v>3.878768</v>
      </c>
      <c r="X20">
        <f t="shared" si="38"/>
        <v>-21.630672506227853</v>
      </c>
      <c r="AA20">
        <f t="shared" si="39"/>
        <v>-11.920698908707363</v>
      </c>
      <c r="AE20">
        <f t="shared" si="7"/>
        <v>-1.4715260000000008</v>
      </c>
      <c r="AH20">
        <f t="shared" si="40"/>
        <v>-1795.2380952381</v>
      </c>
      <c r="AK20">
        <f t="shared" si="41"/>
        <v>747.61904761904771</v>
      </c>
    </row>
    <row r="21" spans="1:39" ht="15" thickBot="1" x14ac:dyDescent="0.35">
      <c r="A21" s="136" t="s">
        <v>123</v>
      </c>
      <c r="B21" s="67" t="s">
        <v>21</v>
      </c>
      <c r="C21" s="67" t="s">
        <v>15</v>
      </c>
      <c r="D21" s="67" t="str">
        <f t="shared" si="29"/>
        <v>6ppdqlow</v>
      </c>
      <c r="E21" s="67" t="s">
        <v>35</v>
      </c>
      <c r="F21" s="67">
        <v>3.11</v>
      </c>
      <c r="G21" s="67">
        <v>1.61</v>
      </c>
      <c r="H21" s="67">
        <v>1.88</v>
      </c>
      <c r="I21" s="68">
        <v>2.66</v>
      </c>
      <c r="J21">
        <f t="shared" si="3"/>
        <v>4.8542740000000002</v>
      </c>
      <c r="K21">
        <f t="shared" si="4"/>
        <v>2.3741740000000005</v>
      </c>
      <c r="L21">
        <f t="shared" si="5"/>
        <v>2.820592</v>
      </c>
      <c r="M21">
        <f t="shared" si="6"/>
        <v>4.1102440000000007</v>
      </c>
      <c r="X21">
        <f t="shared" si="38"/>
        <v>-16.953770342719114</v>
      </c>
      <c r="AA21">
        <f t="shared" si="39"/>
        <v>-6.6643277363639495</v>
      </c>
      <c r="AE21">
        <f t="shared" si="7"/>
        <v>-0.74402999999999953</v>
      </c>
      <c r="AH21">
        <f t="shared" si="40"/>
        <v>-957.14285714285859</v>
      </c>
      <c r="AK21">
        <f t="shared" si="41"/>
        <v>328.5714285714281</v>
      </c>
    </row>
    <row r="22" spans="1:39" x14ac:dyDescent="0.3">
      <c r="A22" s="69" t="s">
        <v>123</v>
      </c>
      <c r="B22" s="15" t="s">
        <v>22</v>
      </c>
      <c r="C22" s="15" t="s">
        <v>15</v>
      </c>
      <c r="D22" s="15" t="str">
        <f t="shared" si="29"/>
        <v>6ppdqhigh</v>
      </c>
      <c r="E22" s="15" t="s">
        <v>32</v>
      </c>
      <c r="F22" s="15">
        <v>2.8</v>
      </c>
      <c r="G22" s="15">
        <v>1.75</v>
      </c>
      <c r="H22" s="15">
        <v>1.55</v>
      </c>
      <c r="I22" s="16">
        <v>1.84</v>
      </c>
      <c r="J22">
        <f t="shared" si="3"/>
        <v>4.3417199999999996</v>
      </c>
      <c r="K22">
        <f t="shared" si="4"/>
        <v>2.6056500000000002</v>
      </c>
      <c r="L22">
        <f t="shared" si="5"/>
        <v>2.2749700000000002</v>
      </c>
      <c r="M22">
        <f t="shared" si="6"/>
        <v>2.7544560000000002</v>
      </c>
      <c r="P22">
        <f>AVERAGE(J22:J25)</f>
        <v>4.482259</v>
      </c>
      <c r="Q22">
        <f t="shared" ref="Q22" si="42">AVERAGE(K22:K25)</f>
        <v>2.6759195</v>
      </c>
      <c r="R22">
        <f t="shared" ref="R22" si="43">AVERAGE(L22:L25)</f>
        <v>2.52298</v>
      </c>
      <c r="S22">
        <f t="shared" ref="S22" si="44">AVERAGE(M22:M25)</f>
        <v>3.1636725000000006</v>
      </c>
      <c r="T22">
        <f>_xlfn.STDEV.S(J22:J25)</f>
        <v>0.20628884591917904</v>
      </c>
      <c r="U22">
        <f t="shared" ref="U22" si="45">_xlfn.STDEV.S(K22:K25)</f>
        <v>8.362892187714327E-2</v>
      </c>
      <c r="V22">
        <f t="shared" ref="V22" si="46">_xlfn.STDEV.S(L22:L25)</f>
        <v>0.44753927086085743</v>
      </c>
      <c r="W22">
        <f t="shared" ref="W22" si="47">_xlfn.STDEV.S(M22:M25)</f>
        <v>0.85128694073130429</v>
      </c>
      <c r="X22">
        <f t="shared" si="38"/>
        <v>-44.347054443270217</v>
      </c>
      <c r="Y22">
        <f>AVERAGE(X22:X25)</f>
        <v>-36.078959547067299</v>
      </c>
      <c r="Z22">
        <f>_xlfn.STDEV.S(X22:X25)</f>
        <v>17.199993670501325</v>
      </c>
      <c r="AA22">
        <f t="shared" si="39"/>
        <v>-37.451644602946715</v>
      </c>
      <c r="AB22">
        <f>AVERAGE(AA22:AA25)</f>
        <v>-28.159131280411067</v>
      </c>
      <c r="AC22">
        <f>_xlfn.STDEV.S(AA22:AA25)</f>
        <v>19.331075941576842</v>
      </c>
      <c r="AE22">
        <f t="shared" si="7"/>
        <v>-1.5872639999999993</v>
      </c>
      <c r="AF22">
        <f t="shared" ref="AF22" si="48">AVERAGE(AE22:AE25)</f>
        <v>-1.3185864999999997</v>
      </c>
      <c r="AG22">
        <f t="shared" ref="AG22" si="49">_xlfn.STDEV.S(AE22:AE25)</f>
        <v>0.74450443577344361</v>
      </c>
      <c r="AH22">
        <f t="shared" si="40"/>
        <v>-1928.5714285714316</v>
      </c>
      <c r="AI22">
        <f t="shared" ref="AI22" si="50">AVERAGE(AH22:AH25)</f>
        <v>-1619.047619047622</v>
      </c>
      <c r="AJ22">
        <f t="shared" ref="AJ22" si="51">_xlfn.STDEV.S(AH22:AH25)</f>
        <v>857.68942009647617</v>
      </c>
      <c r="AK22">
        <f t="shared" si="41"/>
        <v>814.28571428571354</v>
      </c>
      <c r="AL22">
        <f t="shared" ref="AL22" si="52">AVERAGE(AK22:AK25)</f>
        <v>659.52380952380906</v>
      </c>
      <c r="AM22">
        <f t="shared" ref="AM22" si="53">_xlfn.STDEV.S(AK22:AK25)</f>
        <v>428.84471004823706</v>
      </c>
    </row>
    <row r="23" spans="1:39" x14ac:dyDescent="0.3">
      <c r="A23" s="69" t="s">
        <v>123</v>
      </c>
      <c r="B23" s="15" t="s">
        <v>22</v>
      </c>
      <c r="C23" s="15" t="s">
        <v>15</v>
      </c>
      <c r="D23" s="15" t="str">
        <f t="shared" si="29"/>
        <v>6ppdqhigh</v>
      </c>
      <c r="E23" s="15" t="s">
        <v>33</v>
      </c>
      <c r="F23" s="15">
        <v>2.76</v>
      </c>
      <c r="G23" s="15">
        <v>1.85</v>
      </c>
      <c r="H23" s="15">
        <v>1.52</v>
      </c>
      <c r="I23" s="16">
        <v>1.93</v>
      </c>
      <c r="J23">
        <f t="shared" si="3"/>
        <v>4.2755839999999994</v>
      </c>
      <c r="K23">
        <f t="shared" si="4"/>
        <v>2.7709900000000003</v>
      </c>
      <c r="L23">
        <f t="shared" si="5"/>
        <v>2.225368</v>
      </c>
      <c r="M23">
        <f t="shared" si="6"/>
        <v>2.9032620000000002</v>
      </c>
      <c r="X23">
        <f t="shared" si="38"/>
        <v>-41.34047448101461</v>
      </c>
      <c r="AA23">
        <f t="shared" si="39"/>
        <v>-34.072548849297391</v>
      </c>
      <c r="AE23">
        <f t="shared" si="7"/>
        <v>-1.3723219999999992</v>
      </c>
      <c r="AH23">
        <f t="shared" si="40"/>
        <v>-1680.9523809523835</v>
      </c>
      <c r="AK23">
        <f t="shared" si="41"/>
        <v>690.47619047618969</v>
      </c>
    </row>
    <row r="24" spans="1:39" x14ac:dyDescent="0.3">
      <c r="A24" s="69" t="s">
        <v>123</v>
      </c>
      <c r="B24" s="15" t="s">
        <v>22</v>
      </c>
      <c r="C24" s="15" t="s">
        <v>15</v>
      </c>
      <c r="D24" s="15" t="str">
        <f t="shared" si="29"/>
        <v>6ppdqhigh</v>
      </c>
      <c r="E24" s="15" t="s">
        <v>34</v>
      </c>
      <c r="F24" s="15">
        <v>2.96</v>
      </c>
      <c r="G24" s="15">
        <v>1.82</v>
      </c>
      <c r="H24" s="15">
        <v>1.63</v>
      </c>
      <c r="I24" s="16">
        <v>1.73</v>
      </c>
      <c r="J24">
        <f t="shared" si="3"/>
        <v>4.6062640000000004</v>
      </c>
      <c r="K24">
        <f t="shared" si="4"/>
        <v>2.7213880000000001</v>
      </c>
      <c r="L24">
        <f t="shared" si="5"/>
        <v>2.4072420000000001</v>
      </c>
      <c r="M24">
        <f t="shared" si="6"/>
        <v>2.5725820000000001</v>
      </c>
      <c r="X24">
        <f t="shared" si="38"/>
        <v>-48.021763286027067</v>
      </c>
      <c r="AA24">
        <f t="shared" si="39"/>
        <v>-41.581650524073673</v>
      </c>
      <c r="AE24">
        <f t="shared" si="7"/>
        <v>-2.0336820000000002</v>
      </c>
      <c r="AH24">
        <f>((AE24-$AF$6)/$AF$6)*100</f>
        <v>-2442.8571428571481</v>
      </c>
      <c r="AK24">
        <f t="shared" si="41"/>
        <v>1071.4285714285711</v>
      </c>
    </row>
    <row r="25" spans="1:39" ht="15" thickBot="1" x14ac:dyDescent="0.35">
      <c r="A25" s="137" t="s">
        <v>123</v>
      </c>
      <c r="B25" s="71" t="s">
        <v>22</v>
      </c>
      <c r="C25" s="71" t="s">
        <v>15</v>
      </c>
      <c r="D25" s="71" t="str">
        <f t="shared" si="29"/>
        <v>6ppdqhigh</v>
      </c>
      <c r="E25" s="71" t="s">
        <v>35</v>
      </c>
      <c r="F25" s="71">
        <v>3.02</v>
      </c>
      <c r="G25" s="71">
        <v>1.75</v>
      </c>
      <c r="H25" s="71">
        <v>2.1</v>
      </c>
      <c r="I25" s="72">
        <v>2.85</v>
      </c>
      <c r="J25">
        <f t="shared" si="3"/>
        <v>4.7054679999999998</v>
      </c>
      <c r="K25">
        <f t="shared" si="4"/>
        <v>2.6056500000000002</v>
      </c>
      <c r="L25">
        <f t="shared" si="5"/>
        <v>3.1843400000000002</v>
      </c>
      <c r="M25">
        <f t="shared" si="6"/>
        <v>4.4243899999999998</v>
      </c>
      <c r="X25">
        <f t="shared" si="38"/>
        <v>-10.606545977957294</v>
      </c>
      <c r="AA25">
        <f t="shared" si="39"/>
        <v>0.46931885467349882</v>
      </c>
      <c r="AE25">
        <f t="shared" si="7"/>
        <v>-0.28107799999999994</v>
      </c>
      <c r="AH25">
        <f t="shared" si="40"/>
        <v>-423.80952380952442</v>
      </c>
      <c r="AK25">
        <f t="shared" si="41"/>
        <v>61.904761904761806</v>
      </c>
    </row>
    <row r="26" spans="1:39" x14ac:dyDescent="0.3">
      <c r="A26" s="73" t="s">
        <v>124</v>
      </c>
      <c r="B26" s="18" t="s">
        <v>21</v>
      </c>
      <c r="C26" s="18" t="s">
        <v>15</v>
      </c>
      <c r="D26" s="18" t="str">
        <f t="shared" si="29"/>
        <v>6ppdq+Carblow</v>
      </c>
      <c r="E26" s="18" t="s">
        <v>32</v>
      </c>
      <c r="F26" s="18">
        <v>3.06</v>
      </c>
      <c r="G26" s="18">
        <v>1.79</v>
      </c>
      <c r="H26" s="18">
        <v>1.65</v>
      </c>
      <c r="I26" s="19">
        <v>2.09</v>
      </c>
      <c r="J26">
        <f t="shared" si="3"/>
        <v>4.771604</v>
      </c>
      <c r="K26">
        <f t="shared" si="4"/>
        <v>2.671786</v>
      </c>
      <c r="L26">
        <f t="shared" si="5"/>
        <v>2.4403100000000002</v>
      </c>
      <c r="M26">
        <f t="shared" si="6"/>
        <v>3.1678059999999997</v>
      </c>
      <c r="P26">
        <f>AVERAGE(J26:J29)</f>
        <v>4.9410774999999996</v>
      </c>
      <c r="Q26">
        <f t="shared" ref="Q26" si="54">AVERAGE(K26:K29)</f>
        <v>2.9115289999999998</v>
      </c>
      <c r="R26">
        <f t="shared" ref="R26" si="55">AVERAGE(L26:L29)</f>
        <v>2.8743275000000001</v>
      </c>
      <c r="S26">
        <f t="shared" ref="S26" si="56">AVERAGE(M26:M29)</f>
        <v>4.0482414999999996</v>
      </c>
      <c r="T26">
        <f>_xlfn.STDEV.S(J26:J29)</f>
        <v>0.35471114311366059</v>
      </c>
      <c r="U26">
        <f t="shared" ref="U26" si="57">_xlfn.STDEV.S(K26:K29)</f>
        <v>0.47355792919698148</v>
      </c>
      <c r="V26">
        <f t="shared" ref="V26" si="58">_xlfn.STDEV.S(L26:L29)</f>
        <v>0.56318842694874405</v>
      </c>
      <c r="W26">
        <f t="shared" ref="W26" si="59">_xlfn.STDEV.S(M26:M29)</f>
        <v>0.8818865276914446</v>
      </c>
      <c r="X26">
        <f t="shared" si="38"/>
        <v>-35.995443437004646</v>
      </c>
      <c r="Y26">
        <f>AVERAGE(X26:X29)</f>
        <v>-18.206511993658964</v>
      </c>
      <c r="Z26">
        <f>_xlfn.STDEV.S(X26:X29)</f>
        <v>17.81824901643926</v>
      </c>
      <c r="AA26">
        <f t="shared" si="39"/>
        <v>-28.065267509476378</v>
      </c>
      <c r="AB26">
        <f>AVERAGE(AA26:AA29)</f>
        <v>-8.0722843003845188</v>
      </c>
      <c r="AC26">
        <f>_xlfn.STDEV.S(AA26:AA29)</f>
        <v>20.025933234699529</v>
      </c>
      <c r="AE26">
        <f t="shared" si="7"/>
        <v>-1.6037980000000003</v>
      </c>
      <c r="AF26">
        <f>AVERAGE(AE26:AE29)</f>
        <v>-0.89283599999999974</v>
      </c>
      <c r="AG26">
        <f t="shared" ref="AG26" si="60">_xlfn.STDEV.S(AE26:AE29)</f>
        <v>0.57307266968625692</v>
      </c>
      <c r="AH26">
        <f t="shared" si="40"/>
        <v>-1947.619047619052</v>
      </c>
      <c r="AI26">
        <f t="shared" ref="AI26" si="61">AVERAGE(AH26:AH29)</f>
        <v>-1128.5714285714305</v>
      </c>
      <c r="AJ26">
        <f t="shared" ref="AJ26" si="62">_xlfn.STDEV.S(AH26:AH29)</f>
        <v>660.19534890443174</v>
      </c>
      <c r="AK26">
        <f t="shared" si="41"/>
        <v>823.80952380952351</v>
      </c>
      <c r="AL26">
        <f t="shared" ref="AL26" si="63">AVERAGE(AK26:AK29)</f>
        <v>414.28571428571394</v>
      </c>
      <c r="AM26">
        <f t="shared" ref="AM26" si="64">_xlfn.STDEV.S(AK26:AK29)</f>
        <v>330.09767445221479</v>
      </c>
    </row>
    <row r="27" spans="1:39" x14ac:dyDescent="0.3">
      <c r="A27" s="73" t="s">
        <v>124</v>
      </c>
      <c r="B27" s="18" t="s">
        <v>21</v>
      </c>
      <c r="C27" s="18" t="s">
        <v>15</v>
      </c>
      <c r="D27" s="18" t="str">
        <f t="shared" si="29"/>
        <v>6ppdq+Carblow</v>
      </c>
      <c r="E27" s="18" t="s">
        <v>33</v>
      </c>
      <c r="F27" s="18">
        <v>2.91</v>
      </c>
      <c r="G27" s="18">
        <v>1.66</v>
      </c>
      <c r="H27" s="18">
        <v>1.6</v>
      </c>
      <c r="I27" s="19">
        <v>2.2400000000000002</v>
      </c>
      <c r="J27">
        <f t="shared" si="3"/>
        <v>4.5235940000000001</v>
      </c>
      <c r="K27">
        <f t="shared" si="4"/>
        <v>2.4568439999999998</v>
      </c>
      <c r="L27">
        <f t="shared" si="5"/>
        <v>2.3576400000000004</v>
      </c>
      <c r="M27">
        <f t="shared" si="6"/>
        <v>3.4158160000000004</v>
      </c>
      <c r="X27">
        <f t="shared" si="38"/>
        <v>-30.984476833245289</v>
      </c>
      <c r="AA27">
        <f t="shared" si="39"/>
        <v>-22.43344125339415</v>
      </c>
      <c r="AE27">
        <f t="shared" si="7"/>
        <v>-1.1077779999999997</v>
      </c>
      <c r="AH27">
        <f t="shared" si="40"/>
        <v>-1376.1904761904786</v>
      </c>
      <c r="AK27">
        <f t="shared" si="41"/>
        <v>538.09523809523773</v>
      </c>
    </row>
    <row r="28" spans="1:39" x14ac:dyDescent="0.3">
      <c r="A28" s="73" t="s">
        <v>124</v>
      </c>
      <c r="B28" s="18" t="s">
        <v>21</v>
      </c>
      <c r="C28" s="18" t="s">
        <v>15</v>
      </c>
      <c r="D28" s="18" t="str">
        <f t="shared" si="29"/>
        <v>6ppdq+Carblow</v>
      </c>
      <c r="E28" s="18" t="s">
        <v>34</v>
      </c>
      <c r="F28" s="18">
        <v>3.32</v>
      </c>
      <c r="G28" s="18">
        <v>2.3199999999999998</v>
      </c>
      <c r="H28" s="18">
        <v>2.11</v>
      </c>
      <c r="I28" s="19">
        <v>3.03</v>
      </c>
      <c r="J28">
        <f t="shared" si="3"/>
        <v>5.2014879999999994</v>
      </c>
      <c r="K28">
        <f t="shared" si="4"/>
        <v>3.5480879999999999</v>
      </c>
      <c r="L28">
        <f t="shared" si="5"/>
        <v>3.2008739999999998</v>
      </c>
      <c r="M28">
        <f t="shared" si="6"/>
        <v>4.7220019999999998</v>
      </c>
      <c r="X28">
        <f t="shared" si="38"/>
        <v>-4.5933860534460802</v>
      </c>
      <c r="AA28">
        <f t="shared" si="39"/>
        <v>7.2275103619721515</v>
      </c>
      <c r="AE28">
        <f t="shared" si="7"/>
        <v>-0.47948599999999963</v>
      </c>
      <c r="AH28">
        <f t="shared" si="40"/>
        <v>-652.3809523809532</v>
      </c>
      <c r="AK28">
        <f t="shared" si="41"/>
        <v>176.19047619047586</v>
      </c>
    </row>
    <row r="29" spans="1:39" ht="15" thickBot="1" x14ac:dyDescent="0.35">
      <c r="A29" s="138" t="s">
        <v>124</v>
      </c>
      <c r="B29" s="75" t="s">
        <v>21</v>
      </c>
      <c r="C29" s="75" t="s">
        <v>15</v>
      </c>
      <c r="D29" s="75" t="str">
        <f t="shared" si="29"/>
        <v>6ppdq+Carblow</v>
      </c>
      <c r="E29" s="75" t="s">
        <v>35</v>
      </c>
      <c r="F29" s="75">
        <v>3.36</v>
      </c>
      <c r="G29" s="75">
        <v>1.97</v>
      </c>
      <c r="H29" s="75">
        <v>2.29</v>
      </c>
      <c r="I29" s="76">
        <v>3.13</v>
      </c>
      <c r="J29">
        <f t="shared" si="3"/>
        <v>5.2676239999999996</v>
      </c>
      <c r="K29">
        <f t="shared" si="4"/>
        <v>2.969398</v>
      </c>
      <c r="L29">
        <f t="shared" si="5"/>
        <v>3.4984860000000002</v>
      </c>
      <c r="M29">
        <f t="shared" si="6"/>
        <v>4.8873420000000003</v>
      </c>
      <c r="X29">
        <f t="shared" si="38"/>
        <v>-1.2527416509398401</v>
      </c>
      <c r="AA29">
        <f t="shared" si="39"/>
        <v>10.982061199360304</v>
      </c>
      <c r="AE29">
        <f t="shared" si="7"/>
        <v>-0.38028199999999934</v>
      </c>
      <c r="AH29">
        <f t="shared" si="40"/>
        <v>-538.0952380952383</v>
      </c>
      <c r="AK29">
        <f t="shared" si="41"/>
        <v>119.04761904761858</v>
      </c>
    </row>
    <row r="30" spans="1:39" x14ac:dyDescent="0.3">
      <c r="A30" s="77" t="s">
        <v>124</v>
      </c>
      <c r="B30" s="21" t="s">
        <v>22</v>
      </c>
      <c r="C30" s="21" t="s">
        <v>15</v>
      </c>
      <c r="D30" s="21" t="str">
        <f t="shared" si="29"/>
        <v>6ppdq+Carbhigh</v>
      </c>
      <c r="E30" s="21" t="s">
        <v>32</v>
      </c>
      <c r="F30" s="21">
        <v>3.05</v>
      </c>
      <c r="G30" s="21">
        <v>1.45</v>
      </c>
      <c r="H30" s="21">
        <v>1.73</v>
      </c>
      <c r="I30" s="22">
        <v>2.31</v>
      </c>
      <c r="J30">
        <f t="shared" si="3"/>
        <v>4.7550699999999999</v>
      </c>
      <c r="K30">
        <f t="shared" si="4"/>
        <v>2.1096300000000001</v>
      </c>
      <c r="L30">
        <f t="shared" si="5"/>
        <v>2.5725820000000001</v>
      </c>
      <c r="M30">
        <f t="shared" si="6"/>
        <v>3.5315540000000003</v>
      </c>
      <c r="P30">
        <f>AVERAGE(J30:J33)</f>
        <v>4.5897300000000003</v>
      </c>
      <c r="Q30">
        <f t="shared" ref="Q30" si="65">AVERAGE(K30:K33)</f>
        <v>2.1881664999999999</v>
      </c>
      <c r="R30">
        <f t="shared" ref="R30" si="66">AVERAGE(L30:L33)</f>
        <v>2.5725819999999997</v>
      </c>
      <c r="S30">
        <f t="shared" ref="S30" si="67">AVERAGE(M30:M33)</f>
        <v>3.5480880000000004</v>
      </c>
      <c r="T30">
        <f>_xlfn.STDEV.S(J30:J33)</f>
        <v>0.39566613957055591</v>
      </c>
      <c r="U30">
        <f t="shared" ref="U30" si="68">_xlfn.STDEV.S(K30:K33)</f>
        <v>0.23591146293118812</v>
      </c>
      <c r="V30">
        <f t="shared" ref="V30" si="69">_xlfn.STDEV.S(L30:L33)</f>
        <v>0.10543801501672292</v>
      </c>
      <c r="W30">
        <f t="shared" ref="W30" si="70">_xlfn.STDEV.S(M30:M33)</f>
        <v>0.39933403853582705</v>
      </c>
      <c r="X30">
        <f t="shared" si="38"/>
        <v>-28.646025751490928</v>
      </c>
      <c r="Y30">
        <f>AVERAGE(X30:X33)</f>
        <v>-28.31196131124031</v>
      </c>
      <c r="Z30">
        <f>_xlfn.STDEV.S(X30:X33)</f>
        <v>8.0684227686277907</v>
      </c>
      <c r="AA30">
        <f t="shared" si="39"/>
        <v>-19.80525566722245</v>
      </c>
      <c r="AB30">
        <f>AVERAGE(AA30:AA33)</f>
        <v>-19.42980058348364</v>
      </c>
      <c r="AC30">
        <f>_xlfn.STDEV.S(AA30:AA33)</f>
        <v>9.0681017828854298</v>
      </c>
      <c r="AE30">
        <f t="shared" si="7"/>
        <v>-1.2235159999999996</v>
      </c>
      <c r="AF30">
        <f t="shared" ref="AF30" si="71">AVERAGE(AE30:AE33)</f>
        <v>-1.041642</v>
      </c>
      <c r="AG30">
        <f t="shared" ref="AG30" si="72">_xlfn.STDEV.S(AE30:AE33)</f>
        <v>0.12807181329238762</v>
      </c>
      <c r="AH30">
        <f t="shared" si="40"/>
        <v>-1509.5238095238121</v>
      </c>
      <c r="AI30">
        <f t="shared" ref="AI30" si="73">AVERAGE(AH30:AH33)</f>
        <v>-1300.0000000000027</v>
      </c>
      <c r="AJ30">
        <f t="shared" ref="AJ30" si="74">_xlfn.STDEV.S(AH30:AH33)</f>
        <v>147.54222271266354</v>
      </c>
      <c r="AK30">
        <f t="shared" si="41"/>
        <v>604.76190476190425</v>
      </c>
      <c r="AL30">
        <f t="shared" ref="AL30" si="75">AVERAGE(AK30:AK33)</f>
        <v>499.99999999999977</v>
      </c>
      <c r="AM30">
        <f>_xlfn.STDEV.S(AK30:AK33)</f>
        <v>73.771111356331645</v>
      </c>
    </row>
    <row r="31" spans="1:39" x14ac:dyDescent="0.3">
      <c r="A31" s="77" t="s">
        <v>124</v>
      </c>
      <c r="B31" s="21" t="s">
        <v>22</v>
      </c>
      <c r="C31" s="21" t="s">
        <v>15</v>
      </c>
      <c r="D31" s="21" t="str">
        <f t="shared" si="29"/>
        <v>6ppdq+Carbhigh</v>
      </c>
      <c r="E31" s="21" t="s">
        <v>33</v>
      </c>
      <c r="F31" s="21">
        <v>3.18</v>
      </c>
      <c r="G31" s="21">
        <v>1.41</v>
      </c>
      <c r="H31" s="21">
        <v>1.69</v>
      </c>
      <c r="I31" s="22">
        <v>2.58</v>
      </c>
      <c r="J31">
        <f t="shared" si="3"/>
        <v>4.9700120000000005</v>
      </c>
      <c r="K31">
        <f t="shared" si="4"/>
        <v>2.0434939999999999</v>
      </c>
      <c r="L31">
        <f t="shared" si="5"/>
        <v>2.506446</v>
      </c>
      <c r="M31">
        <f t="shared" si="6"/>
        <v>3.9779720000000003</v>
      </c>
      <c r="X31">
        <f t="shared" si="38"/>
        <v>-19.626285864724107</v>
      </c>
      <c r="AA31">
        <f t="shared" si="39"/>
        <v>-9.667968406274472</v>
      </c>
      <c r="AE31">
        <f t="shared" si="7"/>
        <v>-0.99204000000000025</v>
      </c>
      <c r="AH31">
        <f t="shared" si="40"/>
        <v>-1242.8571428571456</v>
      </c>
      <c r="AK31">
        <f t="shared" si="41"/>
        <v>471.42857142857133</v>
      </c>
    </row>
    <row r="32" spans="1:39" x14ac:dyDescent="0.3">
      <c r="A32" s="77" t="s">
        <v>124</v>
      </c>
      <c r="B32" s="21" t="s">
        <v>22</v>
      </c>
      <c r="C32" s="21" t="s">
        <v>15</v>
      </c>
      <c r="D32" s="21" t="str">
        <f t="shared" si="29"/>
        <v>6ppdq+Carbhigh</v>
      </c>
      <c r="E32" s="21" t="s">
        <v>34</v>
      </c>
      <c r="F32" s="21">
        <v>2.62</v>
      </c>
      <c r="G32" s="21">
        <v>1.42</v>
      </c>
      <c r="H32" s="21">
        <v>1.68</v>
      </c>
      <c r="I32" s="22">
        <v>2</v>
      </c>
      <c r="J32">
        <f t="shared" si="3"/>
        <v>4.0441080000000005</v>
      </c>
      <c r="K32">
        <f t="shared" si="4"/>
        <v>2.060028</v>
      </c>
      <c r="L32">
        <f t="shared" si="5"/>
        <v>2.4899119999999999</v>
      </c>
      <c r="M32">
        <f t="shared" si="6"/>
        <v>3.0190000000000001</v>
      </c>
      <c r="X32">
        <f t="shared" si="38"/>
        <v>-39.002023399260253</v>
      </c>
      <c r="AA32">
        <f t="shared" si="39"/>
        <v>-31.444363263125691</v>
      </c>
      <c r="AE32">
        <f t="shared" si="7"/>
        <v>-1.0251080000000004</v>
      </c>
      <c r="AH32">
        <f t="shared" si="40"/>
        <v>-1280.9523809523839</v>
      </c>
      <c r="AK32">
        <f t="shared" si="41"/>
        <v>490.47619047619042</v>
      </c>
    </row>
    <row r="33" spans="1:39" ht="15" thickBot="1" x14ac:dyDescent="0.35">
      <c r="A33" s="139" t="s">
        <v>124</v>
      </c>
      <c r="B33" s="79" t="s">
        <v>22</v>
      </c>
      <c r="C33" s="79" t="s">
        <v>15</v>
      </c>
      <c r="D33" s="79" t="str">
        <f t="shared" si="29"/>
        <v>6ppdq+Carbhigh</v>
      </c>
      <c r="E33" s="79" t="s">
        <v>35</v>
      </c>
      <c r="F33" s="79">
        <v>2.95</v>
      </c>
      <c r="G33" s="79">
        <v>1.71</v>
      </c>
      <c r="H33" s="79">
        <v>1.82</v>
      </c>
      <c r="I33" s="80">
        <v>2.39</v>
      </c>
      <c r="J33">
        <f t="shared" si="3"/>
        <v>4.5897300000000003</v>
      </c>
      <c r="K33">
        <f t="shared" si="4"/>
        <v>2.539514</v>
      </c>
      <c r="L33">
        <f t="shared" si="5"/>
        <v>2.7213880000000001</v>
      </c>
      <c r="M33">
        <f t="shared" si="6"/>
        <v>3.6638260000000002</v>
      </c>
      <c r="X33">
        <f t="shared" si="38"/>
        <v>-25.973510229485946</v>
      </c>
      <c r="AA33">
        <f t="shared" si="39"/>
        <v>-16.80161499731194</v>
      </c>
      <c r="AE33">
        <f t="shared" si="7"/>
        <v>-0.92590400000000006</v>
      </c>
      <c r="AH33">
        <f t="shared" si="40"/>
        <v>-1166.666666666669</v>
      </c>
      <c r="AK33">
        <f t="shared" si="41"/>
        <v>433.33333333333314</v>
      </c>
    </row>
    <row r="34" spans="1:39" x14ac:dyDescent="0.3">
      <c r="A34" s="81" t="s">
        <v>125</v>
      </c>
      <c r="B34" s="24" t="s">
        <v>21</v>
      </c>
      <c r="C34" s="24" t="s">
        <v>15</v>
      </c>
      <c r="D34" s="24" t="str">
        <f t="shared" si="29"/>
        <v>6ppdq+Diclow</v>
      </c>
      <c r="E34" s="24" t="s">
        <v>32</v>
      </c>
      <c r="F34" s="24">
        <v>2.87</v>
      </c>
      <c r="G34" s="24">
        <v>1.41</v>
      </c>
      <c r="H34" s="24">
        <v>1.74</v>
      </c>
      <c r="I34" s="25">
        <v>1.82</v>
      </c>
      <c r="J34">
        <f t="shared" si="3"/>
        <v>4.4574579999999999</v>
      </c>
      <c r="K34">
        <f t="shared" si="4"/>
        <v>2.0434939999999999</v>
      </c>
      <c r="L34">
        <f t="shared" si="5"/>
        <v>2.5891160000000002</v>
      </c>
      <c r="M34">
        <f t="shared" si="6"/>
        <v>2.7213880000000001</v>
      </c>
      <c r="P34">
        <f>AVERAGE(J34:J37)</f>
        <v>4.5731959999999994</v>
      </c>
      <c r="Q34">
        <f t="shared" ref="Q34" si="76">AVERAGE(K34:K37)</f>
        <v>2.4155090000000001</v>
      </c>
      <c r="R34">
        <f t="shared" ref="R34" si="77">AVERAGE(L34:L37)</f>
        <v>2.3369724999999999</v>
      </c>
      <c r="S34">
        <f t="shared" ref="S34" si="78">AVERAGE(M34:M37)</f>
        <v>3.2256750000000007</v>
      </c>
      <c r="T34">
        <f>_xlfn.STDEV.S(J34:J37)</f>
        <v>0.13018884618891124</v>
      </c>
      <c r="U34">
        <f t="shared" ref="U34" si="79">_xlfn.STDEV.S(K34:K37)</f>
        <v>0.42142784318868376</v>
      </c>
      <c r="V34">
        <f t="shared" ref="V34" si="80">_xlfn.STDEV.S(L34:L37)</f>
        <v>0.25592118309810435</v>
      </c>
      <c r="W34">
        <f t="shared" ref="W34" si="81">_xlfn.STDEV.S(M34:M37)</f>
        <v>0.6832497537962704</v>
      </c>
      <c r="X34">
        <f t="shared" si="38"/>
        <v>-45.01518332377146</v>
      </c>
      <c r="Y34">
        <f>AVERAGE(X34:X37)</f>
        <v>-34.82621789612746</v>
      </c>
      <c r="Z34">
        <f>_xlfn.STDEV.S(X34:X37)</f>
        <v>13.804853426474399</v>
      </c>
      <c r="AA34">
        <f t="shared" si="39"/>
        <v>-38.202554770424349</v>
      </c>
      <c r="AB34">
        <f>AVERAGE(AA34:AA37)</f>
        <v>-26.751174716390512</v>
      </c>
      <c r="AC34">
        <f>_xlfn.STDEV.S(AA34:AA37)</f>
        <v>15.515277218223279</v>
      </c>
      <c r="AE34">
        <f t="shared" si="7"/>
        <v>-1.7360699999999998</v>
      </c>
      <c r="AF34">
        <f t="shared" ref="AF34" si="82">AVERAGE(AE34:AE37)</f>
        <v>-1.3475209999999997</v>
      </c>
      <c r="AG34">
        <f t="shared" ref="AG34" si="83">_xlfn.STDEV.S(AE34:AE37)</f>
        <v>0.74194501939070068</v>
      </c>
      <c r="AH34">
        <f t="shared" si="40"/>
        <v>-2100.0000000000041</v>
      </c>
      <c r="AI34">
        <f t="shared" ref="AI34" si="84">AVERAGE(AH34:AH37)</f>
        <v>-1652.3809523809557</v>
      </c>
      <c r="AJ34">
        <f t="shared" ref="AJ34" si="85">_xlfn.STDEV.S(AH34:AH37)</f>
        <v>854.74090260266189</v>
      </c>
      <c r="AK34">
        <f t="shared" si="41"/>
        <v>899.99999999999943</v>
      </c>
      <c r="AL34">
        <f t="shared" ref="AL34" si="86">AVERAGE(AK34:AK37)</f>
        <v>676.19047619047581</v>
      </c>
      <c r="AM34">
        <f t="shared" ref="AM34" si="87">_xlfn.STDEV.S(AK34:AK37)</f>
        <v>427.37045130133009</v>
      </c>
    </row>
    <row r="35" spans="1:39" x14ac:dyDescent="0.3">
      <c r="A35" s="81" t="s">
        <v>125</v>
      </c>
      <c r="B35" s="24" t="s">
        <v>21</v>
      </c>
      <c r="C35" s="24" t="s">
        <v>15</v>
      </c>
      <c r="D35" s="24" t="str">
        <f t="shared" si="29"/>
        <v>6ppdq+Diclow</v>
      </c>
      <c r="E35" s="24" t="s">
        <v>33</v>
      </c>
      <c r="F35" s="24">
        <v>3.05</v>
      </c>
      <c r="G35" s="24">
        <v>1.43</v>
      </c>
      <c r="H35" s="24">
        <v>1.38</v>
      </c>
      <c r="I35" s="25">
        <v>1.8</v>
      </c>
      <c r="J35">
        <f t="shared" si="3"/>
        <v>4.7550699999999999</v>
      </c>
      <c r="K35">
        <f t="shared" si="4"/>
        <v>2.076562</v>
      </c>
      <c r="L35">
        <f t="shared" si="5"/>
        <v>1.9938919999999996</v>
      </c>
      <c r="M35">
        <f t="shared" si="6"/>
        <v>2.68832</v>
      </c>
      <c r="X35">
        <f t="shared" si="38"/>
        <v>-45.683312204272717</v>
      </c>
      <c r="AA35">
        <f t="shared" si="39"/>
        <v>-38.953464937901977</v>
      </c>
      <c r="AE35">
        <f t="shared" si="7"/>
        <v>-2.0667499999999999</v>
      </c>
      <c r="AH35">
        <f t="shared" si="40"/>
        <v>-2480.9523809523862</v>
      </c>
      <c r="AK35">
        <f t="shared" si="41"/>
        <v>1090.4761904761899</v>
      </c>
    </row>
    <row r="36" spans="1:39" x14ac:dyDescent="0.3">
      <c r="A36" s="81" t="s">
        <v>125</v>
      </c>
      <c r="B36" s="24" t="s">
        <v>21</v>
      </c>
      <c r="C36" s="24" t="s">
        <v>15</v>
      </c>
      <c r="D36" s="24" t="str">
        <f t="shared" si="29"/>
        <v>6ppdq+Diclow</v>
      </c>
      <c r="E36" s="24" t="s">
        <v>34</v>
      </c>
      <c r="F36" s="24">
        <v>2.94</v>
      </c>
      <c r="G36" s="24">
        <v>1.78</v>
      </c>
      <c r="H36" s="24">
        <v>1.57</v>
      </c>
      <c r="I36" s="25">
        <v>2.2000000000000002</v>
      </c>
      <c r="J36">
        <f t="shared" si="3"/>
        <v>4.5731960000000003</v>
      </c>
      <c r="K36">
        <f t="shared" si="4"/>
        <v>2.6552520000000004</v>
      </c>
      <c r="L36">
        <f t="shared" si="5"/>
        <v>2.3080380000000003</v>
      </c>
      <c r="M36">
        <f t="shared" si="6"/>
        <v>3.3496800000000002</v>
      </c>
      <c r="X36">
        <f t="shared" si="38"/>
        <v>-32.320734594247789</v>
      </c>
      <c r="AA36">
        <f t="shared" si="39"/>
        <v>-23.935261588349409</v>
      </c>
      <c r="AE36">
        <f t="shared" si="7"/>
        <v>-1.223516</v>
      </c>
      <c r="AH36">
        <f t="shared" si="40"/>
        <v>-1509.5238095238126</v>
      </c>
      <c r="AK36">
        <f t="shared" si="41"/>
        <v>604.76190476190447</v>
      </c>
    </row>
    <row r="37" spans="1:39" ht="15" thickBot="1" x14ac:dyDescent="0.35">
      <c r="A37" s="140" t="s">
        <v>125</v>
      </c>
      <c r="B37" s="83" t="s">
        <v>21</v>
      </c>
      <c r="C37" s="83" t="s">
        <v>15</v>
      </c>
      <c r="D37" s="83" t="str">
        <f t="shared" si="29"/>
        <v>6ppdq+Diclow</v>
      </c>
      <c r="E37" s="83" t="s">
        <v>35</v>
      </c>
      <c r="F37" s="83">
        <v>2.9</v>
      </c>
      <c r="G37" s="83">
        <v>1.92</v>
      </c>
      <c r="H37" s="83">
        <v>1.66</v>
      </c>
      <c r="I37" s="84">
        <v>2.68</v>
      </c>
      <c r="J37">
        <f t="shared" si="3"/>
        <v>4.5070600000000001</v>
      </c>
      <c r="K37">
        <f t="shared" si="4"/>
        <v>2.8867280000000002</v>
      </c>
      <c r="L37">
        <f t="shared" si="5"/>
        <v>2.4568439999999998</v>
      </c>
      <c r="M37">
        <f t="shared" si="6"/>
        <v>4.1433120000000008</v>
      </c>
      <c r="X37">
        <f t="shared" si="38"/>
        <v>-16.285641462217868</v>
      </c>
      <c r="AA37">
        <f t="shared" si="39"/>
        <v>-5.9134175688863193</v>
      </c>
      <c r="AE37">
        <f t="shared" si="7"/>
        <v>-0.36374799999999929</v>
      </c>
      <c r="AH37">
        <f t="shared" si="40"/>
        <v>-519.04761904761915</v>
      </c>
      <c r="AK37">
        <f t="shared" si="41"/>
        <v>109.52380952380905</v>
      </c>
    </row>
    <row r="38" spans="1:39" x14ac:dyDescent="0.3">
      <c r="A38" s="85" t="s">
        <v>125</v>
      </c>
      <c r="B38" s="27" t="s">
        <v>22</v>
      </c>
      <c r="C38" s="27" t="s">
        <v>15</v>
      </c>
      <c r="D38" s="27" t="str">
        <f t="shared" si="29"/>
        <v>6ppdq+Dichigh</v>
      </c>
      <c r="E38" s="27" t="s">
        <v>32</v>
      </c>
      <c r="F38" s="27">
        <v>3.23</v>
      </c>
      <c r="G38" s="27">
        <v>1.74</v>
      </c>
      <c r="H38" s="27">
        <v>1.84</v>
      </c>
      <c r="I38" s="28">
        <v>2.15</v>
      </c>
      <c r="J38">
        <f t="shared" si="3"/>
        <v>5.0526819999999999</v>
      </c>
      <c r="K38">
        <f t="shared" si="4"/>
        <v>2.5891160000000002</v>
      </c>
      <c r="L38">
        <f t="shared" si="5"/>
        <v>2.7544560000000002</v>
      </c>
      <c r="M38">
        <f t="shared" si="6"/>
        <v>3.26701</v>
      </c>
      <c r="P38">
        <f>AVERAGE(J38:J41)</f>
        <v>4.473992</v>
      </c>
      <c r="Q38">
        <f t="shared" ref="Q38" si="88">AVERAGE(K38:K41)</f>
        <v>2.6097834999999998</v>
      </c>
      <c r="R38">
        <f t="shared" ref="R38" si="89">AVERAGE(L38:L41)</f>
        <v>2.7172545000000001</v>
      </c>
      <c r="S38">
        <f t="shared" ref="S38" si="90">AVERAGE(M38:M41)</f>
        <v>3.6638259999999994</v>
      </c>
      <c r="T38">
        <f>_xlfn.STDEV.S(J38:J41)</f>
        <v>0.40746610911501963</v>
      </c>
      <c r="U38">
        <f t="shared" ref="U38" si="91">_xlfn.STDEV.S(K38:K41)</f>
        <v>9.2919510923881621E-2</v>
      </c>
      <c r="V38">
        <f t="shared" ref="V38" si="92">_xlfn.STDEV.S(L38:L41)</f>
        <v>6.3857781386974774E-2</v>
      </c>
      <c r="W38">
        <f t="shared" ref="W38" si="93">_xlfn.STDEV.S(M38:M41)</f>
        <v>0.62055753352825627</v>
      </c>
      <c r="X38">
        <f t="shared" si="38"/>
        <v>-33.99105679550091</v>
      </c>
      <c r="Y38">
        <f>AVERAGE(X38:X41)</f>
        <v>-25.973510229485953</v>
      </c>
      <c r="Z38">
        <f>_xlfn.STDEV.S(X38:X41)</f>
        <v>12.538176187336553</v>
      </c>
      <c r="AA38">
        <f t="shared" si="39"/>
        <v>-25.812537007043485</v>
      </c>
      <c r="AB38">
        <f>AVERAGE(AA38:AA41)</f>
        <v>-16.801614997311951</v>
      </c>
      <c r="AC38">
        <f>_xlfn.STDEV.S(AA38:AA41)</f>
        <v>14.091658444151532</v>
      </c>
      <c r="AE38">
        <f t="shared" si="7"/>
        <v>-1.7856719999999999</v>
      </c>
      <c r="AF38">
        <f t="shared" ref="AF38" si="94">AVERAGE(AE38:AE41)</f>
        <v>-0.81016600000000027</v>
      </c>
      <c r="AG38">
        <f>_xlfn.STDEV.S(AE38:AE41)</f>
        <v>0.78078302868338534</v>
      </c>
      <c r="AH38">
        <f t="shared" si="40"/>
        <v>-2157.1428571428614</v>
      </c>
      <c r="AI38">
        <f t="shared" ref="AI38" si="95">AVERAGE(AH38:AH41)</f>
        <v>-1033.3333333333355</v>
      </c>
      <c r="AJ38">
        <f t="shared" ref="AJ38" si="96">_xlfn.STDEV.S(AH38:AH41)</f>
        <v>899.48334880896175</v>
      </c>
      <c r="AK38">
        <f t="shared" si="41"/>
        <v>928.5714285714281</v>
      </c>
      <c r="AL38">
        <f t="shared" ref="AL38" si="97">AVERAGE(AK38:AK41)</f>
        <v>366.66666666666663</v>
      </c>
      <c r="AM38">
        <f t="shared" ref="AM38" si="98">_xlfn.STDEV.S(AK38:AK41)</f>
        <v>449.74167440447962</v>
      </c>
    </row>
    <row r="39" spans="1:39" x14ac:dyDescent="0.3">
      <c r="A39" s="85" t="s">
        <v>125</v>
      </c>
      <c r="B39" s="27" t="s">
        <v>22</v>
      </c>
      <c r="C39" s="27" t="s">
        <v>15</v>
      </c>
      <c r="D39" s="27" t="str">
        <f t="shared" si="29"/>
        <v>6ppdq+Dichigh</v>
      </c>
      <c r="E39" s="27" t="s">
        <v>33</v>
      </c>
      <c r="F39" s="27">
        <v>2.68</v>
      </c>
      <c r="G39" s="27">
        <v>1.68</v>
      </c>
      <c r="H39" s="27">
        <v>1.83</v>
      </c>
      <c r="I39" s="28">
        <v>2.0699999999999998</v>
      </c>
      <c r="J39">
        <f t="shared" si="3"/>
        <v>4.1433120000000008</v>
      </c>
      <c r="K39">
        <f t="shared" si="4"/>
        <v>2.4899119999999999</v>
      </c>
      <c r="L39">
        <f t="shared" si="5"/>
        <v>2.7379220000000002</v>
      </c>
      <c r="M39">
        <f t="shared" si="6"/>
        <v>3.134738</v>
      </c>
      <c r="X39">
        <f t="shared" si="38"/>
        <v>-36.663572317505889</v>
      </c>
      <c r="AA39">
        <f t="shared" si="39"/>
        <v>-28.816177676953998</v>
      </c>
      <c r="AE39">
        <f t="shared" si="7"/>
        <v>-1.0085740000000007</v>
      </c>
      <c r="AH39">
        <f t="shared" si="40"/>
        <v>-1261.9047619047653</v>
      </c>
      <c r="AK39">
        <f t="shared" si="41"/>
        <v>480.95238095238119</v>
      </c>
    </row>
    <row r="40" spans="1:39" x14ac:dyDescent="0.3">
      <c r="A40" s="85" t="s">
        <v>125</v>
      </c>
      <c r="B40" s="27" t="s">
        <v>22</v>
      </c>
      <c r="C40" s="27" t="s">
        <v>15</v>
      </c>
      <c r="D40" s="27" t="str">
        <f t="shared" si="29"/>
        <v>6ppdq+Dichigh</v>
      </c>
      <c r="E40" s="27" t="s">
        <v>34</v>
      </c>
      <c r="F40" s="27">
        <v>2.74</v>
      </c>
      <c r="G40" s="27">
        <v>1.78</v>
      </c>
      <c r="H40" s="27">
        <v>1.84</v>
      </c>
      <c r="I40" s="28">
        <v>2.44</v>
      </c>
      <c r="J40">
        <f t="shared" si="3"/>
        <v>4.2425160000000002</v>
      </c>
      <c r="K40">
        <f t="shared" si="4"/>
        <v>2.6552520000000004</v>
      </c>
      <c r="L40">
        <f t="shared" si="5"/>
        <v>2.7544560000000002</v>
      </c>
      <c r="M40">
        <f t="shared" si="6"/>
        <v>3.7464959999999996</v>
      </c>
      <c r="X40">
        <f t="shared" si="38"/>
        <v>-24.303188028232846</v>
      </c>
      <c r="AA40">
        <f t="shared" si="39"/>
        <v>-14.924339578617884</v>
      </c>
      <c r="AE40">
        <f t="shared" si="7"/>
        <v>-0.49602000000000057</v>
      </c>
      <c r="AH40">
        <f t="shared" si="40"/>
        <v>-671.42857142857326</v>
      </c>
      <c r="AK40">
        <f t="shared" si="41"/>
        <v>185.71428571428595</v>
      </c>
    </row>
    <row r="41" spans="1:39" ht="15" thickBot="1" x14ac:dyDescent="0.35">
      <c r="A41" s="141" t="s">
        <v>125</v>
      </c>
      <c r="B41" s="87" t="s">
        <v>22</v>
      </c>
      <c r="C41" s="87" t="s">
        <v>15</v>
      </c>
      <c r="D41" s="87" t="str">
        <f t="shared" si="29"/>
        <v>6ppdq+Dichigh</v>
      </c>
      <c r="E41" s="87" t="s">
        <v>35</v>
      </c>
      <c r="F41" s="87">
        <v>2.87</v>
      </c>
      <c r="G41" s="87">
        <v>1.81</v>
      </c>
      <c r="H41" s="87">
        <v>1.76</v>
      </c>
      <c r="I41" s="88">
        <v>2.9</v>
      </c>
      <c r="J41">
        <f t="shared" si="3"/>
        <v>4.4574579999999999</v>
      </c>
      <c r="K41">
        <f t="shared" si="4"/>
        <v>2.7048540000000001</v>
      </c>
      <c r="L41">
        <f t="shared" si="5"/>
        <v>2.6221840000000003</v>
      </c>
      <c r="M41">
        <f t="shared" si="6"/>
        <v>4.5070600000000001</v>
      </c>
      <c r="X41">
        <f t="shared" si="38"/>
        <v>-8.9362237767041748</v>
      </c>
      <c r="AA41">
        <f t="shared" si="39"/>
        <v>2.3465942733675749</v>
      </c>
      <c r="AE41">
        <f t="shared" si="7"/>
        <v>4.9602000000000146E-2</v>
      </c>
      <c r="AH41">
        <f t="shared" si="40"/>
        <v>-42.857142857142563</v>
      </c>
      <c r="AK41">
        <f t="shared" si="41"/>
        <v>-128.57142857142864</v>
      </c>
    </row>
    <row r="42" spans="1:39" x14ac:dyDescent="0.3">
      <c r="A42" s="89" t="s">
        <v>126</v>
      </c>
      <c r="B42" s="30" t="s">
        <v>21</v>
      </c>
      <c r="C42" s="30" t="s">
        <v>15</v>
      </c>
      <c r="D42" s="30" t="str">
        <f t="shared" si="29"/>
        <v>6ppdq+PFOSlow</v>
      </c>
      <c r="E42" s="30" t="s">
        <v>32</v>
      </c>
      <c r="F42" s="30">
        <v>3.33</v>
      </c>
      <c r="G42" s="30">
        <v>1.86</v>
      </c>
      <c r="H42" s="30">
        <v>1.76</v>
      </c>
      <c r="I42" s="31">
        <v>2.14</v>
      </c>
      <c r="J42">
        <f t="shared" si="3"/>
        <v>5.2180220000000004</v>
      </c>
      <c r="K42">
        <f t="shared" si="4"/>
        <v>2.7875240000000003</v>
      </c>
      <c r="L42">
        <f t="shared" si="5"/>
        <v>2.6221840000000003</v>
      </c>
      <c r="M42">
        <f t="shared" si="6"/>
        <v>3.2504760000000004</v>
      </c>
      <c r="P42">
        <f>AVERAGE(J42:J45)</f>
        <v>4.8129390000000001</v>
      </c>
      <c r="Q42">
        <f t="shared" ref="Q42" si="99">AVERAGE(K42:K45)</f>
        <v>3.0686019999999998</v>
      </c>
      <c r="R42">
        <f t="shared" ref="R42" si="100">AVERAGE(L42:L45)</f>
        <v>2.5601815000000001</v>
      </c>
      <c r="S42">
        <f t="shared" ref="S42" si="101">AVERAGE(M42:M45)</f>
        <v>3.6596925000000002</v>
      </c>
      <c r="T42">
        <f>_xlfn.STDEV.S(J42:J45)</f>
        <v>0.33410682727734481</v>
      </c>
      <c r="U42">
        <f t="shared" ref="U42" si="102">_xlfn.STDEV.S(K42:K45)</f>
        <v>0.24635105161537266</v>
      </c>
      <c r="V42">
        <f t="shared" ref="V42" si="103">_xlfn.STDEV.S(L42:L45)</f>
        <v>0.18330880254823195</v>
      </c>
      <c r="W42">
        <f t="shared" ref="W42" si="104">_xlfn.STDEV.S(M42:M45)</f>
        <v>0.40933478172721488</v>
      </c>
      <c r="X42">
        <f t="shared" si="38"/>
        <v>-34.325121235751524</v>
      </c>
      <c r="Y42">
        <f>AVERAGE(X42:X45)</f>
        <v>-26.057026339548607</v>
      </c>
      <c r="Z42">
        <f>_xlfn.STDEV.S(X42:X45)</f>
        <v>8.2704847425192387</v>
      </c>
      <c r="AA42">
        <f t="shared" si="39"/>
        <v>-26.187992090782291</v>
      </c>
      <c r="AB42">
        <f>AVERAGE(AA42:AA45)</f>
        <v>-16.895478768246647</v>
      </c>
      <c r="AC42">
        <f>_xlfn.STDEV.S(AA42:AA45)</f>
        <v>9.2951992712350702</v>
      </c>
      <c r="AE42">
        <f t="shared" si="7"/>
        <v>-1.967546</v>
      </c>
      <c r="AF42">
        <f t="shared" ref="AF42" si="105">AVERAGE(AE42:AE45)</f>
        <v>-1.1532464999999998</v>
      </c>
      <c r="AG42">
        <f t="shared" ref="AG42" si="106">_xlfn.STDEV.S(AE42:AE45)</f>
        <v>0.72791862156219134</v>
      </c>
      <c r="AH42">
        <f t="shared" si="40"/>
        <v>-2366.666666666672</v>
      </c>
      <c r="AI42">
        <f t="shared" ref="AI42" si="107">AVERAGE(AH42:AH45)</f>
        <v>-1428.5714285714316</v>
      </c>
      <c r="AJ42">
        <f t="shared" ref="AJ42" si="108">_xlfn.STDEV.S(AH42:AH45)</f>
        <v>838.58210966400236</v>
      </c>
      <c r="AK42">
        <f t="shared" si="41"/>
        <v>1033.3333333333328</v>
      </c>
      <c r="AL42">
        <f t="shared" ref="AL42" si="109">AVERAGE(AK42:AK45)</f>
        <v>564.28571428571399</v>
      </c>
      <c r="AM42">
        <f t="shared" ref="AM42" si="110">_xlfn.STDEV.S(AK42:AK45)</f>
        <v>419.29105483200004</v>
      </c>
    </row>
    <row r="43" spans="1:39" x14ac:dyDescent="0.3">
      <c r="A43" s="89" t="s">
        <v>126</v>
      </c>
      <c r="B43" s="30" t="s">
        <v>21</v>
      </c>
      <c r="C43" s="30" t="s">
        <v>15</v>
      </c>
      <c r="D43" s="30" t="str">
        <f t="shared" si="29"/>
        <v>6ppdq+PFOSlow</v>
      </c>
      <c r="E43" s="30" t="s">
        <v>33</v>
      </c>
      <c r="F43" s="30">
        <v>3.12</v>
      </c>
      <c r="G43" s="30">
        <v>2.16</v>
      </c>
      <c r="H43" s="30">
        <v>1.61</v>
      </c>
      <c r="I43" s="31">
        <v>2.41</v>
      </c>
      <c r="J43">
        <f t="shared" si="3"/>
        <v>4.8708080000000002</v>
      </c>
      <c r="K43">
        <f t="shared" si="4"/>
        <v>3.2835440000000005</v>
      </c>
      <c r="L43">
        <f t="shared" si="5"/>
        <v>2.3741740000000005</v>
      </c>
      <c r="M43">
        <f t="shared" si="6"/>
        <v>3.6968940000000003</v>
      </c>
      <c r="X43">
        <f t="shared" si="38"/>
        <v>-25.305381348984703</v>
      </c>
      <c r="AA43">
        <f t="shared" si="39"/>
        <v>-16.050704829834309</v>
      </c>
      <c r="AE43">
        <f t="shared" si="7"/>
        <v>-1.1739139999999999</v>
      </c>
      <c r="AH43">
        <f t="shared" si="40"/>
        <v>-1452.3809523809553</v>
      </c>
      <c r="AK43">
        <f t="shared" si="41"/>
        <v>576.19047619047581</v>
      </c>
    </row>
    <row r="44" spans="1:39" x14ac:dyDescent="0.3">
      <c r="A44" s="89" t="s">
        <v>126</v>
      </c>
      <c r="B44" s="30" t="s">
        <v>21</v>
      </c>
      <c r="C44" s="30" t="s">
        <v>15</v>
      </c>
      <c r="D44" s="30" t="str">
        <f t="shared" si="29"/>
        <v>6ppdq+PFOSlow</v>
      </c>
      <c r="E44" s="30" t="s">
        <v>34</v>
      </c>
      <c r="F44" s="30">
        <v>2.84</v>
      </c>
      <c r="G44" s="30">
        <v>2.15</v>
      </c>
      <c r="H44" s="30">
        <v>1.86</v>
      </c>
      <c r="I44" s="31">
        <v>2.72</v>
      </c>
      <c r="J44">
        <f t="shared" si="3"/>
        <v>4.4078559999999998</v>
      </c>
      <c r="K44">
        <f t="shared" si="4"/>
        <v>3.26701</v>
      </c>
      <c r="L44">
        <f t="shared" si="5"/>
        <v>2.7875240000000003</v>
      </c>
      <c r="M44">
        <f t="shared" si="6"/>
        <v>4.2094480000000001</v>
      </c>
      <c r="X44">
        <f t="shared" si="38"/>
        <v>-14.949383701215391</v>
      </c>
      <c r="AA44">
        <f t="shared" si="39"/>
        <v>-4.4115972339310785</v>
      </c>
      <c r="AE44">
        <f t="shared" si="7"/>
        <v>-0.1984079999999997</v>
      </c>
      <c r="AH44">
        <f t="shared" si="40"/>
        <v>-328.57142857142873</v>
      </c>
      <c r="AK44">
        <f t="shared" si="41"/>
        <v>14.285714285714066</v>
      </c>
    </row>
    <row r="45" spans="1:39" ht="15" thickBot="1" x14ac:dyDescent="0.35">
      <c r="A45" s="142" t="s">
        <v>126</v>
      </c>
      <c r="B45" s="91" t="s">
        <v>21</v>
      </c>
      <c r="C45" s="91" t="s">
        <v>15</v>
      </c>
      <c r="D45" s="91" t="str">
        <f t="shared" si="29"/>
        <v>6ppdq+PFOSlow</v>
      </c>
      <c r="E45" s="91" t="s">
        <v>35</v>
      </c>
      <c r="F45" s="91">
        <v>3.05</v>
      </c>
      <c r="G45" s="91">
        <v>1.95</v>
      </c>
      <c r="H45" s="91">
        <v>1.66</v>
      </c>
      <c r="I45" s="92">
        <v>2.2799999999999998</v>
      </c>
      <c r="J45">
        <f t="shared" si="3"/>
        <v>4.7550699999999999</v>
      </c>
      <c r="K45">
        <f t="shared" si="4"/>
        <v>2.9363299999999999</v>
      </c>
      <c r="L45">
        <f t="shared" si="5"/>
        <v>2.4568439999999998</v>
      </c>
      <c r="M45">
        <f t="shared" si="6"/>
        <v>3.4819519999999997</v>
      </c>
      <c r="X45">
        <f t="shared" si="38"/>
        <v>-29.64821907224281</v>
      </c>
      <c r="AA45">
        <f t="shared" si="39"/>
        <v>-20.931620918438906</v>
      </c>
      <c r="AE45">
        <f t="shared" si="7"/>
        <v>-1.2731180000000002</v>
      </c>
      <c r="AH45">
        <f t="shared" si="40"/>
        <v>-1566.6666666666702</v>
      </c>
      <c r="AK45">
        <f t="shared" si="41"/>
        <v>633.33333333333314</v>
      </c>
    </row>
    <row r="46" spans="1:39" x14ac:dyDescent="0.3">
      <c r="A46" s="93" t="s">
        <v>126</v>
      </c>
      <c r="B46" s="94" t="s">
        <v>22</v>
      </c>
      <c r="C46" s="94" t="s">
        <v>15</v>
      </c>
      <c r="D46" s="94" t="str">
        <f t="shared" si="29"/>
        <v>6ppdq+PFOShigh</v>
      </c>
      <c r="E46" s="94" t="s">
        <v>32</v>
      </c>
      <c r="F46" s="94">
        <v>2.87</v>
      </c>
      <c r="G46" s="94">
        <v>1.74</v>
      </c>
      <c r="H46" s="94">
        <v>1.57</v>
      </c>
      <c r="I46" s="95">
        <v>1.85</v>
      </c>
      <c r="J46">
        <f t="shared" si="3"/>
        <v>4.4574579999999999</v>
      </c>
      <c r="K46">
        <f t="shared" si="4"/>
        <v>2.5891160000000002</v>
      </c>
      <c r="L46">
        <f t="shared" si="5"/>
        <v>2.3080380000000003</v>
      </c>
      <c r="M46">
        <f t="shared" si="6"/>
        <v>2.7709900000000003</v>
      </c>
      <c r="P46">
        <f>AVERAGE(J46:J49)</f>
        <v>4.6806669999999997</v>
      </c>
      <c r="Q46">
        <f t="shared" ref="Q46" si="111">AVERAGE(K46:K49)</f>
        <v>2.9239295000000003</v>
      </c>
      <c r="R46">
        <f t="shared" ref="R46" si="112">AVERAGE(L46:L49)</f>
        <v>2.4031085000000001</v>
      </c>
      <c r="S46">
        <f t="shared" ref="S46" si="113">AVERAGE(M46:M49)</f>
        <v>2.985932</v>
      </c>
      <c r="T46">
        <f>_xlfn.STDEV.S(J46:J49)</f>
        <v>0.17575883086775473</v>
      </c>
      <c r="U46">
        <f t="shared" ref="U46" si="114">_xlfn.STDEV.S(K46:K49)</f>
        <v>0.23745149699464929</v>
      </c>
      <c r="V46">
        <f t="shared" ref="V46" si="115">_xlfn.STDEV.S(L46:L49)</f>
        <v>0.29154119849460042</v>
      </c>
      <c r="W46">
        <f t="shared" ref="W46" si="116">_xlfn.STDEV.S(M46:M49)</f>
        <v>0.53235029669069356</v>
      </c>
      <c r="X46">
        <f t="shared" si="38"/>
        <v>-44.012990003019596</v>
      </c>
      <c r="Y46">
        <f>AVERAGE(X46:X49)</f>
        <v>-39.670152279761496</v>
      </c>
      <c r="Z46">
        <f>_xlfn.STDEV.S(X46:X49)</f>
        <v>10.755975800243672</v>
      </c>
      <c r="AA46">
        <f t="shared" si="39"/>
        <v>-37.076189519207901</v>
      </c>
      <c r="AB46">
        <f>AVERAGE(AA46:AA49)</f>
        <v>-32.195273430603322</v>
      </c>
      <c r="AC46">
        <f>_xlfn.STDEV.S(AA46:AA49)</f>
        <v>12.088643112518787</v>
      </c>
      <c r="AE46">
        <f t="shared" si="7"/>
        <v>-1.6864679999999996</v>
      </c>
      <c r="AF46">
        <f t="shared" ref="AF46" si="117">AVERAGE(AE46:AE49)</f>
        <v>-1.6947350000000001</v>
      </c>
      <c r="AG46">
        <f t="shared" ref="AG46" si="118">_xlfn.STDEV.S(AE46:AE49)</f>
        <v>0.60592090944940913</v>
      </c>
      <c r="AH46">
        <f t="shared" si="40"/>
        <v>-2042.8571428571465</v>
      </c>
      <c r="AI46">
        <f t="shared" ref="AI46" si="119">AVERAGE(AH46:AH49)</f>
        <v>-2052.3809523809568</v>
      </c>
      <c r="AJ46">
        <f t="shared" ref="AJ46" si="120">_xlfn.STDEV.S(AH46:AH49)</f>
        <v>698.03741721175993</v>
      </c>
      <c r="AK46">
        <f t="shared" si="41"/>
        <v>871.42857142857088</v>
      </c>
      <c r="AL46">
        <f t="shared" ref="AL46" si="121">AVERAGE(AK46:AK49)</f>
        <v>876.19047619047581</v>
      </c>
      <c r="AM46">
        <f t="shared" ref="AM46" si="122">_xlfn.STDEV.S(AK46:AK49)</f>
        <v>349.01870860587974</v>
      </c>
    </row>
    <row r="47" spans="1:39" x14ac:dyDescent="0.3">
      <c r="A47" s="93" t="s">
        <v>126</v>
      </c>
      <c r="B47" s="94" t="s">
        <v>22</v>
      </c>
      <c r="C47" s="94" t="s">
        <v>15</v>
      </c>
      <c r="D47" s="94" t="str">
        <f t="shared" si="29"/>
        <v>6ppdq+PFOShigh</v>
      </c>
      <c r="E47" s="94" t="s">
        <v>33</v>
      </c>
      <c r="F47" s="94">
        <v>3.09</v>
      </c>
      <c r="G47" s="94">
        <v>1.95</v>
      </c>
      <c r="H47" s="94">
        <v>1.47</v>
      </c>
      <c r="I47" s="95">
        <v>1.77</v>
      </c>
      <c r="J47">
        <f t="shared" si="3"/>
        <v>4.8212060000000001</v>
      </c>
      <c r="K47">
        <f t="shared" si="4"/>
        <v>2.9363299999999999</v>
      </c>
      <c r="L47">
        <f t="shared" si="5"/>
        <v>2.1426980000000002</v>
      </c>
      <c r="M47">
        <f t="shared" si="6"/>
        <v>2.6387180000000003</v>
      </c>
      <c r="X47">
        <f t="shared" si="38"/>
        <v>-46.685505525024574</v>
      </c>
      <c r="AA47">
        <f t="shared" si="39"/>
        <v>-40.079830189118411</v>
      </c>
      <c r="AE47">
        <f t="shared" si="7"/>
        <v>-2.1824879999999998</v>
      </c>
      <c r="AH47">
        <f t="shared" si="40"/>
        <v>-2614.2857142857197</v>
      </c>
      <c r="AK47">
        <f t="shared" si="41"/>
        <v>1157.1428571428567</v>
      </c>
    </row>
    <row r="48" spans="1:39" x14ac:dyDescent="0.3">
      <c r="A48" s="93" t="s">
        <v>126</v>
      </c>
      <c r="B48" s="94" t="s">
        <v>22</v>
      </c>
      <c r="C48" s="94" t="s">
        <v>15</v>
      </c>
      <c r="D48" s="94" t="str">
        <f t="shared" si="29"/>
        <v>6ppdq+PFOShigh</v>
      </c>
      <c r="E48" s="94" t="s">
        <v>34</v>
      </c>
      <c r="F48" s="94">
        <v>3.09</v>
      </c>
      <c r="G48" s="94">
        <v>2.0699999999999998</v>
      </c>
      <c r="H48" s="94">
        <v>1.88</v>
      </c>
      <c r="I48" s="95">
        <v>1.84</v>
      </c>
      <c r="J48">
        <f t="shared" si="3"/>
        <v>4.8212060000000001</v>
      </c>
      <c r="K48">
        <f t="shared" si="4"/>
        <v>3.134738</v>
      </c>
      <c r="L48">
        <f t="shared" si="5"/>
        <v>2.820592</v>
      </c>
      <c r="M48">
        <f t="shared" si="6"/>
        <v>2.7544560000000002</v>
      </c>
      <c r="X48">
        <f t="shared" si="38"/>
        <v>-44.347054443270217</v>
      </c>
      <c r="AA48">
        <f t="shared" si="39"/>
        <v>-37.451644602946715</v>
      </c>
      <c r="AE48">
        <f t="shared" si="7"/>
        <v>-2.0667499999999999</v>
      </c>
      <c r="AH48">
        <f t="shared" si="40"/>
        <v>-2480.9523809523862</v>
      </c>
      <c r="AK48">
        <f t="shared" si="41"/>
        <v>1090.4761904761899</v>
      </c>
    </row>
    <row r="49" spans="1:39" ht="15" thickBot="1" x14ac:dyDescent="0.35">
      <c r="A49" s="143" t="s">
        <v>126</v>
      </c>
      <c r="B49" s="33" t="s">
        <v>22</v>
      </c>
      <c r="C49" s="33" t="s">
        <v>15</v>
      </c>
      <c r="D49" s="33" t="str">
        <f t="shared" si="29"/>
        <v>6ppdq+PFOShigh</v>
      </c>
      <c r="E49" s="33" t="s">
        <v>35</v>
      </c>
      <c r="F49" s="33">
        <v>2.97</v>
      </c>
      <c r="G49" s="33">
        <v>2.0099999999999998</v>
      </c>
      <c r="H49" s="33">
        <v>1.59</v>
      </c>
      <c r="I49" s="34">
        <v>2.46</v>
      </c>
      <c r="J49">
        <f t="shared" si="3"/>
        <v>4.6227980000000004</v>
      </c>
      <c r="K49">
        <f t="shared" si="4"/>
        <v>3.0355339999999997</v>
      </c>
      <c r="L49">
        <f t="shared" si="5"/>
        <v>2.3411060000000004</v>
      </c>
      <c r="M49">
        <f t="shared" si="6"/>
        <v>3.7795639999999997</v>
      </c>
      <c r="X49">
        <f>((M49-S$6)/S$6)*100</f>
        <v>-23.635059147731596</v>
      </c>
      <c r="AA49">
        <f t="shared" si="39"/>
        <v>-14.173429411140253</v>
      </c>
      <c r="AE49">
        <f t="shared" si="7"/>
        <v>-0.84323400000000071</v>
      </c>
      <c r="AH49">
        <f t="shared" si="40"/>
        <v>-1071.4285714285743</v>
      </c>
      <c r="AK49">
        <f t="shared" si="41"/>
        <v>385.71428571428595</v>
      </c>
    </row>
    <row r="50" spans="1:39" x14ac:dyDescent="0.3">
      <c r="A50" s="97" t="s">
        <v>123</v>
      </c>
      <c r="B50" s="98" t="s">
        <v>21</v>
      </c>
      <c r="C50" s="98" t="s">
        <v>19</v>
      </c>
      <c r="D50" s="98" t="str">
        <f>A50&amp;B50&amp;C50</f>
        <v>6ppdqlownutrients</v>
      </c>
      <c r="E50" s="98" t="s">
        <v>32</v>
      </c>
      <c r="F50" s="98">
        <v>2.75</v>
      </c>
      <c r="G50" s="98">
        <v>1.76</v>
      </c>
      <c r="H50" s="98">
        <v>3</v>
      </c>
      <c r="I50" s="99">
        <v>4.54</v>
      </c>
      <c r="J50">
        <f t="shared" si="3"/>
        <v>4.2590500000000002</v>
      </c>
      <c r="K50">
        <f t="shared" si="4"/>
        <v>2.6221840000000003</v>
      </c>
      <c r="L50">
        <f t="shared" si="5"/>
        <v>4.6724000000000006</v>
      </c>
      <c r="M50">
        <f t="shared" si="6"/>
        <v>7.2186360000000001</v>
      </c>
      <c r="P50">
        <f>AVERAGE(J50:J53)</f>
        <v>4.4037224999999998</v>
      </c>
      <c r="Q50">
        <f t="shared" ref="Q50" si="123">AVERAGE(K50:K53)</f>
        <v>3.0644685000000007</v>
      </c>
      <c r="R50">
        <f t="shared" ref="R50" si="124">AVERAGE(L50:L53)</f>
        <v>5.1973545000000012</v>
      </c>
      <c r="S50">
        <f t="shared" ref="S50" si="125">AVERAGE(M50:M53)</f>
        <v>8.1817414999999993</v>
      </c>
      <c r="T50">
        <f>_xlfn.STDEV.S(J50:J53)</f>
        <v>0.10045907463075021</v>
      </c>
      <c r="U50">
        <f t="shared" ref="U50" si="126">_xlfn.STDEV.S(K50:K53)</f>
        <v>0.32884930332043177</v>
      </c>
      <c r="V50">
        <f t="shared" ref="V50" si="127">_xlfn.STDEV.S(L50:L53)</f>
        <v>0.78640855931315179</v>
      </c>
      <c r="W50">
        <f t="shared" ref="W50" si="128">_xlfn.STDEV.S(M50:M53)</f>
        <v>1.47405501497638</v>
      </c>
      <c r="X50">
        <f>((M50-$S$14)/$S$14)*100</f>
        <v>0.63386920771054256</v>
      </c>
      <c r="Y50">
        <f>AVERAGE(X50:X53)</f>
        <v>14.060371516488352</v>
      </c>
      <c r="Z50">
        <f>_xlfn.STDEV.S(X50:X53)</f>
        <v>20.549569140499983</v>
      </c>
      <c r="AA50">
        <f>((M50-$S$10)/$S$10)*100</f>
        <v>-38.796179091630663</v>
      </c>
      <c r="AB50">
        <f>AVERAGE(AA50:AA53)</f>
        <v>-30.630406979300098</v>
      </c>
      <c r="AC50">
        <f>_xlfn.STDEV.S(AA50:AA53)</f>
        <v>12.49790114721087</v>
      </c>
      <c r="AE50">
        <f t="shared" si="7"/>
        <v>2.9595859999999998</v>
      </c>
      <c r="AF50">
        <f t="shared" ref="AF50" si="129">AVERAGE(AE50:AE53)</f>
        <v>3.7780189999999996</v>
      </c>
      <c r="AG50">
        <f t="shared" ref="AG50" si="130">_xlfn.STDEV.S(AE50:AE53)</f>
        <v>1.4108905689693534</v>
      </c>
      <c r="AH50">
        <f>((AE50-AF14)/$AF$14)*100</f>
        <v>3.1700288184438139</v>
      </c>
      <c r="AI50">
        <f t="shared" ref="AI50" si="131">AVERAGE(AH50:AH53)</f>
        <v>106.70028818443805</v>
      </c>
      <c r="AJ50">
        <f t="shared" ref="AJ50" si="132">_xlfn.STDEV.S(AH50:AH53)</f>
        <v>82.589314269491567</v>
      </c>
      <c r="AK50">
        <f>((AE50-$AF$10)/$AF$10)*100</f>
        <v>-59.109080525414051</v>
      </c>
      <c r="AL50">
        <f t="shared" ref="AL50" si="133">AVERAGE(AK50:AK53)</f>
        <v>-47.801256424900053</v>
      </c>
      <c r="AM50">
        <f t="shared" ref="AM50" si="134">_xlfn.STDEV.S(AK50:AK53)</f>
        <v>19.493473966689468</v>
      </c>
    </row>
    <row r="51" spans="1:39" x14ac:dyDescent="0.3">
      <c r="A51" s="97" t="s">
        <v>123</v>
      </c>
      <c r="B51" s="98" t="s">
        <v>21</v>
      </c>
      <c r="C51" s="98" t="s">
        <v>19</v>
      </c>
      <c r="D51" s="98" t="str">
        <f t="shared" ref="D51:D81" si="135">A51&amp;B51&amp;C51</f>
        <v>6ppdqlownutrients</v>
      </c>
      <c r="E51" s="98" t="s">
        <v>33</v>
      </c>
      <c r="F51" s="98">
        <v>2.86</v>
      </c>
      <c r="G51" s="98">
        <v>2.04</v>
      </c>
      <c r="H51" s="98">
        <v>3.63</v>
      </c>
      <c r="I51" s="99">
        <v>5.46</v>
      </c>
      <c r="J51">
        <f t="shared" si="3"/>
        <v>4.4409239999999999</v>
      </c>
      <c r="K51">
        <f t="shared" si="4"/>
        <v>3.0851360000000003</v>
      </c>
      <c r="L51">
        <f t="shared" si="5"/>
        <v>5.7140420000000001</v>
      </c>
      <c r="M51">
        <f t="shared" si="6"/>
        <v>8.7397639999999992</v>
      </c>
      <c r="X51">
        <f t="shared" ref="X51:X81" si="136">((M51-$S$14)/$S$14)*100</f>
        <v>21.839675429299529</v>
      </c>
      <c r="AA51">
        <f t="shared" ref="AA51:AA81" si="137">((M51-$S$10)/$S$10)*100</f>
        <v>-25.899165626662214</v>
      </c>
      <c r="AE51">
        <f t="shared" si="7"/>
        <v>4.2988399999999993</v>
      </c>
      <c r="AH51">
        <f t="shared" ref="AH51:AH81" si="138">((AE51-AF15)/$AF$14)*100</f>
        <v>149.85590778097983</v>
      </c>
      <c r="AK51">
        <f t="shared" ref="AK51:AK81" si="139">((AE51-$AF$10)/$AF$10)*100</f>
        <v>-40.605368360936609</v>
      </c>
    </row>
    <row r="52" spans="1:39" x14ac:dyDescent="0.3">
      <c r="A52" s="97" t="s">
        <v>123</v>
      </c>
      <c r="B52" s="98" t="s">
        <v>21</v>
      </c>
      <c r="C52" s="98" t="s">
        <v>19</v>
      </c>
      <c r="D52" s="98" t="str">
        <f t="shared" si="135"/>
        <v>6ppdqlownutrients</v>
      </c>
      <c r="E52" s="98" t="s">
        <v>34</v>
      </c>
      <c r="F52" s="98">
        <v>2.89</v>
      </c>
      <c r="G52" s="98">
        <v>2.2400000000000002</v>
      </c>
      <c r="H52" s="98">
        <v>3.81</v>
      </c>
      <c r="I52" s="99">
        <v>6.22</v>
      </c>
      <c r="J52">
        <f t="shared" si="3"/>
        <v>4.490526</v>
      </c>
      <c r="K52">
        <f t="shared" si="4"/>
        <v>3.4158160000000004</v>
      </c>
      <c r="L52">
        <f t="shared" si="5"/>
        <v>6.0116540000000001</v>
      </c>
      <c r="M52">
        <f t="shared" si="6"/>
        <v>9.9963479999999993</v>
      </c>
      <c r="X52">
        <f t="shared" si="136"/>
        <v>39.357515351481744</v>
      </c>
      <c r="AA52">
        <f t="shared" si="137"/>
        <v>-15.245111025166533</v>
      </c>
      <c r="AE52">
        <f t="shared" si="7"/>
        <v>5.5058219999999993</v>
      </c>
      <c r="AH52">
        <f t="shared" si="138"/>
        <v>191.93083573487033</v>
      </c>
      <c r="AK52">
        <f t="shared" si="139"/>
        <v>-23.929183323814961</v>
      </c>
    </row>
    <row r="53" spans="1:39" ht="15" thickBot="1" x14ac:dyDescent="0.35">
      <c r="A53" s="144" t="s">
        <v>123</v>
      </c>
      <c r="B53" s="101" t="s">
        <v>21</v>
      </c>
      <c r="C53" s="101" t="s">
        <v>19</v>
      </c>
      <c r="D53" s="101" t="str">
        <f t="shared" si="135"/>
        <v>6ppdqlownutrients</v>
      </c>
      <c r="E53" s="101" t="s">
        <v>35</v>
      </c>
      <c r="F53" s="101">
        <v>2.85</v>
      </c>
      <c r="G53" s="101">
        <v>2.0699999999999998</v>
      </c>
      <c r="H53" s="101">
        <v>2.83</v>
      </c>
      <c r="I53" s="102">
        <v>4.2699999999999996</v>
      </c>
      <c r="J53">
        <f t="shared" si="3"/>
        <v>4.4243899999999998</v>
      </c>
      <c r="K53">
        <f t="shared" si="4"/>
        <v>3.134738</v>
      </c>
      <c r="L53">
        <f t="shared" si="5"/>
        <v>4.3913220000000006</v>
      </c>
      <c r="M53">
        <f t="shared" si="6"/>
        <v>6.7722179999999996</v>
      </c>
      <c r="X53">
        <f t="shared" si="136"/>
        <v>-5.5895739225384089</v>
      </c>
      <c r="AA53">
        <f t="shared" si="137"/>
        <v>-42.581172173740974</v>
      </c>
      <c r="AE53">
        <f t="shared" si="7"/>
        <v>2.3478279999999998</v>
      </c>
      <c r="AH53">
        <f t="shared" si="138"/>
        <v>81.844380403458217</v>
      </c>
      <c r="AK53">
        <f t="shared" si="139"/>
        <v>-67.561393489434607</v>
      </c>
    </row>
    <row r="54" spans="1:39" x14ac:dyDescent="0.3">
      <c r="A54" s="103" t="s">
        <v>123</v>
      </c>
      <c r="B54" s="39" t="s">
        <v>22</v>
      </c>
      <c r="C54" s="39" t="s">
        <v>19</v>
      </c>
      <c r="D54" s="39" t="str">
        <f t="shared" si="135"/>
        <v>6ppdqhighnutrients</v>
      </c>
      <c r="E54" s="39" t="s">
        <v>32</v>
      </c>
      <c r="F54" s="39">
        <v>2.88</v>
      </c>
      <c r="G54" s="39">
        <v>1.36</v>
      </c>
      <c r="H54" s="39">
        <v>1.75</v>
      </c>
      <c r="I54" s="40">
        <v>4.2699999999999996</v>
      </c>
      <c r="J54">
        <f t="shared" si="3"/>
        <v>4.473992</v>
      </c>
      <c r="K54">
        <f t="shared" si="4"/>
        <v>1.9608239999999999</v>
      </c>
      <c r="L54">
        <f t="shared" si="5"/>
        <v>2.6056500000000002</v>
      </c>
      <c r="M54">
        <f t="shared" si="6"/>
        <v>6.7722179999999996</v>
      </c>
      <c r="P54">
        <f>AVERAGE(J54:J57)</f>
        <v>4.4574579999999999</v>
      </c>
      <c r="Q54">
        <f t="shared" ref="Q54" si="140">AVERAGE(K54:K57)</f>
        <v>2.0806955</v>
      </c>
      <c r="R54">
        <f t="shared" ref="R54" si="141">AVERAGE(L54:L57)</f>
        <v>3.4778184999999997</v>
      </c>
      <c r="S54">
        <f t="shared" ref="S54" si="142">AVERAGE(M54:M57)</f>
        <v>10.1492875</v>
      </c>
      <c r="T54">
        <f>_xlfn.STDEV.S(J54:J57)</f>
        <v>8.8525121511730864E-2</v>
      </c>
      <c r="U54">
        <f t="shared" ref="U54" si="143">_xlfn.STDEV.S(K54:K57)</f>
        <v>0.20534801998801955</v>
      </c>
      <c r="V54">
        <f t="shared" ref="V54" si="144">_xlfn.STDEV.S(L54:L57)</f>
        <v>0.68363308234632125</v>
      </c>
      <c r="W54">
        <f t="shared" ref="W54" si="145">_xlfn.STDEV.S(M54:M57)</f>
        <v>3.6956942128090535</v>
      </c>
      <c r="X54">
        <f t="shared" si="136"/>
        <v>-5.5895739225384089</v>
      </c>
      <c r="Y54">
        <f>AVERAGE(X54:X57)</f>
        <v>41.489620868326298</v>
      </c>
      <c r="Z54">
        <f>_xlfn.STDEV.S(X54:X57)</f>
        <v>51.52109180231821</v>
      </c>
      <c r="AA54">
        <f t="shared" si="137"/>
        <v>-42.581172173740974</v>
      </c>
      <c r="AB54">
        <f>AVERAGE(AA54:AA57)</f>
        <v>-13.948400432221334</v>
      </c>
      <c r="AC54">
        <f>_xlfn.STDEV.S(AA54:AA57)</f>
        <v>31.33425854037554</v>
      </c>
      <c r="AE54">
        <f t="shared" si="7"/>
        <v>2.2982259999999997</v>
      </c>
      <c r="AF54">
        <f t="shared" ref="AF54" si="146">AVERAGE(AE54:AE57)</f>
        <v>5.6918294999999999</v>
      </c>
      <c r="AG54">
        <f t="shared" ref="AG54" si="147">_xlfn.STDEV.S(AE54:AE57)</f>
        <v>3.761557676220983</v>
      </c>
      <c r="AH54">
        <f t="shared" si="138"/>
        <v>117.57925072046109</v>
      </c>
      <c r="AI54">
        <f t="shared" ref="AI54" si="148">AVERAGE(AH54:AH57)</f>
        <v>207.78097982708937</v>
      </c>
      <c r="AJ54">
        <f t="shared" ref="AJ54" si="149">_xlfn.STDEV.S(AH54:AH57)</f>
        <v>120.79065454341847</v>
      </c>
      <c r="AK54">
        <f t="shared" si="139"/>
        <v>-68.246716162193039</v>
      </c>
      <c r="AL54">
        <f t="shared" ref="AL54" si="150">AVERAGE(AK54:AK57)</f>
        <v>-21.359223300970871</v>
      </c>
      <c r="AM54">
        <f t="shared" ref="AM54" si="151">_xlfn.STDEV.S(AK54:AK57)</f>
        <v>51.971306810264302</v>
      </c>
    </row>
    <row r="55" spans="1:39" x14ac:dyDescent="0.3">
      <c r="A55" s="103" t="s">
        <v>123</v>
      </c>
      <c r="B55" s="39" t="s">
        <v>22</v>
      </c>
      <c r="C55" s="39" t="s">
        <v>19</v>
      </c>
      <c r="D55" s="39" t="str">
        <f t="shared" si="135"/>
        <v>6ppdqhighnutrients</v>
      </c>
      <c r="E55" s="39" t="s">
        <v>33</v>
      </c>
      <c r="F55" s="39">
        <v>2.87</v>
      </c>
      <c r="G55" s="39">
        <v>1.45</v>
      </c>
      <c r="H55" s="39">
        <v>2.76</v>
      </c>
      <c r="I55" s="40">
        <v>5.55</v>
      </c>
      <c r="J55">
        <f t="shared" si="3"/>
        <v>4.4574579999999999</v>
      </c>
      <c r="K55">
        <f t="shared" si="4"/>
        <v>2.1096300000000001</v>
      </c>
      <c r="L55">
        <f t="shared" si="5"/>
        <v>4.2755839999999994</v>
      </c>
      <c r="M55">
        <f t="shared" si="6"/>
        <v>8.8885699999999996</v>
      </c>
      <c r="X55">
        <f t="shared" si="136"/>
        <v>23.914156472715849</v>
      </c>
      <c r="AA55">
        <f t="shared" si="137"/>
        <v>-24.637501265958775</v>
      </c>
      <c r="AE55">
        <f t="shared" si="7"/>
        <v>4.4311119999999997</v>
      </c>
      <c r="AH55">
        <f t="shared" si="138"/>
        <v>154.46685878962538</v>
      </c>
      <c r="AK55">
        <f t="shared" si="139"/>
        <v>-38.777841233580808</v>
      </c>
    </row>
    <row r="56" spans="1:39" x14ac:dyDescent="0.3">
      <c r="A56" s="103" t="s">
        <v>123</v>
      </c>
      <c r="B56" s="39" t="s">
        <v>22</v>
      </c>
      <c r="C56" s="39" t="s">
        <v>19</v>
      </c>
      <c r="D56" s="39" t="str">
        <f t="shared" si="135"/>
        <v>6ppdqhighnutrients</v>
      </c>
      <c r="E56" s="39" t="s">
        <v>34</v>
      </c>
      <c r="F56" s="39">
        <v>2.93</v>
      </c>
      <c r="G56" s="39">
        <v>1.6</v>
      </c>
      <c r="H56" s="39">
        <v>2.3199999999999998</v>
      </c>
      <c r="I56" s="40">
        <v>5.94</v>
      </c>
      <c r="J56">
        <f t="shared" si="3"/>
        <v>4.5566620000000002</v>
      </c>
      <c r="K56">
        <f t="shared" si="4"/>
        <v>2.3576400000000004</v>
      </c>
      <c r="L56">
        <f t="shared" si="5"/>
        <v>3.5480879999999999</v>
      </c>
      <c r="M56">
        <f t="shared" si="6"/>
        <v>9.5333959999999998</v>
      </c>
      <c r="X56">
        <f t="shared" si="136"/>
        <v>32.903574327519884</v>
      </c>
      <c r="AA56">
        <f t="shared" si="137"/>
        <v>-19.170289036243883</v>
      </c>
      <c r="AE56">
        <f t="shared" si="7"/>
        <v>4.9767339999999995</v>
      </c>
      <c r="AH56">
        <f t="shared" si="138"/>
        <v>173.48703170028818</v>
      </c>
      <c r="AK56">
        <f t="shared" si="139"/>
        <v>-31.239291833238148</v>
      </c>
    </row>
    <row r="57" spans="1:39" ht="15" thickBot="1" x14ac:dyDescent="0.35">
      <c r="A57" s="145" t="s">
        <v>123</v>
      </c>
      <c r="B57" s="105" t="s">
        <v>22</v>
      </c>
      <c r="C57" s="105" t="s">
        <v>19</v>
      </c>
      <c r="D57" s="105" t="str">
        <f t="shared" si="135"/>
        <v>6ppdqhighnutrients</v>
      </c>
      <c r="E57" s="105" t="s">
        <v>35</v>
      </c>
      <c r="F57" s="105">
        <v>2.8</v>
      </c>
      <c r="G57" s="105">
        <v>1.32</v>
      </c>
      <c r="H57" s="105">
        <v>2.2799999999999998</v>
      </c>
      <c r="I57" s="106">
        <v>9.49</v>
      </c>
      <c r="J57">
        <f t="shared" si="3"/>
        <v>4.3417199999999996</v>
      </c>
      <c r="K57">
        <f t="shared" si="4"/>
        <v>1.8946880000000001</v>
      </c>
      <c r="L57">
        <f t="shared" si="5"/>
        <v>3.4819519999999997</v>
      </c>
      <c r="M57">
        <f t="shared" si="6"/>
        <v>15.402965999999999</v>
      </c>
      <c r="X57">
        <f t="shared" si="136"/>
        <v>114.73032659560786</v>
      </c>
      <c r="AA57">
        <f t="shared" si="137"/>
        <v>30.595360747058304</v>
      </c>
      <c r="AE57">
        <f t="shared" si="7"/>
        <v>11.061246000000001</v>
      </c>
      <c r="AH57">
        <f t="shared" si="138"/>
        <v>385.59077809798276</v>
      </c>
      <c r="AK57">
        <f t="shared" si="139"/>
        <v>52.826956025128524</v>
      </c>
    </row>
    <row r="58" spans="1:39" x14ac:dyDescent="0.3">
      <c r="A58" s="107" t="s">
        <v>124</v>
      </c>
      <c r="B58" s="42" t="s">
        <v>21</v>
      </c>
      <c r="C58" s="42" t="s">
        <v>19</v>
      </c>
      <c r="D58" s="42" t="str">
        <f t="shared" si="135"/>
        <v>6ppdq+Carblownutrients</v>
      </c>
      <c r="E58" s="42" t="s">
        <v>32</v>
      </c>
      <c r="F58" s="42">
        <v>2.82</v>
      </c>
      <c r="G58" s="42">
        <v>1.26</v>
      </c>
      <c r="H58" s="42">
        <v>2.06</v>
      </c>
      <c r="I58" s="43">
        <v>5.71</v>
      </c>
      <c r="J58">
        <f t="shared" si="3"/>
        <v>4.3747879999999997</v>
      </c>
      <c r="K58">
        <f t="shared" si="4"/>
        <v>1.7954839999999999</v>
      </c>
      <c r="L58">
        <f t="shared" si="5"/>
        <v>3.1182040000000004</v>
      </c>
      <c r="M58">
        <f t="shared" si="6"/>
        <v>9.1531139999999986</v>
      </c>
      <c r="P58">
        <f>AVERAGE(J58:J61)</f>
        <v>4.7137349999999998</v>
      </c>
      <c r="Q58">
        <f t="shared" ref="Q58" si="152">AVERAGE(K58:K61)</f>
        <v>2.0930960000000001</v>
      </c>
      <c r="R58">
        <f t="shared" ref="R58" si="153">AVERAGE(L58:L61)</f>
        <v>3.5191535000000003</v>
      </c>
      <c r="S58">
        <f t="shared" ref="S58" si="154">AVERAGE(M58:M61)</f>
        <v>10.690776</v>
      </c>
      <c r="T58">
        <f>_xlfn.STDEV.S(J58:J61)</f>
        <v>0.3341068272773447</v>
      </c>
      <c r="U58">
        <f t="shared" ref="U58" si="155">_xlfn.STDEV.S(K58:K61)</f>
        <v>0.2444945741292964</v>
      </c>
      <c r="V58">
        <f t="shared" ref="V58" si="156">_xlfn.STDEV.S(L58:L61)</f>
        <v>0.29711403247182161</v>
      </c>
      <c r="W58">
        <f t="shared" ref="W58" si="157">_xlfn.STDEV.S(M58:M61)</f>
        <v>1.1462248417025347</v>
      </c>
      <c r="X58">
        <f t="shared" si="136"/>
        <v>27.602122772122616</v>
      </c>
      <c r="Y58">
        <f>AVERAGE(X58:X61)</f>
        <v>49.038426887424549</v>
      </c>
      <c r="Z58">
        <f>_xlfn.STDEV.S(X58:X61)</f>
        <v>15.979340252441245</v>
      </c>
      <c r="AA58">
        <f t="shared" si="137"/>
        <v>-22.39454240248601</v>
      </c>
      <c r="AB58">
        <f>AVERAGE(AA58:AA61)</f>
        <v>-9.3573440085505002</v>
      </c>
      <c r="AC58">
        <f>_xlfn.STDEV.S(AA58:AA61)</f>
        <v>9.7183650667918329</v>
      </c>
      <c r="AE58">
        <f t="shared" si="7"/>
        <v>4.778325999999999</v>
      </c>
      <c r="AF58">
        <f t="shared" ref="AF58" si="158">AVERAGE(AE58:AE61)</f>
        <v>5.9770409999999989</v>
      </c>
      <c r="AG58">
        <f t="shared" ref="AG58" si="159">_xlfn.STDEV.S(AE58:AE61)</f>
        <v>0.86531443665525631</v>
      </c>
      <c r="AH58">
        <f t="shared" si="138"/>
        <v>212.53602305475502</v>
      </c>
      <c r="AI58">
        <f t="shared" ref="AI58" si="160">AVERAGE(AH58:AH61)</f>
        <v>219.84870317002881</v>
      </c>
      <c r="AJ58">
        <f t="shared" ref="AJ58" si="161">_xlfn.STDEV.S(AH58:AH61)</f>
        <v>12.554159482107597</v>
      </c>
      <c r="AK58">
        <f t="shared" si="139"/>
        <v>-33.980582524271853</v>
      </c>
      <c r="AL58">
        <f t="shared" ref="AL58" si="162">AVERAGE(AK58:AK61)</f>
        <v>-17.418617932609941</v>
      </c>
      <c r="AM58">
        <f t="shared" ref="AM58" si="163">_xlfn.STDEV.S(AK58:AK61)</f>
        <v>11.955558294121781</v>
      </c>
    </row>
    <row r="59" spans="1:39" x14ac:dyDescent="0.3">
      <c r="A59" s="107" t="s">
        <v>124</v>
      </c>
      <c r="B59" s="42" t="s">
        <v>21</v>
      </c>
      <c r="C59" s="42" t="s">
        <v>19</v>
      </c>
      <c r="D59" s="42" t="str">
        <f t="shared" si="135"/>
        <v>6ppdq+Carblownutrients</v>
      </c>
      <c r="E59" s="42" t="s">
        <v>33</v>
      </c>
      <c r="F59" s="42">
        <v>2.93</v>
      </c>
      <c r="G59" s="42">
        <v>1.62</v>
      </c>
      <c r="H59" s="42">
        <v>2.4700000000000002</v>
      </c>
      <c r="I59" s="43">
        <v>6.81</v>
      </c>
      <c r="J59">
        <f t="shared" si="3"/>
        <v>4.5566620000000002</v>
      </c>
      <c r="K59">
        <f t="shared" si="4"/>
        <v>2.3907080000000005</v>
      </c>
      <c r="L59">
        <f t="shared" si="5"/>
        <v>3.7960980000000006</v>
      </c>
      <c r="M59">
        <f t="shared" si="6"/>
        <v>10.971853999999999</v>
      </c>
      <c r="X59">
        <f t="shared" si="136"/>
        <v>52.956891080544246</v>
      </c>
      <c r="AA59">
        <f t="shared" si="137"/>
        <v>-6.9742002161106802</v>
      </c>
      <c r="AE59">
        <f t="shared" si="7"/>
        <v>6.4151919999999985</v>
      </c>
      <c r="AH59">
        <f t="shared" si="138"/>
        <v>223.63112391930832</v>
      </c>
      <c r="AK59">
        <f t="shared" si="139"/>
        <v>-11.364934323243871</v>
      </c>
    </row>
    <row r="60" spans="1:39" x14ac:dyDescent="0.3">
      <c r="A60" s="107" t="s">
        <v>124</v>
      </c>
      <c r="B60" s="42" t="s">
        <v>21</v>
      </c>
      <c r="C60" s="42" t="s">
        <v>19</v>
      </c>
      <c r="D60" s="42" t="str">
        <f t="shared" si="135"/>
        <v>6ppdq+Carblownutrients</v>
      </c>
      <c r="E60" s="42" t="s">
        <v>34</v>
      </c>
      <c r="F60" s="42">
        <v>3.06</v>
      </c>
      <c r="G60" s="42">
        <v>1.46</v>
      </c>
      <c r="H60" s="42">
        <v>2.2799999999999998</v>
      </c>
      <c r="I60" s="43">
        <v>6.66</v>
      </c>
      <c r="J60">
        <f t="shared" si="3"/>
        <v>4.771604</v>
      </c>
      <c r="K60">
        <f t="shared" si="4"/>
        <v>2.1261640000000002</v>
      </c>
      <c r="L60">
        <f t="shared" si="5"/>
        <v>3.4819519999999997</v>
      </c>
      <c r="M60">
        <f t="shared" si="6"/>
        <v>10.723844</v>
      </c>
      <c r="X60">
        <f t="shared" si="136"/>
        <v>49.4994226748504</v>
      </c>
      <c r="AA60">
        <f t="shared" si="137"/>
        <v>-9.0769741506163975</v>
      </c>
      <c r="AE60">
        <f t="shared" si="7"/>
        <v>5.9522399999999998</v>
      </c>
      <c r="AH60">
        <f t="shared" si="138"/>
        <v>207.49279538904904</v>
      </c>
      <c r="AK60">
        <f t="shared" si="139"/>
        <v>-17.761279268989142</v>
      </c>
    </row>
    <row r="61" spans="1:39" ht="15" thickBot="1" x14ac:dyDescent="0.35">
      <c r="A61" s="146" t="s">
        <v>124</v>
      </c>
      <c r="B61" s="109" t="s">
        <v>21</v>
      </c>
      <c r="C61" s="109" t="s">
        <v>19</v>
      </c>
      <c r="D61" s="109" t="str">
        <f t="shared" si="135"/>
        <v>6ppdq+Carblownutrients</v>
      </c>
      <c r="E61" s="109" t="s">
        <v>35</v>
      </c>
      <c r="F61" s="109">
        <v>3.29</v>
      </c>
      <c r="G61" s="109">
        <v>1.42</v>
      </c>
      <c r="H61" s="109">
        <v>2.4</v>
      </c>
      <c r="I61" s="110">
        <v>7.38</v>
      </c>
      <c r="J61">
        <f t="shared" si="3"/>
        <v>5.1518860000000002</v>
      </c>
      <c r="K61">
        <f t="shared" si="4"/>
        <v>2.060028</v>
      </c>
      <c r="L61">
        <f t="shared" si="5"/>
        <v>3.6803599999999999</v>
      </c>
      <c r="M61">
        <f t="shared" si="6"/>
        <v>11.914292</v>
      </c>
      <c r="X61">
        <f t="shared" si="136"/>
        <v>66.095271022180924</v>
      </c>
      <c r="AA61">
        <f t="shared" si="137"/>
        <v>1.0163407350110891</v>
      </c>
      <c r="AE61">
        <f t="shared" si="7"/>
        <v>6.7624059999999995</v>
      </c>
      <c r="AH61">
        <f t="shared" si="138"/>
        <v>235.7348703170029</v>
      </c>
      <c r="AK61">
        <f>((AE61-$AF$10)/$AF$10)*100</f>
        <v>-6.56767561393489</v>
      </c>
    </row>
    <row r="62" spans="1:39" x14ac:dyDescent="0.3">
      <c r="A62" s="111" t="s">
        <v>124</v>
      </c>
      <c r="B62" s="112" t="s">
        <v>22</v>
      </c>
      <c r="C62" s="112" t="s">
        <v>19</v>
      </c>
      <c r="D62" s="112" t="str">
        <f t="shared" si="135"/>
        <v>6ppdq+Carbhighnutrients</v>
      </c>
      <c r="E62" s="112" t="s">
        <v>32</v>
      </c>
      <c r="F62" s="112">
        <v>3.08</v>
      </c>
      <c r="G62" s="112">
        <v>1.5</v>
      </c>
      <c r="H62" s="112">
        <v>2.39</v>
      </c>
      <c r="I62" s="113">
        <v>6.6</v>
      </c>
      <c r="J62">
        <f t="shared" si="3"/>
        <v>4.8046720000000001</v>
      </c>
      <c r="K62">
        <f t="shared" si="4"/>
        <v>2.1923000000000004</v>
      </c>
      <c r="L62">
        <f t="shared" si="5"/>
        <v>3.6638260000000002</v>
      </c>
      <c r="M62">
        <f t="shared" si="6"/>
        <v>10.624639999999999</v>
      </c>
      <c r="P62">
        <f>AVERAGE(J62:J65)</f>
        <v>4.8336065000000001</v>
      </c>
      <c r="Q62">
        <f t="shared" ref="Q62" si="164">AVERAGE(K62:K65)</f>
        <v>2.5643150000000001</v>
      </c>
      <c r="R62">
        <f t="shared" ref="R62" si="165">AVERAGE(L62:L65)</f>
        <v>4.6227979999999995</v>
      </c>
      <c r="S62">
        <f t="shared" ref="S62" si="166">AVERAGE(M62:M65)</f>
        <v>13.923172999999998</v>
      </c>
      <c r="T62">
        <f>_xlfn.STDEV.S(J62:J65)</f>
        <v>0.35109615813857448</v>
      </c>
      <c r="U62">
        <f t="shared" ref="U62" si="167">_xlfn.STDEV.S(K62:K65)</f>
        <v>0.27945231834906398</v>
      </c>
      <c r="V62">
        <f t="shared" ref="V62" si="168">_xlfn.STDEV.S(L62:L65)</f>
        <v>0.76665004102263334</v>
      </c>
      <c r="W62">
        <f t="shared" ref="W62" si="169">_xlfn.STDEV.S(M62:M65)</f>
        <v>3.7858768396099047</v>
      </c>
      <c r="X62">
        <f t="shared" si="136"/>
        <v>48.116435312572861</v>
      </c>
      <c r="Y62">
        <f>AVERAGE(X62:X65)</f>
        <v>94.100765108301175</v>
      </c>
      <c r="Z62">
        <f>_xlfn.STDEV.S(X62:X65)</f>
        <v>52.778313619609506</v>
      </c>
      <c r="AA62">
        <f t="shared" si="137"/>
        <v>-9.9180837244186897</v>
      </c>
      <c r="AB62">
        <f>AVERAGE(AA62:AA65)</f>
        <v>18.048809604507468</v>
      </c>
      <c r="AC62">
        <f>_xlfn.STDEV.S(AA62:AA65)</f>
        <v>32.098879632194759</v>
      </c>
      <c r="AE62">
        <f t="shared" si="7"/>
        <v>5.8199679999999994</v>
      </c>
      <c r="AF62">
        <f t="shared" ref="AF62" si="170">AVERAGE(AE62:AE65)</f>
        <v>9.0895665000000001</v>
      </c>
      <c r="AG62">
        <f t="shared" ref="AG62" si="171">_xlfn.STDEV.S(AE62:AE65)</f>
        <v>3.6370384402446132</v>
      </c>
      <c r="AH62">
        <f t="shared" si="138"/>
        <v>234.00576368876082</v>
      </c>
      <c r="AI62">
        <f t="shared" ref="AI62" si="172">AVERAGE(AH62:AH65)</f>
        <v>324.63976945244957</v>
      </c>
      <c r="AJ62">
        <f t="shared" ref="AJ62" si="173">_xlfn.STDEV.S(AH62:AH65)</f>
        <v>118.11800905584863</v>
      </c>
      <c r="AK62">
        <f t="shared" si="139"/>
        <v>-19.588806396344943</v>
      </c>
      <c r="AL62">
        <f t="shared" ref="AL62" si="174">AVERAGE(AK62:AK65)</f>
        <v>25.58537978298115</v>
      </c>
      <c r="AM62">
        <f t="shared" ref="AM62" si="175">_xlfn.STDEV.S(AK62:AK65)</f>
        <v>50.250895221837226</v>
      </c>
    </row>
    <row r="63" spans="1:39" x14ac:dyDescent="0.3">
      <c r="A63" s="111" t="s">
        <v>124</v>
      </c>
      <c r="B63" s="112" t="s">
        <v>22</v>
      </c>
      <c r="C63" s="112" t="s">
        <v>19</v>
      </c>
      <c r="D63" s="112" t="str">
        <f t="shared" si="135"/>
        <v>6ppdq+Carbhighnutrients</v>
      </c>
      <c r="E63" s="112" t="s">
        <v>33</v>
      </c>
      <c r="F63" s="112">
        <v>2.82</v>
      </c>
      <c r="G63" s="112">
        <v>1.75</v>
      </c>
      <c r="H63" s="112">
        <v>2.88</v>
      </c>
      <c r="I63" s="113">
        <v>7.21</v>
      </c>
      <c r="J63">
        <f t="shared" si="3"/>
        <v>4.3747879999999997</v>
      </c>
      <c r="K63">
        <f t="shared" si="4"/>
        <v>2.6056500000000002</v>
      </c>
      <c r="L63">
        <f t="shared" si="5"/>
        <v>4.473992</v>
      </c>
      <c r="M63">
        <f t="shared" si="6"/>
        <v>11.633213999999999</v>
      </c>
      <c r="X63">
        <f t="shared" si="136"/>
        <v>62.176806829061206</v>
      </c>
      <c r="AA63">
        <f t="shared" si="137"/>
        <v>-1.3668030574287413</v>
      </c>
      <c r="AE63">
        <f t="shared" si="7"/>
        <v>7.2584259999999992</v>
      </c>
      <c r="AH63">
        <f t="shared" si="138"/>
        <v>253.02593659942363</v>
      </c>
      <c r="AK63">
        <f>((AE63-$AF$10)/$AF$10)*100</f>
        <v>0.2855511136493441</v>
      </c>
    </row>
    <row r="64" spans="1:39" x14ac:dyDescent="0.3">
      <c r="A64" s="111" t="s">
        <v>124</v>
      </c>
      <c r="B64" s="112" t="s">
        <v>22</v>
      </c>
      <c r="C64" s="112" t="s">
        <v>19</v>
      </c>
      <c r="D64" s="112" t="str">
        <f t="shared" si="135"/>
        <v>6ppdq+Carbhighnutrients</v>
      </c>
      <c r="E64" s="112" t="s">
        <v>34</v>
      </c>
      <c r="F64" s="112">
        <v>3.16</v>
      </c>
      <c r="G64" s="112">
        <v>1.74</v>
      </c>
      <c r="H64" s="112">
        <v>3.11</v>
      </c>
      <c r="I64" s="113">
        <v>11.72</v>
      </c>
      <c r="J64">
        <f t="shared" si="3"/>
        <v>4.9369440000000004</v>
      </c>
      <c r="K64">
        <f t="shared" si="4"/>
        <v>2.5891160000000002</v>
      </c>
      <c r="L64">
        <f t="shared" si="5"/>
        <v>4.8542740000000002</v>
      </c>
      <c r="M64">
        <f t="shared" si="6"/>
        <v>19.090047999999999</v>
      </c>
      <c r="X64">
        <f t="shared" si="136"/>
        <v>166.1313568935899</v>
      </c>
      <c r="AA64">
        <f t="shared" si="137"/>
        <v>61.856599906710109</v>
      </c>
      <c r="AE64">
        <f t="shared" si="7"/>
        <v>14.153103999999999</v>
      </c>
      <c r="AH64">
        <f t="shared" si="138"/>
        <v>493.37175792507207</v>
      </c>
      <c r="AK64">
        <f t="shared" si="139"/>
        <v>95.545402627070246</v>
      </c>
    </row>
    <row r="65" spans="1:39" ht="15" thickBot="1" x14ac:dyDescent="0.35">
      <c r="A65" s="147" t="s">
        <v>124</v>
      </c>
      <c r="B65" s="115" t="s">
        <v>22</v>
      </c>
      <c r="C65" s="115" t="s">
        <v>19</v>
      </c>
      <c r="D65" s="115" t="str">
        <f t="shared" si="135"/>
        <v>6ppdq+Carbhighnutrients</v>
      </c>
      <c r="E65" s="115" t="s">
        <v>35</v>
      </c>
      <c r="F65" s="115">
        <v>3.33</v>
      </c>
      <c r="G65" s="115">
        <v>1.91</v>
      </c>
      <c r="H65" s="115">
        <v>3.5</v>
      </c>
      <c r="I65" s="116">
        <v>8.85</v>
      </c>
      <c r="J65">
        <f t="shared" si="3"/>
        <v>5.2180220000000004</v>
      </c>
      <c r="K65">
        <f t="shared" si="4"/>
        <v>2.8701940000000001</v>
      </c>
      <c r="L65">
        <f t="shared" si="5"/>
        <v>5.4991000000000003</v>
      </c>
      <c r="M65">
        <f t="shared" si="6"/>
        <v>14.344789999999998</v>
      </c>
      <c r="X65">
        <f t="shared" si="136"/>
        <v>99.978461397980709</v>
      </c>
      <c r="AA65">
        <f t="shared" si="137"/>
        <v>21.623525293167194</v>
      </c>
      <c r="AE65">
        <f t="shared" si="7"/>
        <v>9.1267679999999984</v>
      </c>
      <c r="AH65">
        <f t="shared" si="138"/>
        <v>318.15561959654178</v>
      </c>
      <c r="AK65">
        <f t="shared" si="139"/>
        <v>26.099371787549963</v>
      </c>
    </row>
    <row r="66" spans="1:39" x14ac:dyDescent="0.3">
      <c r="A66" s="117" t="s">
        <v>125</v>
      </c>
      <c r="B66" s="48" t="s">
        <v>21</v>
      </c>
      <c r="C66" s="48" t="s">
        <v>19</v>
      </c>
      <c r="D66" s="48" t="str">
        <f t="shared" si="135"/>
        <v>6ppdq+Diclownutrients</v>
      </c>
      <c r="E66" s="48" t="s">
        <v>32</v>
      </c>
      <c r="F66" s="48">
        <v>2.6</v>
      </c>
      <c r="G66" s="48">
        <v>1.79</v>
      </c>
      <c r="H66" s="48">
        <v>1.97</v>
      </c>
      <c r="I66" s="49">
        <v>5.88</v>
      </c>
      <c r="J66">
        <f t="shared" si="3"/>
        <v>4.0110400000000004</v>
      </c>
      <c r="K66">
        <f t="shared" si="4"/>
        <v>2.671786</v>
      </c>
      <c r="L66">
        <f t="shared" si="5"/>
        <v>2.969398</v>
      </c>
      <c r="M66">
        <f t="shared" si="6"/>
        <v>9.4341919999999995</v>
      </c>
      <c r="P66">
        <f>AVERAGE(J66:J69)</f>
        <v>4.3210525000000004</v>
      </c>
      <c r="Q66">
        <f t="shared" ref="Q66" si="176">AVERAGE(K66:K69)</f>
        <v>2.5601815000000006</v>
      </c>
      <c r="R66">
        <f t="shared" ref="R66" si="177">AVERAGE(L66:L69)</f>
        <v>3.7712970000000006</v>
      </c>
      <c r="S66">
        <f t="shared" ref="S66" si="178">AVERAGE(M66:M69)</f>
        <v>8.2354769999999995</v>
      </c>
      <c r="T66">
        <f>_xlfn.STDEV.S(J66:J69)</f>
        <v>0.26707229848800612</v>
      </c>
      <c r="U66">
        <f t="shared" ref="U66" si="179">_xlfn.STDEV.S(K66:K69)</f>
        <v>0.1725540289522868</v>
      </c>
      <c r="V66">
        <f t="shared" ref="V66" si="180">_xlfn.STDEV.S(L66:L69)</f>
        <v>0.93846533460041059</v>
      </c>
      <c r="W66">
        <f t="shared" ref="W66" si="181">_xlfn.STDEV.S(M66:M69)</f>
        <v>2.756950508267908</v>
      </c>
      <c r="X66">
        <f t="shared" si="136"/>
        <v>31.520586965242337</v>
      </c>
      <c r="Y66">
        <f>AVERAGE(X66:X69)</f>
        <v>14.809489671055356</v>
      </c>
      <c r="Z66">
        <f>_xlfn.STDEV.S(X66:X69)</f>
        <v>38.434213452674932</v>
      </c>
      <c r="AA66">
        <f t="shared" si="137"/>
        <v>-20.011398610046179</v>
      </c>
      <c r="AB66">
        <f>AVERAGE(AA66:AA69)</f>
        <v>-30.174805960157183</v>
      </c>
      <c r="AC66">
        <f>_xlfn.STDEV.S(AA66:AA69)</f>
        <v>23.375039988339459</v>
      </c>
      <c r="AE66">
        <f t="shared" si="7"/>
        <v>5.4231519999999991</v>
      </c>
      <c r="AF66">
        <f t="shared" ref="AF66" si="182">AVERAGE(AE66:AE69)</f>
        <v>3.9144244999999995</v>
      </c>
      <c r="AG66">
        <f t="shared" ref="AG66" si="183">_xlfn.STDEV.S(AE66:AE69)</f>
        <v>2.9503308084178741</v>
      </c>
      <c r="AH66">
        <f t="shared" si="138"/>
        <v>225.36023054755043</v>
      </c>
      <c r="AI66">
        <f t="shared" ref="AI66" si="184">AVERAGE(AH66:AH69)</f>
        <v>145.53314121037465</v>
      </c>
      <c r="AJ66">
        <f t="shared" ref="AJ66" si="185">_xlfn.STDEV.S(AH66:AH69)</f>
        <v>110.36473220093643</v>
      </c>
      <c r="AK66">
        <f t="shared" si="139"/>
        <v>-25.07138777841234</v>
      </c>
      <c r="AL66">
        <f t="shared" ref="AL66" si="186">AVERAGE(AK66:AK69)</f>
        <v>-45.916619074814392</v>
      </c>
      <c r="AM66">
        <f t="shared" ref="AM66" si="187">_xlfn.STDEV.S(AK66:AK69)</f>
        <v>40.7630457470759</v>
      </c>
    </row>
    <row r="67" spans="1:39" x14ac:dyDescent="0.3">
      <c r="A67" s="117" t="s">
        <v>125</v>
      </c>
      <c r="B67" s="48" t="s">
        <v>21</v>
      </c>
      <c r="C67" s="48" t="s">
        <v>19</v>
      </c>
      <c r="D67" s="48" t="str">
        <f t="shared" si="135"/>
        <v>6ppdq+Diclownutrients</v>
      </c>
      <c r="E67" s="48" t="s">
        <v>33</v>
      </c>
      <c r="F67" s="48">
        <v>2.86</v>
      </c>
      <c r="G67" s="48">
        <v>1.57</v>
      </c>
      <c r="H67" s="48">
        <v>2.14</v>
      </c>
      <c r="I67" s="49">
        <v>3.4</v>
      </c>
      <c r="J67">
        <f t="shared" ref="J67:J81" si="188" xml:space="preserve"> 1.6534*(F67) - 0.2878</f>
        <v>4.4409239999999999</v>
      </c>
      <c r="K67">
        <f t="shared" ref="K67:K81" si="189" xml:space="preserve"> 1.6534*(G67) - 0.2878</f>
        <v>2.3080380000000003</v>
      </c>
      <c r="L67">
        <f t="shared" ref="L67:L81" si="190" xml:space="preserve"> 1.6534*(H67) - 0.2878</f>
        <v>3.2504760000000004</v>
      </c>
      <c r="M67">
        <f t="shared" ref="M67:M81" si="191" xml:space="preserve"> 1.6534*(I67) - 0.2878</f>
        <v>5.3337599999999998</v>
      </c>
      <c r="X67">
        <f t="shared" si="136"/>
        <v>-25.642890675562786</v>
      </c>
      <c r="AA67">
        <f t="shared" si="137"/>
        <v>-54.777260993874187</v>
      </c>
      <c r="AE67">
        <f t="shared" ref="AE67:AE81" si="192">M67-J67</f>
        <v>0.89283599999999996</v>
      </c>
      <c r="AH67">
        <f t="shared" si="138"/>
        <v>31.123919308357351</v>
      </c>
      <c r="AK67">
        <f t="shared" si="139"/>
        <v>-87.664191890348377</v>
      </c>
    </row>
    <row r="68" spans="1:39" x14ac:dyDescent="0.3">
      <c r="A68" s="117" t="s">
        <v>125</v>
      </c>
      <c r="B68" s="48" t="s">
        <v>21</v>
      </c>
      <c r="C68" s="48" t="s">
        <v>19</v>
      </c>
      <c r="D68" s="48" t="str">
        <f t="shared" si="135"/>
        <v>6ppdq+Diclownutrients</v>
      </c>
      <c r="E68" s="48" t="s">
        <v>34</v>
      </c>
      <c r="F68" s="48">
        <v>2.97</v>
      </c>
      <c r="G68" s="48">
        <v>1.74</v>
      </c>
      <c r="H68" s="48">
        <v>2.46</v>
      </c>
      <c r="I68" s="49">
        <v>4.22</v>
      </c>
      <c r="J68">
        <f t="shared" si="188"/>
        <v>4.6227980000000004</v>
      </c>
      <c r="K68">
        <f t="shared" si="189"/>
        <v>2.5891160000000002</v>
      </c>
      <c r="L68">
        <f t="shared" si="190"/>
        <v>3.7795639999999997</v>
      </c>
      <c r="M68">
        <f t="shared" si="191"/>
        <v>6.6895479999999994</v>
      </c>
      <c r="X68">
        <f t="shared" si="136"/>
        <v>-6.7420633911030317</v>
      </c>
      <c r="AA68">
        <f t="shared" si="137"/>
        <v>-43.282096818576214</v>
      </c>
      <c r="AE68">
        <f t="shared" si="192"/>
        <v>2.066749999999999</v>
      </c>
      <c r="AH68">
        <f t="shared" si="138"/>
        <v>72.046109510086438</v>
      </c>
      <c r="AK68">
        <f t="shared" si="139"/>
        <v>-71.444888635065681</v>
      </c>
    </row>
    <row r="69" spans="1:39" ht="15" thickBot="1" x14ac:dyDescent="0.35">
      <c r="A69" s="148" t="s">
        <v>125</v>
      </c>
      <c r="B69" s="119" t="s">
        <v>21</v>
      </c>
      <c r="C69" s="119" t="s">
        <v>19</v>
      </c>
      <c r="D69" s="119" t="str">
        <f t="shared" si="135"/>
        <v>6ppdq+Diclownutrients</v>
      </c>
      <c r="E69" s="119" t="s">
        <v>35</v>
      </c>
      <c r="F69" s="119">
        <v>2.72</v>
      </c>
      <c r="G69" s="119">
        <v>1.79</v>
      </c>
      <c r="H69" s="119">
        <v>3.25</v>
      </c>
      <c r="I69" s="120">
        <v>7.12</v>
      </c>
      <c r="J69">
        <f t="shared" si="188"/>
        <v>4.2094480000000001</v>
      </c>
      <c r="K69">
        <f t="shared" si="189"/>
        <v>2.671786</v>
      </c>
      <c r="L69">
        <f t="shared" si="190"/>
        <v>5.08575</v>
      </c>
      <c r="M69">
        <f t="shared" si="191"/>
        <v>11.484408</v>
      </c>
      <c r="X69">
        <f t="shared" si="136"/>
        <v>60.102325785644908</v>
      </c>
      <c r="AA69">
        <f t="shared" si="137"/>
        <v>-2.6284674181321659</v>
      </c>
      <c r="AE69">
        <f t="shared" si="192"/>
        <v>7.2749600000000001</v>
      </c>
      <c r="AH69">
        <f t="shared" si="138"/>
        <v>253.60230547550438</v>
      </c>
      <c r="AK69">
        <f t="shared" si="139"/>
        <v>0.51399200456883165</v>
      </c>
    </row>
    <row r="70" spans="1:39" x14ac:dyDescent="0.3">
      <c r="A70" s="121" t="s">
        <v>125</v>
      </c>
      <c r="B70" s="51" t="s">
        <v>22</v>
      </c>
      <c r="C70" s="51" t="s">
        <v>19</v>
      </c>
      <c r="D70" s="51" t="str">
        <f t="shared" si="135"/>
        <v>6ppdq+Dichighnutrients</v>
      </c>
      <c r="E70" s="51" t="s">
        <v>32</v>
      </c>
      <c r="F70" s="51">
        <v>2.72</v>
      </c>
      <c r="G70" s="51">
        <v>1.19</v>
      </c>
      <c r="H70" s="51">
        <v>1.87</v>
      </c>
      <c r="I70" s="52">
        <v>4.43</v>
      </c>
      <c r="J70">
        <f t="shared" si="188"/>
        <v>4.2094480000000001</v>
      </c>
      <c r="K70">
        <f t="shared" si="189"/>
        <v>1.6797459999999997</v>
      </c>
      <c r="L70">
        <f t="shared" si="190"/>
        <v>2.8040580000000004</v>
      </c>
      <c r="M70">
        <f t="shared" si="191"/>
        <v>7.0367619999999995</v>
      </c>
      <c r="P70">
        <f>AVERAGE(J70:J73)</f>
        <v>4.2962515000000003</v>
      </c>
      <c r="Q70">
        <f t="shared" ref="Q70" si="193">AVERAGE(K70:K73)</f>
        <v>2.4155090000000001</v>
      </c>
      <c r="R70">
        <f t="shared" ref="R70" si="194">AVERAGE(L70:L73)</f>
        <v>3.0603350000000002</v>
      </c>
      <c r="S70">
        <f t="shared" ref="S70" si="195">AVERAGE(M70:M73)</f>
        <v>6.6688805000000002</v>
      </c>
      <c r="T70">
        <f>_xlfn.STDEV.S(J70:J73)</f>
        <v>7.9150498998216703E-2</v>
      </c>
      <c r="U70">
        <f t="shared" ref="U70" si="196">_xlfn.STDEV.S(K70:K73)</f>
        <v>0.4916838357006808</v>
      </c>
      <c r="V70">
        <f t="shared" ref="V70" si="197">_xlfn.STDEV.S(L70:L73)</f>
        <v>0.43588340576351292</v>
      </c>
      <c r="W70">
        <f t="shared" ref="W70" si="198">_xlfn.STDEV.S(M70:M73)</f>
        <v>1.2893958388758324</v>
      </c>
      <c r="X70">
        <f t="shared" si="136"/>
        <v>-1.9016076231316279</v>
      </c>
      <c r="Y70">
        <f>AVERAGE(X70:X73)</f>
        <v>-7.0301857582441833</v>
      </c>
      <c r="Z70">
        <f>_xlfn.STDEV.S(X70:X73)</f>
        <v>17.975264607662371</v>
      </c>
      <c r="AA70">
        <f t="shared" si="137"/>
        <v>-40.338213310268202</v>
      </c>
      <c r="AB70">
        <f>AVERAGE(AA70:AA73)</f>
        <v>-43.457327979785028</v>
      </c>
      <c r="AC70">
        <f>_xlfn.STDEV.S(AA70:AA73)</f>
        <v>10.932252575493983</v>
      </c>
      <c r="AE70">
        <f t="shared" si="192"/>
        <v>2.8273139999999994</v>
      </c>
      <c r="AF70">
        <f t="shared" ref="AF70" si="199">AVERAGE(AE70:AE73)</f>
        <v>2.372628999999999</v>
      </c>
      <c r="AG70">
        <f t="shared" ref="AG70" si="200">_xlfn.STDEV.S(AE70:AE73)</f>
        <v>1.3524569445257764</v>
      </c>
      <c r="AH70">
        <f t="shared" si="138"/>
        <v>145.53314121037462</v>
      </c>
      <c r="AI70">
        <f t="shared" ref="AI70" si="201">AVERAGE(AH70:AH73)</f>
        <v>94.452449567723335</v>
      </c>
      <c r="AJ70">
        <f t="shared" ref="AJ70" si="202">_xlfn.STDEV.S(AH70:AH73)</f>
        <v>57.19057505827832</v>
      </c>
      <c r="AK70">
        <f t="shared" si="139"/>
        <v>-60.936607652769851</v>
      </c>
      <c r="AL70">
        <f t="shared" ref="AL70" si="203">AVERAGE(AK70:AK73)</f>
        <v>-67.218732153055413</v>
      </c>
      <c r="AM70">
        <f t="shared" ref="AM70" si="204">_xlfn.STDEV.S(AK70:AK73)</f>
        <v>18.686129753096537</v>
      </c>
    </row>
    <row r="71" spans="1:39" x14ac:dyDescent="0.3">
      <c r="A71" s="121" t="s">
        <v>125</v>
      </c>
      <c r="B71" s="51" t="s">
        <v>22</v>
      </c>
      <c r="C71" s="51" t="s">
        <v>19</v>
      </c>
      <c r="D71" s="51" t="str">
        <f t="shared" si="135"/>
        <v>6ppdq+Dichighnutrients</v>
      </c>
      <c r="E71" s="51" t="s">
        <v>33</v>
      </c>
      <c r="F71" s="51">
        <v>2.79</v>
      </c>
      <c r="G71" s="51">
        <v>1.76</v>
      </c>
      <c r="H71" s="51">
        <v>1.98</v>
      </c>
      <c r="I71" s="52">
        <v>3.85</v>
      </c>
      <c r="J71">
        <f t="shared" si="188"/>
        <v>4.3251860000000004</v>
      </c>
      <c r="K71">
        <f t="shared" si="189"/>
        <v>2.6221840000000003</v>
      </c>
      <c r="L71">
        <f t="shared" si="190"/>
        <v>2.985932</v>
      </c>
      <c r="M71">
        <f t="shared" si="191"/>
        <v>6.0777900000000002</v>
      </c>
      <c r="X71">
        <f t="shared" si="136"/>
        <v>-15.270485458481204</v>
      </c>
      <c r="AA71">
        <f t="shared" si="137"/>
        <v>-48.468939190357005</v>
      </c>
      <c r="AE71">
        <f t="shared" si="192"/>
        <v>1.7526039999999998</v>
      </c>
      <c r="AH71">
        <f t="shared" si="138"/>
        <v>61.095100864553316</v>
      </c>
      <c r="AK71">
        <f t="shared" si="139"/>
        <v>-75.785265562535699</v>
      </c>
    </row>
    <row r="72" spans="1:39" x14ac:dyDescent="0.3">
      <c r="A72" s="121" t="s">
        <v>125</v>
      </c>
      <c r="B72" s="51" t="s">
        <v>22</v>
      </c>
      <c r="C72" s="51" t="s">
        <v>19</v>
      </c>
      <c r="D72" s="51" t="str">
        <f t="shared" si="135"/>
        <v>6ppdq+Dichighnutrients</v>
      </c>
      <c r="E72" s="51" t="s">
        <v>34</v>
      </c>
      <c r="F72" s="51">
        <v>2.83</v>
      </c>
      <c r="G72" s="51">
        <v>1.78</v>
      </c>
      <c r="H72" s="51">
        <v>1.84</v>
      </c>
      <c r="I72" s="52">
        <v>3.37</v>
      </c>
      <c r="J72">
        <f t="shared" si="188"/>
        <v>4.3913220000000006</v>
      </c>
      <c r="K72">
        <f t="shared" si="189"/>
        <v>2.6552520000000004</v>
      </c>
      <c r="L72">
        <f t="shared" si="190"/>
        <v>2.7544560000000002</v>
      </c>
      <c r="M72">
        <f t="shared" si="191"/>
        <v>5.2841580000000006</v>
      </c>
      <c r="X72">
        <f t="shared" si="136"/>
        <v>-26.334384356701545</v>
      </c>
      <c r="AA72">
        <f t="shared" si="137"/>
        <v>-55.197815780775329</v>
      </c>
      <c r="AE72">
        <f t="shared" si="192"/>
        <v>0.89283599999999996</v>
      </c>
      <c r="AH72">
        <f t="shared" si="138"/>
        <v>31.123919308357351</v>
      </c>
      <c r="AK72">
        <f t="shared" si="139"/>
        <v>-87.664191890348377</v>
      </c>
    </row>
    <row r="73" spans="1:39" ht="15" thickBot="1" x14ac:dyDescent="0.35">
      <c r="A73" s="149" t="s">
        <v>125</v>
      </c>
      <c r="B73" s="123" t="s">
        <v>22</v>
      </c>
      <c r="C73" s="123" t="s">
        <v>19</v>
      </c>
      <c r="D73" s="123" t="str">
        <f t="shared" si="135"/>
        <v>6ppdq+Dichighnutrients</v>
      </c>
      <c r="E73" s="123" t="s">
        <v>35</v>
      </c>
      <c r="F73" s="123">
        <v>2.75</v>
      </c>
      <c r="G73" s="123">
        <v>1.81</v>
      </c>
      <c r="H73" s="123">
        <v>2.41</v>
      </c>
      <c r="I73" s="124">
        <v>5.18</v>
      </c>
      <c r="J73">
        <f t="shared" si="188"/>
        <v>4.2590500000000002</v>
      </c>
      <c r="K73">
        <f t="shared" si="189"/>
        <v>2.7048540000000001</v>
      </c>
      <c r="L73">
        <f t="shared" si="190"/>
        <v>3.6968940000000003</v>
      </c>
      <c r="M73">
        <f t="shared" si="191"/>
        <v>8.2768119999999978</v>
      </c>
      <c r="X73">
        <f t="shared" si="136"/>
        <v>15.385734405337642</v>
      </c>
      <c r="AA73">
        <f t="shared" si="137"/>
        <v>-29.824343637739581</v>
      </c>
      <c r="AE73">
        <f t="shared" si="192"/>
        <v>4.0177619999999976</v>
      </c>
      <c r="AH73">
        <f t="shared" si="138"/>
        <v>140.05763688760803</v>
      </c>
      <c r="AK73">
        <f t="shared" si="139"/>
        <v>-44.488863506567697</v>
      </c>
    </row>
    <row r="74" spans="1:39" x14ac:dyDescent="0.3">
      <c r="A74" s="125" t="s">
        <v>126</v>
      </c>
      <c r="B74" s="54" t="s">
        <v>21</v>
      </c>
      <c r="C74" s="54" t="s">
        <v>19</v>
      </c>
      <c r="D74" s="54" t="str">
        <f t="shared" si="135"/>
        <v>6ppdq+PFOSlownutrients</v>
      </c>
      <c r="E74" s="54" t="s">
        <v>32</v>
      </c>
      <c r="F74" s="54">
        <v>2.99</v>
      </c>
      <c r="G74" s="54">
        <v>1.19</v>
      </c>
      <c r="H74" s="54">
        <v>2.56</v>
      </c>
      <c r="I74" s="55">
        <v>3.92</v>
      </c>
      <c r="J74">
        <f t="shared" si="188"/>
        <v>4.6558660000000005</v>
      </c>
      <c r="K74">
        <f t="shared" si="189"/>
        <v>1.6797459999999997</v>
      </c>
      <c r="L74">
        <f t="shared" si="190"/>
        <v>3.9449040000000002</v>
      </c>
      <c r="M74">
        <f t="shared" si="191"/>
        <v>6.1935279999999997</v>
      </c>
      <c r="P74">
        <f>AVERAGE(J74:J77)</f>
        <v>4.490526</v>
      </c>
      <c r="Q74">
        <f t="shared" ref="Q74" si="205">AVERAGE(K74:K77)</f>
        <v>2.0228264999999999</v>
      </c>
      <c r="R74">
        <f t="shared" ref="R74" si="206">AVERAGE(L74:L77)</f>
        <v>4.4367905000000007</v>
      </c>
      <c r="S74">
        <f t="shared" ref="S74" si="207">AVERAGE(M74:M77)</f>
        <v>8.1900084999999994</v>
      </c>
      <c r="T74">
        <f>_xlfn.STDEV.S(J74:J77)</f>
        <v>0.15032913078530949</v>
      </c>
      <c r="U74">
        <f t="shared" ref="U74" si="208">_xlfn.STDEV.S(K74:K77)</f>
        <v>0.36006557629548541</v>
      </c>
      <c r="V74">
        <f t="shared" ref="V74" si="209">_xlfn.STDEV.S(L74:L77)</f>
        <v>0.4982882388106305</v>
      </c>
      <c r="W74">
        <f t="shared" ref="W74" si="210">_xlfn.STDEV.S(M74:M77)</f>
        <v>1.6800461465696996</v>
      </c>
      <c r="X74">
        <f t="shared" si="136"/>
        <v>-13.657000202490742</v>
      </c>
      <c r="Y74">
        <f>AVERAGE(X74:X77)</f>
        <v>14.175620463344819</v>
      </c>
      <c r="Z74">
        <f>_xlfn.STDEV.S(X74:X77)</f>
        <v>23.42125911000532</v>
      </c>
      <c r="AA74">
        <f t="shared" si="137"/>
        <v>-47.487644687587668</v>
      </c>
      <c r="AB74">
        <f>AVERAGE(AA74:AA77)</f>
        <v>-30.560314514816572</v>
      </c>
      <c r="AC74">
        <f>_xlfn.STDEV.S(AA74:AA77)</f>
        <v>14.244414522694781</v>
      </c>
      <c r="AE74">
        <f t="shared" si="192"/>
        <v>1.5376619999999992</v>
      </c>
      <c r="AF74">
        <f t="shared" ref="AF74" si="211">AVERAGE(AE74:AE77)</f>
        <v>3.6994824999999993</v>
      </c>
      <c r="AG74">
        <f t="shared" ref="AG74" si="212">_xlfn.STDEV.S(AE74:AE77)</f>
        <v>1.7559997990314056</v>
      </c>
      <c r="AH74">
        <f>((AE74-AF38)/$AF$14)*100</f>
        <v>81.844380403458203</v>
      </c>
      <c r="AI74">
        <f t="shared" ref="AI74" si="213">AVERAGE(AH74:AH77)</f>
        <v>136.02305475504323</v>
      </c>
      <c r="AJ74">
        <f t="shared" ref="AJ74" si="214">_xlfn.STDEV.S(AH74:AH77)</f>
        <v>50.275314957028478</v>
      </c>
      <c r="AK74">
        <f t="shared" si="139"/>
        <v>-78.754997144488868</v>
      </c>
      <c r="AL74">
        <f t="shared" ref="AL74" si="215">AVERAGE(AK74:AK77)</f>
        <v>-48.886350656767561</v>
      </c>
      <c r="AM74">
        <f t="shared" ref="AM74" si="216">_xlfn.STDEV.S(AK74:AK77)</f>
        <v>24.261652264736441</v>
      </c>
    </row>
    <row r="75" spans="1:39" x14ac:dyDescent="0.3">
      <c r="A75" s="125" t="s">
        <v>126</v>
      </c>
      <c r="B75" s="54" t="s">
        <v>21</v>
      </c>
      <c r="C75" s="54" t="s">
        <v>19</v>
      </c>
      <c r="D75" s="54" t="str">
        <f t="shared" si="135"/>
        <v>6ppdq+PFOSlownutrients</v>
      </c>
      <c r="E75" s="54" t="s">
        <v>33</v>
      </c>
      <c r="F75" s="54">
        <v>2.77</v>
      </c>
      <c r="G75" s="54">
        <v>1.49</v>
      </c>
      <c r="H75" s="54">
        <v>2.86</v>
      </c>
      <c r="I75" s="55">
        <v>5.19</v>
      </c>
      <c r="J75">
        <f t="shared" si="188"/>
        <v>4.2921180000000003</v>
      </c>
      <c r="K75">
        <f t="shared" si="189"/>
        <v>2.1757660000000003</v>
      </c>
      <c r="L75">
        <f t="shared" si="190"/>
        <v>4.4409239999999999</v>
      </c>
      <c r="M75">
        <f t="shared" si="191"/>
        <v>8.2933459999999997</v>
      </c>
      <c r="X75">
        <f t="shared" si="136"/>
        <v>15.616232299050589</v>
      </c>
      <c r="AA75">
        <f t="shared" si="137"/>
        <v>-29.684158708772518</v>
      </c>
      <c r="AE75">
        <f t="shared" si="192"/>
        <v>4.0012279999999993</v>
      </c>
      <c r="AH75">
        <f t="shared" si="138"/>
        <v>139.48126801152739</v>
      </c>
      <c r="AK75">
        <f t="shared" si="139"/>
        <v>-44.717304397487148</v>
      </c>
    </row>
    <row r="76" spans="1:39" x14ac:dyDescent="0.3">
      <c r="A76" s="125" t="s">
        <v>126</v>
      </c>
      <c r="B76" s="54" t="s">
        <v>21</v>
      </c>
      <c r="C76" s="54" t="s">
        <v>19</v>
      </c>
      <c r="D76" s="54" t="str">
        <f t="shared" si="135"/>
        <v>6ppdq+PFOSlownutrients</v>
      </c>
      <c r="E76" s="54" t="s">
        <v>34</v>
      </c>
      <c r="F76" s="54">
        <v>2.91</v>
      </c>
      <c r="G76" s="54">
        <v>1.25</v>
      </c>
      <c r="H76" s="54">
        <v>3.27</v>
      </c>
      <c r="I76" s="55">
        <v>5</v>
      </c>
      <c r="J76">
        <f t="shared" si="188"/>
        <v>4.5235940000000001</v>
      </c>
      <c r="K76">
        <f t="shared" si="189"/>
        <v>1.7789499999999998</v>
      </c>
      <c r="L76">
        <f t="shared" si="190"/>
        <v>5.1188180000000001</v>
      </c>
      <c r="M76">
        <f t="shared" si="191"/>
        <v>7.9791999999999996</v>
      </c>
      <c r="X76">
        <f t="shared" si="136"/>
        <v>11.236772318505036</v>
      </c>
      <c r="AA76">
        <f t="shared" si="137"/>
        <v>-32.347672359146443</v>
      </c>
      <c r="AE76">
        <f t="shared" si="192"/>
        <v>3.4556059999999995</v>
      </c>
      <c r="AH76">
        <f t="shared" si="138"/>
        <v>120.46109510086455</v>
      </c>
      <c r="AK76">
        <f t="shared" si="139"/>
        <v>-52.255853797829808</v>
      </c>
    </row>
    <row r="77" spans="1:39" ht="15" thickBot="1" x14ac:dyDescent="0.35">
      <c r="A77" s="150" t="s">
        <v>126</v>
      </c>
      <c r="B77" s="127" t="s">
        <v>21</v>
      </c>
      <c r="C77" s="127" t="s">
        <v>19</v>
      </c>
      <c r="D77" s="127" t="str">
        <f t="shared" si="135"/>
        <v>6ppdq+PFOSlownutrients</v>
      </c>
      <c r="E77" s="127" t="s">
        <v>35</v>
      </c>
      <c r="F77" s="127">
        <v>2.89</v>
      </c>
      <c r="G77" s="127">
        <v>1.66</v>
      </c>
      <c r="H77" s="127">
        <v>2.74</v>
      </c>
      <c r="I77" s="128">
        <v>6.4</v>
      </c>
      <c r="J77">
        <f t="shared" si="188"/>
        <v>4.490526</v>
      </c>
      <c r="K77">
        <f t="shared" si="189"/>
        <v>2.4568439999999998</v>
      </c>
      <c r="L77">
        <f t="shared" si="190"/>
        <v>4.2425160000000002</v>
      </c>
      <c r="M77">
        <f t="shared" si="191"/>
        <v>10.29396</v>
      </c>
      <c r="X77">
        <f t="shared" si="136"/>
        <v>43.506477438314391</v>
      </c>
      <c r="AA77">
        <f t="shared" si="137"/>
        <v>-12.721782303759651</v>
      </c>
      <c r="AE77">
        <f t="shared" si="192"/>
        <v>5.8034340000000002</v>
      </c>
      <c r="AH77">
        <f t="shared" si="138"/>
        <v>202.3054755043228</v>
      </c>
      <c r="AK77">
        <f t="shared" si="139"/>
        <v>-19.817247287264408</v>
      </c>
    </row>
    <row r="78" spans="1:39" x14ac:dyDescent="0.3">
      <c r="A78" s="129" t="s">
        <v>126</v>
      </c>
      <c r="B78" s="130" t="s">
        <v>22</v>
      </c>
      <c r="C78" s="130" t="s">
        <v>19</v>
      </c>
      <c r="D78" s="130" t="str">
        <f t="shared" si="135"/>
        <v>6ppdq+PFOShighnutrients</v>
      </c>
      <c r="E78" s="130" t="s">
        <v>32</v>
      </c>
      <c r="F78" s="130">
        <v>2.87</v>
      </c>
      <c r="G78" s="130">
        <v>1.35</v>
      </c>
      <c r="H78" s="130">
        <v>2.39</v>
      </c>
      <c r="I78" s="131">
        <v>3.7</v>
      </c>
      <c r="J78">
        <f t="shared" si="188"/>
        <v>4.4574579999999999</v>
      </c>
      <c r="K78">
        <f t="shared" si="189"/>
        <v>1.9442899999999999</v>
      </c>
      <c r="L78">
        <f t="shared" si="190"/>
        <v>3.6638260000000002</v>
      </c>
      <c r="M78">
        <f t="shared" si="191"/>
        <v>5.8297800000000004</v>
      </c>
      <c r="P78">
        <f>AVERAGE(J78:J81)</f>
        <v>4.4946595</v>
      </c>
      <c r="Q78">
        <f t="shared" ref="Q78" si="217">AVERAGE(K78:K81)</f>
        <v>2.0558945</v>
      </c>
      <c r="R78">
        <f t="shared" ref="R78" si="218">AVERAGE(L78:L81)</f>
        <v>3.2380755000000003</v>
      </c>
      <c r="S78">
        <f t="shared" ref="S78" si="219">AVERAGE(M78:M81)</f>
        <v>5.3626944999999999</v>
      </c>
      <c r="T78">
        <f>_xlfn.STDEV.S(J78:J81)</f>
        <v>2.8237180660729416E-2</v>
      </c>
      <c r="U78">
        <f t="shared" ref="U78" si="220">_xlfn.STDEV.S(K78:K81)</f>
        <v>0.24869796248662857</v>
      </c>
      <c r="V78">
        <f t="shared" ref="V78" si="221">_xlfn.STDEV.S(L78:L81)</f>
        <v>0.37905194178942392</v>
      </c>
      <c r="W78">
        <f t="shared" ref="W78" si="222">_xlfn.STDEV.S(M78:M81)</f>
        <v>0.70773438879356509</v>
      </c>
      <c r="X78">
        <f t="shared" si="136"/>
        <v>-18.72795386417506</v>
      </c>
      <c r="Y78">
        <f>AVERAGE(X78:X81)</f>
        <v>-25.239519361565161</v>
      </c>
      <c r="Z78">
        <f>_xlfn.STDEV.S(X78:X81)</f>
        <v>9.8664138094302789</v>
      </c>
      <c r="AA78">
        <f t="shared" si="137"/>
        <v>-50.571713124862725</v>
      </c>
      <c r="AB78">
        <f>AVERAGE(AA78:AA81)</f>
        <v>-54.531937368181843</v>
      </c>
      <c r="AC78">
        <f>_xlfn.STDEV.S(AA78:AA81)</f>
        <v>6.0005863687288787</v>
      </c>
      <c r="AE78">
        <f t="shared" si="192"/>
        <v>1.3723220000000005</v>
      </c>
      <c r="AF78">
        <f t="shared" ref="AF78" si="223">AVERAGE(AE78:AE81)</f>
        <v>0.86803500000000033</v>
      </c>
      <c r="AG78">
        <f t="shared" ref="AG78" si="224">_xlfn.STDEV.S(AE78:AE81)</f>
        <v>0.70787922341879761</v>
      </c>
      <c r="AH78">
        <f t="shared" si="138"/>
        <v>88.040345821325673</v>
      </c>
      <c r="AI78">
        <f t="shared" ref="AI78" si="225">AVERAGE(AH78:AH81)</f>
        <v>40.309798270893388</v>
      </c>
      <c r="AJ78">
        <f t="shared" ref="AJ78" si="226">_xlfn.STDEV.S(AH78:AH81)</f>
        <v>38.524193974884319</v>
      </c>
      <c r="AK78">
        <f t="shared" si="139"/>
        <v>-81.039406053683607</v>
      </c>
      <c r="AL78">
        <f t="shared" ref="AL78" si="227">AVERAGE(AK78:AK81)</f>
        <v>-88.006853226727586</v>
      </c>
      <c r="AM78">
        <f t="shared" ref="AM78" si="228">_xlfn.STDEV.S(AK78:AK81)</f>
        <v>9.7803653357430687</v>
      </c>
    </row>
    <row r="79" spans="1:39" x14ac:dyDescent="0.3">
      <c r="A79" s="129" t="s">
        <v>126</v>
      </c>
      <c r="B79" s="130" t="s">
        <v>22</v>
      </c>
      <c r="C79" s="130" t="s">
        <v>19</v>
      </c>
      <c r="D79" s="130" t="str">
        <f t="shared" si="135"/>
        <v>6ppdq+PFOShighnutrients</v>
      </c>
      <c r="E79" s="130" t="s">
        <v>33</v>
      </c>
      <c r="F79" s="130">
        <v>2.9</v>
      </c>
      <c r="G79" s="130">
        <v>1.31</v>
      </c>
      <c r="H79" s="130">
        <v>1.85</v>
      </c>
      <c r="I79" s="131">
        <v>3.13</v>
      </c>
      <c r="J79">
        <f t="shared" si="188"/>
        <v>4.5070600000000001</v>
      </c>
      <c r="K79">
        <f t="shared" si="189"/>
        <v>1.8781540000000001</v>
      </c>
      <c r="L79">
        <f t="shared" si="190"/>
        <v>2.7709900000000003</v>
      </c>
      <c r="M79">
        <f t="shared" si="191"/>
        <v>4.8873420000000003</v>
      </c>
      <c r="X79">
        <f t="shared" si="136"/>
        <v>-31.866333805811724</v>
      </c>
      <c r="AA79">
        <f t="shared" si="137"/>
        <v>-58.562254075984491</v>
      </c>
      <c r="AE79">
        <f t="shared" si="192"/>
        <v>0.38028200000000023</v>
      </c>
      <c r="AH79">
        <f t="shared" si="138"/>
        <v>13.256484149855918</v>
      </c>
      <c r="AK79">
        <f t="shared" si="139"/>
        <v>-94.745859508852078</v>
      </c>
    </row>
    <row r="80" spans="1:39" x14ac:dyDescent="0.3">
      <c r="A80" s="129" t="s">
        <v>126</v>
      </c>
      <c r="B80" s="130" t="s">
        <v>22</v>
      </c>
      <c r="C80" s="130" t="s">
        <v>19</v>
      </c>
      <c r="D80" s="130" t="str">
        <f t="shared" si="135"/>
        <v>6ppdq+PFOShighnutrients</v>
      </c>
      <c r="E80" s="130" t="s">
        <v>34</v>
      </c>
      <c r="F80" s="130">
        <v>2.91</v>
      </c>
      <c r="G80" s="130">
        <v>1.64</v>
      </c>
      <c r="H80" s="130">
        <v>2.2200000000000002</v>
      </c>
      <c r="I80" s="131">
        <v>3.86</v>
      </c>
      <c r="J80">
        <f t="shared" si="188"/>
        <v>4.5235940000000001</v>
      </c>
      <c r="K80">
        <f t="shared" si="189"/>
        <v>2.4237760000000002</v>
      </c>
      <c r="L80">
        <f t="shared" si="190"/>
        <v>3.3827480000000003</v>
      </c>
      <c r="M80">
        <f t="shared" si="191"/>
        <v>6.0943240000000003</v>
      </c>
      <c r="X80">
        <f t="shared" si="136"/>
        <v>-15.039987564768278</v>
      </c>
      <c r="AA80">
        <f t="shared" si="137"/>
        <v>-48.328754261389953</v>
      </c>
      <c r="AE80">
        <f t="shared" si="192"/>
        <v>1.5707300000000002</v>
      </c>
      <c r="AH80">
        <f t="shared" si="138"/>
        <v>54.755043227665723</v>
      </c>
      <c r="AK80">
        <f t="shared" si="139"/>
        <v>-78.298115362649909</v>
      </c>
    </row>
    <row r="81" spans="1:37" ht="15" thickBot="1" x14ac:dyDescent="0.35">
      <c r="A81" s="151" t="s">
        <v>126</v>
      </c>
      <c r="B81" s="133" t="s">
        <v>22</v>
      </c>
      <c r="C81" s="133" t="s">
        <v>19</v>
      </c>
      <c r="D81" s="133" t="str">
        <f t="shared" si="135"/>
        <v>6ppdq+PFOShighnutrients</v>
      </c>
      <c r="E81" s="133" t="s">
        <v>35</v>
      </c>
      <c r="F81" s="133">
        <v>2.89</v>
      </c>
      <c r="G81" s="133">
        <v>1.37</v>
      </c>
      <c r="H81" s="133">
        <v>2.0699999999999998</v>
      </c>
      <c r="I81" s="134">
        <v>2.98</v>
      </c>
      <c r="J81">
        <f xml:space="preserve"> 1.6534*(F81) - 0.2878</f>
        <v>4.490526</v>
      </c>
      <c r="K81">
        <f t="shared" si="189"/>
        <v>1.9773579999999999</v>
      </c>
      <c r="L81">
        <f t="shared" si="190"/>
        <v>3.134738</v>
      </c>
      <c r="M81">
        <f t="shared" si="191"/>
        <v>4.6393320000000005</v>
      </c>
      <c r="X81">
        <f>((M81-$S$14)/$S$14)*100</f>
        <v>-35.32380221150558</v>
      </c>
      <c r="AA81">
        <f>((M81-$S$10)/$S$10)*100</f>
        <v>-60.665028010490218</v>
      </c>
      <c r="AE81">
        <f t="shared" si="192"/>
        <v>0.14880600000000044</v>
      </c>
      <c r="AH81">
        <f t="shared" si="138"/>
        <v>5.1873198847262412</v>
      </c>
      <c r="AK81">
        <f t="shared" si="139"/>
        <v>-97.94403198172472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A118E-AAD4-497A-9F5F-8875C3A78585}">
  <dimension ref="A1:Q24"/>
  <sheetViews>
    <sheetView workbookViewId="0">
      <selection activeCell="O16" sqref="O16"/>
    </sheetView>
  </sheetViews>
  <sheetFormatPr defaultRowHeight="14.4" x14ac:dyDescent="0.3"/>
  <cols>
    <col min="1" max="1" width="9.33203125" bestFit="1" customWidth="1"/>
    <col min="5" max="5" width="24.33203125" bestFit="1" customWidth="1"/>
  </cols>
  <sheetData>
    <row r="1" spans="1:17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50</v>
      </c>
      <c r="F1" s="2" t="s">
        <v>4</v>
      </c>
      <c r="G1" s="2" t="s">
        <v>5</v>
      </c>
      <c r="H1" s="2" t="s">
        <v>6</v>
      </c>
      <c r="I1" s="3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8</v>
      </c>
      <c r="P1" s="2" t="s">
        <v>13</v>
      </c>
      <c r="Q1" s="4" t="s">
        <v>10</v>
      </c>
    </row>
    <row r="2" spans="1:17" x14ac:dyDescent="0.3">
      <c r="A2" s="5">
        <v>45856</v>
      </c>
      <c r="B2" s="2" t="s">
        <v>14</v>
      </c>
      <c r="C2" s="2"/>
      <c r="D2" s="2" t="s">
        <v>15</v>
      </c>
      <c r="E2" s="2" t="str">
        <f>B2&amp;C2</f>
        <v>control</v>
      </c>
      <c r="F2" s="2">
        <v>0.52500000000000002</v>
      </c>
      <c r="G2" s="2">
        <v>0.53700000000000003</v>
      </c>
      <c r="H2" s="2">
        <v>0.53500000000000003</v>
      </c>
      <c r="I2">
        <f>AVERAGE(F2:H2)</f>
        <v>0.53233333333333333</v>
      </c>
      <c r="J2" s="2">
        <v>0.19900000000000001</v>
      </c>
      <c r="K2" s="2">
        <v>37.063000000000002</v>
      </c>
      <c r="L2" s="2">
        <v>186.006</v>
      </c>
      <c r="M2" s="2">
        <v>4.4999999999999998E-2</v>
      </c>
      <c r="N2" s="2">
        <v>66.608000000000004</v>
      </c>
      <c r="O2" s="2">
        <v>0.17799999999999999</v>
      </c>
      <c r="P2" s="2">
        <v>33.765000000000001</v>
      </c>
      <c r="Q2" s="4">
        <v>190.048</v>
      </c>
    </row>
    <row r="3" spans="1:17" x14ac:dyDescent="0.3">
      <c r="A3" s="6">
        <v>45856</v>
      </c>
      <c r="B3" t="s">
        <v>16</v>
      </c>
      <c r="D3" t="s">
        <v>15</v>
      </c>
      <c r="E3" t="str">
        <f t="shared" ref="E3:E13" si="0">B3&amp;C3</f>
        <v>solvent control</v>
      </c>
      <c r="F3">
        <v>0.54700000000000004</v>
      </c>
      <c r="G3">
        <v>0.55300000000000005</v>
      </c>
      <c r="H3">
        <v>0.56899999999999995</v>
      </c>
      <c r="I3">
        <f>AVERAGE(F3:H3)</f>
        <v>0.55633333333333335</v>
      </c>
      <c r="M3">
        <v>-1E-3</v>
      </c>
      <c r="N3">
        <v>43.173999999999999</v>
      </c>
      <c r="O3">
        <v>0.153</v>
      </c>
      <c r="P3">
        <v>42.588999999999999</v>
      </c>
      <c r="Q3" s="7">
        <v>279.09500000000003</v>
      </c>
    </row>
    <row r="4" spans="1:17" x14ac:dyDescent="0.3">
      <c r="A4" s="6">
        <v>45856</v>
      </c>
      <c r="B4" t="s">
        <v>17</v>
      </c>
      <c r="E4" t="str">
        <f t="shared" si="0"/>
        <v>nutrient control</v>
      </c>
      <c r="F4">
        <v>0.60799999999999998</v>
      </c>
      <c r="G4">
        <v>0.59699999999999998</v>
      </c>
      <c r="H4">
        <v>0.60899999999999999</v>
      </c>
      <c r="I4">
        <f t="shared" ref="I4:I21" si="1">AVERAGE(F4:H4)</f>
        <v>0.60466666666666669</v>
      </c>
      <c r="J4">
        <v>0.22</v>
      </c>
      <c r="K4">
        <v>62.790999999999997</v>
      </c>
      <c r="L4">
        <v>285.18700000000001</v>
      </c>
      <c r="M4">
        <v>3.9809999999999999</v>
      </c>
      <c r="N4">
        <v>3171.25</v>
      </c>
      <c r="O4">
        <v>0.192</v>
      </c>
      <c r="P4">
        <v>60.411000000000001</v>
      </c>
      <c r="Q4" s="7">
        <v>314.58800000000002</v>
      </c>
    </row>
    <row r="5" spans="1:17" ht="15" thickBot="1" x14ac:dyDescent="0.35">
      <c r="A5" s="8">
        <v>45856</v>
      </c>
      <c r="B5" s="9" t="s">
        <v>18</v>
      </c>
      <c r="C5" s="9"/>
      <c r="D5" s="9" t="s">
        <v>19</v>
      </c>
      <c r="E5" s="9" t="str">
        <f t="shared" si="0"/>
        <v>nutrient control (with solvent)</v>
      </c>
      <c r="F5" s="9">
        <v>0.57599999999999996</v>
      </c>
      <c r="G5" s="9">
        <v>0.59499999999999997</v>
      </c>
      <c r="H5" s="9">
        <v>0.58599999999999997</v>
      </c>
      <c r="I5" s="9">
        <f t="shared" si="1"/>
        <v>0.58566666666666656</v>
      </c>
      <c r="J5" s="9">
        <v>0.19500000000000001</v>
      </c>
      <c r="K5" s="9">
        <v>47.701999999999998</v>
      </c>
      <c r="L5" s="9">
        <v>244.136</v>
      </c>
      <c r="M5" s="9">
        <v>0.13200000000000001</v>
      </c>
      <c r="N5" s="9">
        <v>147.39400000000001</v>
      </c>
      <c r="O5" s="9">
        <v>0.18</v>
      </c>
      <c r="P5" s="9">
        <v>44.253</v>
      </c>
      <c r="Q5" s="10">
        <v>245.434</v>
      </c>
    </row>
    <row r="6" spans="1:17" x14ac:dyDescent="0.3">
      <c r="A6" s="11">
        <v>45856</v>
      </c>
      <c r="B6" s="12" t="s">
        <v>123</v>
      </c>
      <c r="C6" s="12" t="s">
        <v>21</v>
      </c>
      <c r="D6" s="12" t="s">
        <v>15</v>
      </c>
      <c r="E6" s="12" t="str">
        <f t="shared" si="0"/>
        <v>6ppdqlow</v>
      </c>
      <c r="F6" s="12">
        <v>0.502</v>
      </c>
      <c r="G6" s="12">
        <v>0.51400000000000001</v>
      </c>
      <c r="H6" s="12">
        <v>0.504</v>
      </c>
      <c r="I6" s="12">
        <f t="shared" si="1"/>
        <v>0.50666666666666671</v>
      </c>
      <c r="J6" s="12">
        <v>0.17199999999999999</v>
      </c>
      <c r="K6" s="12">
        <v>28.295000000000002</v>
      </c>
      <c r="L6" s="12">
        <v>164.93299999999999</v>
      </c>
      <c r="M6" s="12">
        <v>1.6E-2</v>
      </c>
      <c r="N6" s="12">
        <v>39.003999999999998</v>
      </c>
      <c r="O6" s="12">
        <v>0.14599999999999999</v>
      </c>
      <c r="P6" s="12">
        <v>26.443000000000001</v>
      </c>
      <c r="Q6" s="13">
        <v>181.32</v>
      </c>
    </row>
    <row r="7" spans="1:17" x14ac:dyDescent="0.3">
      <c r="A7" s="14">
        <v>45856</v>
      </c>
      <c r="B7" s="15" t="s">
        <v>123</v>
      </c>
      <c r="C7" s="15" t="s">
        <v>22</v>
      </c>
      <c r="D7" s="15" t="s">
        <v>15</v>
      </c>
      <c r="E7" s="15" t="str">
        <f t="shared" si="0"/>
        <v>6ppdqhigh</v>
      </c>
      <c r="F7" s="15">
        <v>0.497</v>
      </c>
      <c r="G7" s="15">
        <v>0.48299999999999998</v>
      </c>
      <c r="H7" s="15">
        <v>0.49</v>
      </c>
      <c r="I7" s="15">
        <f t="shared" si="1"/>
        <v>0.49</v>
      </c>
      <c r="J7" s="15">
        <v>0.18</v>
      </c>
      <c r="K7" s="15">
        <v>30.67</v>
      </c>
      <c r="L7" s="15">
        <v>170.024</v>
      </c>
      <c r="M7" s="15">
        <v>6.0000000000000001E-3</v>
      </c>
      <c r="N7" s="15">
        <v>35.805999999999997</v>
      </c>
      <c r="O7" s="15">
        <v>0.14299999999999999</v>
      </c>
      <c r="P7" s="15">
        <v>29.931000000000001</v>
      </c>
      <c r="Q7" s="16">
        <v>208.75899999999999</v>
      </c>
    </row>
    <row r="8" spans="1:17" x14ac:dyDescent="0.3">
      <c r="A8" s="17">
        <v>45856</v>
      </c>
      <c r="B8" s="18" t="s">
        <v>124</v>
      </c>
      <c r="C8" s="18" t="s">
        <v>21</v>
      </c>
      <c r="D8" s="18" t="s">
        <v>15</v>
      </c>
      <c r="E8" s="18" t="str">
        <f t="shared" si="0"/>
        <v>6ppdq+Carblow</v>
      </c>
      <c r="F8" s="18">
        <v>0.48899999999999999</v>
      </c>
      <c r="G8" s="18">
        <v>0.47799999999999998</v>
      </c>
      <c r="H8" s="18">
        <v>0.48899999999999999</v>
      </c>
      <c r="I8" s="18">
        <f t="shared" si="1"/>
        <v>0.48533333333333334</v>
      </c>
      <c r="J8" s="18">
        <v>0.16900000000000001</v>
      </c>
      <c r="K8" s="18">
        <v>27.341000000000001</v>
      </c>
      <c r="L8" s="18">
        <v>161.58000000000001</v>
      </c>
      <c r="M8" s="18">
        <v>1.4E-2</v>
      </c>
      <c r="N8" s="18">
        <v>36.512</v>
      </c>
      <c r="O8" s="18">
        <v>0.14599999999999999</v>
      </c>
      <c r="P8" s="18">
        <v>25.542000000000002</v>
      </c>
      <c r="Q8" s="19">
        <v>174.994</v>
      </c>
    </row>
    <row r="9" spans="1:17" x14ac:dyDescent="0.3">
      <c r="A9" s="20">
        <v>45856</v>
      </c>
      <c r="B9" s="21" t="s">
        <v>124</v>
      </c>
      <c r="C9" s="21" t="s">
        <v>22</v>
      </c>
      <c r="D9" s="21" t="s">
        <v>15</v>
      </c>
      <c r="E9" s="21" t="str">
        <f t="shared" si="0"/>
        <v>6ppdq+Carbhigh</v>
      </c>
      <c r="F9" s="21">
        <v>0.49299999999999999</v>
      </c>
      <c r="G9" s="21">
        <v>0.51300000000000001</v>
      </c>
      <c r="H9" s="21">
        <v>0.49399999999999999</v>
      </c>
      <c r="I9" s="21">
        <f t="shared" si="1"/>
        <v>0.5</v>
      </c>
      <c r="J9" s="21">
        <v>0.16600000000000001</v>
      </c>
      <c r="K9" s="21">
        <v>31.626000000000001</v>
      </c>
      <c r="L9" s="21">
        <v>190.303</v>
      </c>
      <c r="M9" s="21">
        <v>4.2000000000000003E-2</v>
      </c>
      <c r="N9" s="21">
        <v>59.658000000000001</v>
      </c>
      <c r="O9" s="21">
        <v>0.154</v>
      </c>
      <c r="P9" s="21">
        <v>28.54</v>
      </c>
      <c r="Q9" s="22">
        <v>185.119</v>
      </c>
    </row>
    <row r="10" spans="1:17" x14ac:dyDescent="0.3">
      <c r="A10" s="23">
        <v>45856</v>
      </c>
      <c r="B10" s="24" t="s">
        <v>125</v>
      </c>
      <c r="C10" s="24" t="s">
        <v>21</v>
      </c>
      <c r="D10" s="24" t="s">
        <v>15</v>
      </c>
      <c r="E10" s="24" t="str">
        <f t="shared" si="0"/>
        <v>6ppdq+Diclow</v>
      </c>
      <c r="F10" s="24">
        <v>0.499</v>
      </c>
      <c r="G10" s="24">
        <v>0.46899999999999997</v>
      </c>
      <c r="H10" s="24">
        <v>0.51100000000000001</v>
      </c>
      <c r="I10" s="24">
        <f t="shared" si="1"/>
        <v>0.49300000000000005</v>
      </c>
      <c r="J10" s="24">
        <v>0.16600000000000001</v>
      </c>
      <c r="K10" s="24">
        <v>30.79</v>
      </c>
      <c r="L10" s="24">
        <v>185.77500000000001</v>
      </c>
      <c r="M10" s="24">
        <v>1.7999999999999999E-2</v>
      </c>
      <c r="N10" s="24">
        <v>43.814</v>
      </c>
      <c r="O10" s="24">
        <v>0.14099999999999999</v>
      </c>
      <c r="P10" s="24">
        <v>29.074999999999999</v>
      </c>
      <c r="Q10" s="25">
        <v>205.5</v>
      </c>
    </row>
    <row r="11" spans="1:17" x14ac:dyDescent="0.3">
      <c r="A11" s="26">
        <v>45856</v>
      </c>
      <c r="B11" s="27" t="s">
        <v>125</v>
      </c>
      <c r="C11" s="27" t="s">
        <v>22</v>
      </c>
      <c r="D11" s="27" t="s">
        <v>15</v>
      </c>
      <c r="E11" s="27" t="str">
        <f t="shared" si="0"/>
        <v>6ppdq+Dichigh</v>
      </c>
      <c r="F11" s="27">
        <v>0.54500000000000004</v>
      </c>
      <c r="G11" s="27">
        <v>0.52</v>
      </c>
      <c r="H11" s="27">
        <v>0.51900000000000002</v>
      </c>
      <c r="I11" s="27">
        <f t="shared" si="1"/>
        <v>0.52800000000000002</v>
      </c>
      <c r="J11" s="27">
        <v>0.187</v>
      </c>
      <c r="K11" s="27">
        <v>30.716000000000001</v>
      </c>
      <c r="L11" s="27">
        <v>164.071</v>
      </c>
      <c r="M11" s="27">
        <v>7.0000000000000001E-3</v>
      </c>
      <c r="N11" s="27">
        <v>36.01</v>
      </c>
      <c r="O11" s="27">
        <v>0.152</v>
      </c>
      <c r="P11" s="27">
        <v>29.696000000000002</v>
      </c>
      <c r="Q11" s="28">
        <v>194.791</v>
      </c>
    </row>
    <row r="12" spans="1:17" x14ac:dyDescent="0.3">
      <c r="A12" s="29">
        <v>45856</v>
      </c>
      <c r="B12" s="30" t="s">
        <v>126</v>
      </c>
      <c r="C12" s="30" t="s">
        <v>21</v>
      </c>
      <c r="D12" s="30" t="s">
        <v>15</v>
      </c>
      <c r="E12" s="30" t="str">
        <f t="shared" si="0"/>
        <v>6ppdq+PFOSlow</v>
      </c>
      <c r="F12" s="30">
        <v>0.49099999999999999</v>
      </c>
      <c r="G12" s="30">
        <v>0.47099999999999997</v>
      </c>
      <c r="H12" s="30">
        <v>0.47699999999999998</v>
      </c>
      <c r="I12" s="30">
        <f t="shared" si="1"/>
        <v>0.47966666666666669</v>
      </c>
      <c r="J12" s="30">
        <v>0.19</v>
      </c>
      <c r="K12" s="30">
        <v>32.838999999999999</v>
      </c>
      <c r="L12" s="30">
        <v>172.601</v>
      </c>
      <c r="M12" s="30">
        <v>2.1999999999999999E-2</v>
      </c>
      <c r="N12" s="30">
        <v>47.631999999999998</v>
      </c>
      <c r="O12" s="30">
        <v>0.16300000000000001</v>
      </c>
      <c r="P12" s="30">
        <v>30.61</v>
      </c>
      <c r="Q12" s="31">
        <v>188.17699999999999</v>
      </c>
    </row>
    <row r="13" spans="1:17" ht="15" thickBot="1" x14ac:dyDescent="0.35">
      <c r="A13" s="32">
        <v>45856</v>
      </c>
      <c r="B13" s="33" t="s">
        <v>126</v>
      </c>
      <c r="C13" s="33" t="s">
        <v>22</v>
      </c>
      <c r="D13" s="33" t="s">
        <v>15</v>
      </c>
      <c r="E13" s="33" t="str">
        <f t="shared" si="0"/>
        <v>6ppdq+PFOShigh</v>
      </c>
      <c r="F13" s="33">
        <v>0.48</v>
      </c>
      <c r="G13" s="33">
        <v>0.47699999999999998</v>
      </c>
      <c r="H13" s="33">
        <v>0.49099999999999999</v>
      </c>
      <c r="I13" s="33">
        <f t="shared" si="1"/>
        <v>0.48266666666666663</v>
      </c>
      <c r="J13" s="33">
        <v>0.16300000000000001</v>
      </c>
      <c r="K13" s="33">
        <v>29.972000000000001</v>
      </c>
      <c r="L13" s="33">
        <v>183.48699999999999</v>
      </c>
      <c r="M13" s="33">
        <v>2E-3</v>
      </c>
      <c r="N13" s="33">
        <v>32.042999999999999</v>
      </c>
      <c r="O13" s="33">
        <v>0.128</v>
      </c>
      <c r="P13" s="33">
        <v>29.478000000000002</v>
      </c>
      <c r="Q13" s="34">
        <v>229.64400000000001</v>
      </c>
    </row>
    <row r="14" spans="1:17" x14ac:dyDescent="0.3">
      <c r="A14" s="35">
        <v>45856</v>
      </c>
      <c r="B14" s="36" t="s">
        <v>123</v>
      </c>
      <c r="C14" s="36" t="s">
        <v>21</v>
      </c>
      <c r="D14" s="36" t="s">
        <v>19</v>
      </c>
      <c r="E14" s="36" t="str">
        <f>B14&amp;C14&amp;D14</f>
        <v>6ppdqlownutrients</v>
      </c>
      <c r="F14" s="36">
        <v>0.58399999999999996</v>
      </c>
      <c r="G14" s="36">
        <v>0.57999999999999996</v>
      </c>
      <c r="H14" s="36">
        <v>0.58699999999999997</v>
      </c>
      <c r="I14" s="36">
        <f t="shared" si="1"/>
        <v>0.58366666666666667</v>
      </c>
      <c r="J14" s="36">
        <v>0.24399999999999999</v>
      </c>
      <c r="K14" s="36">
        <v>41.548000000000002</v>
      </c>
      <c r="L14" s="36">
        <v>170.43299999999999</v>
      </c>
      <c r="M14" s="36">
        <v>1.2999999999999999E-2</v>
      </c>
      <c r="N14" s="36">
        <v>51.594000000000001</v>
      </c>
      <c r="O14" s="36">
        <v>0.19800000000000001</v>
      </c>
      <c r="P14" s="36">
        <v>40.036000000000001</v>
      </c>
      <c r="Q14" s="37">
        <v>202.29900000000001</v>
      </c>
    </row>
    <row r="15" spans="1:17" x14ac:dyDescent="0.3">
      <c r="A15" s="38">
        <v>45856</v>
      </c>
      <c r="B15" s="39" t="s">
        <v>123</v>
      </c>
      <c r="C15" s="39" t="s">
        <v>22</v>
      </c>
      <c r="D15" s="39" t="s">
        <v>19</v>
      </c>
      <c r="E15" s="39" t="str">
        <f t="shared" ref="E15:E21" si="2">B15&amp;C15&amp;D15</f>
        <v>6ppdqhighnutrients</v>
      </c>
      <c r="F15" s="39">
        <v>0.59699999999999998</v>
      </c>
      <c r="G15" s="39">
        <v>0.59399999999999997</v>
      </c>
      <c r="H15" s="39">
        <v>0.60299999999999998</v>
      </c>
      <c r="I15" s="39">
        <f t="shared" si="1"/>
        <v>0.59799999999999998</v>
      </c>
      <c r="J15" s="39">
        <v>0.222</v>
      </c>
      <c r="K15" s="39">
        <v>49.713000000000001</v>
      </c>
      <c r="L15" s="39">
        <v>223.79499999999999</v>
      </c>
      <c r="M15" s="39">
        <v>2E-3</v>
      </c>
      <c r="N15" s="39">
        <v>52.17</v>
      </c>
      <c r="O15" s="39">
        <v>0.17299999999999999</v>
      </c>
      <c r="P15" s="39">
        <v>48.926000000000002</v>
      </c>
      <c r="Q15" s="40">
        <v>282.18200000000002</v>
      </c>
    </row>
    <row r="16" spans="1:17" x14ac:dyDescent="0.3">
      <c r="A16" s="41">
        <v>45856</v>
      </c>
      <c r="B16" s="42" t="s">
        <v>124</v>
      </c>
      <c r="C16" s="42" t="s">
        <v>21</v>
      </c>
      <c r="D16" s="42" t="s">
        <v>19</v>
      </c>
      <c r="E16" s="42" t="str">
        <f t="shared" si="2"/>
        <v>6ppdq+Carblownutrients</v>
      </c>
      <c r="F16" s="42">
        <v>0.61299999999999999</v>
      </c>
      <c r="G16" s="42">
        <v>0.61</v>
      </c>
      <c r="H16" s="42">
        <v>0.59899999999999998</v>
      </c>
      <c r="I16" s="42">
        <f t="shared" si="1"/>
        <v>0.60733333333333328</v>
      </c>
      <c r="J16" s="42">
        <v>0.215</v>
      </c>
      <c r="K16" s="42">
        <v>49.014000000000003</v>
      </c>
      <c r="L16" s="42">
        <v>228.238</v>
      </c>
      <c r="M16" s="42">
        <v>1.9E-2</v>
      </c>
      <c r="N16" s="42">
        <v>66.635000000000005</v>
      </c>
      <c r="O16" s="42">
        <v>0.17899999999999999</v>
      </c>
      <c r="P16" s="42">
        <v>47.802</v>
      </c>
      <c r="Q16" s="43">
        <v>267.64499999999998</v>
      </c>
    </row>
    <row r="17" spans="1:17" x14ac:dyDescent="0.3">
      <c r="A17" s="44">
        <v>45856</v>
      </c>
      <c r="B17" s="45" t="s">
        <v>124</v>
      </c>
      <c r="C17" s="45" t="s">
        <v>22</v>
      </c>
      <c r="D17" s="45" t="s">
        <v>19</v>
      </c>
      <c r="E17" s="45" t="str">
        <f t="shared" si="2"/>
        <v>6ppdq+Carbhighnutrients</v>
      </c>
      <c r="F17" s="45">
        <v>0.59799999999999998</v>
      </c>
      <c r="G17" s="45">
        <v>0.60299999999999998</v>
      </c>
      <c r="H17" s="45">
        <v>0.59599999999999997</v>
      </c>
      <c r="I17" s="45">
        <f t="shared" si="1"/>
        <v>0.59900000000000009</v>
      </c>
      <c r="J17" s="45">
        <v>0.21</v>
      </c>
      <c r="K17" s="45">
        <v>56.66</v>
      </c>
      <c r="L17" s="45">
        <v>270.39299999999997</v>
      </c>
      <c r="M17" s="45">
        <v>0.11700000000000001</v>
      </c>
      <c r="N17" s="45">
        <v>156.47499999999999</v>
      </c>
      <c r="O17" s="45">
        <v>0.188</v>
      </c>
      <c r="P17" s="45">
        <v>54.08</v>
      </c>
      <c r="Q17" s="46">
        <v>287.983</v>
      </c>
    </row>
    <row r="18" spans="1:17" x14ac:dyDescent="0.3">
      <c r="A18" s="47">
        <v>45856</v>
      </c>
      <c r="B18" s="48" t="s">
        <v>125</v>
      </c>
      <c r="C18" s="48" t="s">
        <v>21</v>
      </c>
      <c r="D18" s="48" t="s">
        <v>19</v>
      </c>
      <c r="E18" s="48" t="str">
        <f t="shared" si="2"/>
        <v>6ppdq+Diclownutrients</v>
      </c>
      <c r="F18" s="48">
        <v>0.57999999999999996</v>
      </c>
      <c r="G18" s="48">
        <v>0.57599999999999996</v>
      </c>
      <c r="H18" s="48">
        <v>0.58899999999999997</v>
      </c>
      <c r="I18" s="48">
        <f t="shared" si="1"/>
        <v>0.58166666666666667</v>
      </c>
      <c r="J18" s="48">
        <v>0.21299999999999999</v>
      </c>
      <c r="K18" s="48">
        <v>49.594999999999999</v>
      </c>
      <c r="L18" s="48">
        <v>232.43799999999999</v>
      </c>
      <c r="M18" s="48">
        <v>1.6E-2</v>
      </c>
      <c r="N18" s="48">
        <v>65.477999999999994</v>
      </c>
      <c r="O18" s="48">
        <v>0.17799999999999999</v>
      </c>
      <c r="P18" s="48">
        <v>48.41</v>
      </c>
      <c r="Q18" s="49">
        <v>271.86799999999999</v>
      </c>
    </row>
    <row r="19" spans="1:17" x14ac:dyDescent="0.3">
      <c r="A19" s="50">
        <v>45856</v>
      </c>
      <c r="B19" s="51" t="s">
        <v>125</v>
      </c>
      <c r="C19" s="51" t="s">
        <v>22</v>
      </c>
      <c r="D19" s="51" t="s">
        <v>19</v>
      </c>
      <c r="E19" s="51" t="str">
        <f t="shared" si="2"/>
        <v>6ppdq+Dichighnutrients</v>
      </c>
      <c r="F19" s="51">
        <v>0.57699999999999996</v>
      </c>
      <c r="G19" s="51">
        <v>0.57299999999999995</v>
      </c>
      <c r="H19" s="51">
        <v>0.55800000000000005</v>
      </c>
      <c r="I19" s="51">
        <f t="shared" si="1"/>
        <v>0.56933333333333336</v>
      </c>
      <c r="J19" s="51">
        <v>0.223</v>
      </c>
      <c r="K19" s="51">
        <v>50.77</v>
      </c>
      <c r="L19" s="51">
        <v>227.24199999999999</v>
      </c>
      <c r="M19" s="51">
        <v>2.5000000000000001E-2</v>
      </c>
      <c r="N19" s="51">
        <v>73.087999999999994</v>
      </c>
      <c r="O19" s="51">
        <v>0.188</v>
      </c>
      <c r="P19" s="51">
        <v>49.25</v>
      </c>
      <c r="Q19" s="52">
        <v>262.255</v>
      </c>
    </row>
    <row r="20" spans="1:17" x14ac:dyDescent="0.3">
      <c r="A20" s="53">
        <v>45856</v>
      </c>
      <c r="B20" s="54" t="s">
        <v>126</v>
      </c>
      <c r="C20" s="54" t="s">
        <v>21</v>
      </c>
      <c r="D20" s="54" t="s">
        <v>19</v>
      </c>
      <c r="E20" s="54" t="str">
        <f t="shared" si="2"/>
        <v>6ppdq+PFOSlownutrients</v>
      </c>
      <c r="F20" s="54">
        <v>0.57599999999999996</v>
      </c>
      <c r="G20" s="54">
        <v>0.57899999999999996</v>
      </c>
      <c r="H20" s="54">
        <v>0.59799999999999998</v>
      </c>
      <c r="I20" s="54">
        <f t="shared" si="1"/>
        <v>0.58433333333333326</v>
      </c>
      <c r="J20" s="54">
        <v>0.23499999999999999</v>
      </c>
      <c r="K20" s="54">
        <v>67.412999999999997</v>
      </c>
      <c r="L20" s="54">
        <v>286.87799999999999</v>
      </c>
      <c r="M20" s="54">
        <v>6.4889999999999999</v>
      </c>
      <c r="N20" s="54">
        <v>5151.57</v>
      </c>
      <c r="O20" s="54">
        <v>0.20300000000000001</v>
      </c>
      <c r="P20" s="54">
        <v>65.191999999999993</v>
      </c>
      <c r="Q20" s="55">
        <v>320.65899999999999</v>
      </c>
    </row>
    <row r="21" spans="1:17" ht="15" thickBot="1" x14ac:dyDescent="0.35">
      <c r="A21" s="56">
        <v>45856</v>
      </c>
      <c r="B21" s="57" t="s">
        <v>126</v>
      </c>
      <c r="C21" s="57" t="s">
        <v>22</v>
      </c>
      <c r="D21" s="57" t="s">
        <v>19</v>
      </c>
      <c r="E21" s="57" t="str">
        <f t="shared" si="2"/>
        <v>6ppdq+PFOShighnutrients</v>
      </c>
      <c r="F21" s="57">
        <v>0.60799999999999998</v>
      </c>
      <c r="G21" s="57">
        <v>0.6</v>
      </c>
      <c r="H21" s="57">
        <v>0.60299999999999998</v>
      </c>
      <c r="I21" s="57">
        <f t="shared" si="1"/>
        <v>0.60366666666666668</v>
      </c>
      <c r="J21" s="57">
        <v>0.25</v>
      </c>
      <c r="K21" s="57">
        <v>49.423999999999999</v>
      </c>
      <c r="L21" s="57">
        <v>197.39500000000001</v>
      </c>
      <c r="M21" s="57">
        <v>1.7999999999999999E-2</v>
      </c>
      <c r="N21" s="57">
        <v>64.679000000000002</v>
      </c>
      <c r="O21" s="57">
        <v>0.20599999999999999</v>
      </c>
      <c r="P21" s="57">
        <v>47.819000000000003</v>
      </c>
      <c r="Q21" s="58">
        <v>231.571</v>
      </c>
    </row>
    <row r="24" spans="1:17" x14ac:dyDescent="0.3">
      <c r="E24" t="str">
        <f>B24&amp;C24</f>
        <v/>
      </c>
    </row>
  </sheetData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B2C85-3C15-4EC1-95E6-BE0DCF03BCC7}">
  <dimension ref="A1:H61"/>
  <sheetViews>
    <sheetView workbookViewId="0">
      <selection activeCell="I33" sqref="I33"/>
    </sheetView>
  </sheetViews>
  <sheetFormatPr defaultRowHeight="14.4" x14ac:dyDescent="0.3"/>
  <sheetData>
    <row r="1" spans="1:8" x14ac:dyDescent="0.3">
      <c r="A1" t="s">
        <v>77</v>
      </c>
      <c r="B1" t="s">
        <v>95</v>
      </c>
      <c r="C1" t="s">
        <v>78</v>
      </c>
      <c r="D1" t="s">
        <v>96</v>
      </c>
      <c r="E1" t="s">
        <v>98</v>
      </c>
      <c r="F1" t="s">
        <v>120</v>
      </c>
      <c r="G1" t="s">
        <v>145</v>
      </c>
      <c r="H1" t="s">
        <v>176</v>
      </c>
    </row>
    <row r="2" spans="1:8" x14ac:dyDescent="0.3">
      <c r="A2" t="s">
        <v>14</v>
      </c>
      <c r="B2">
        <v>0.56000000000000005</v>
      </c>
      <c r="C2" t="s">
        <v>14</v>
      </c>
      <c r="D2">
        <v>0.49</v>
      </c>
      <c r="E2" t="s">
        <v>14</v>
      </c>
      <c r="F2">
        <v>0.40500000000000003</v>
      </c>
      <c r="G2" t="s">
        <v>14</v>
      </c>
      <c r="H2">
        <v>0.52500000000000002</v>
      </c>
    </row>
    <row r="3" spans="1:8" x14ac:dyDescent="0.3">
      <c r="A3" t="s">
        <v>14</v>
      </c>
      <c r="B3">
        <v>0.57399999999999995</v>
      </c>
      <c r="C3" t="s">
        <v>14</v>
      </c>
      <c r="D3">
        <v>0.50600000000000001</v>
      </c>
      <c r="E3" t="s">
        <v>14</v>
      </c>
      <c r="F3">
        <v>0.42799999999999999</v>
      </c>
      <c r="G3" t="s">
        <v>14</v>
      </c>
      <c r="H3">
        <v>0.53700000000000003</v>
      </c>
    </row>
    <row r="4" spans="1:8" x14ac:dyDescent="0.3">
      <c r="A4" t="s">
        <v>14</v>
      </c>
      <c r="B4">
        <v>0.55500000000000005</v>
      </c>
      <c r="C4" t="s">
        <v>14</v>
      </c>
      <c r="D4">
        <v>0.498</v>
      </c>
      <c r="E4" t="s">
        <v>14</v>
      </c>
      <c r="F4">
        <v>0.434</v>
      </c>
      <c r="G4" t="s">
        <v>14</v>
      </c>
      <c r="H4">
        <v>0.53500000000000003</v>
      </c>
    </row>
    <row r="5" spans="1:8" x14ac:dyDescent="0.3">
      <c r="A5" t="s">
        <v>16</v>
      </c>
      <c r="B5">
        <v>0.56299999999999994</v>
      </c>
      <c r="C5" t="s">
        <v>16</v>
      </c>
      <c r="D5">
        <v>0.52300000000000002</v>
      </c>
      <c r="E5" t="s">
        <v>16</v>
      </c>
      <c r="F5">
        <v>0.312</v>
      </c>
      <c r="G5" t="s">
        <v>16</v>
      </c>
      <c r="H5">
        <v>0.54700000000000004</v>
      </c>
    </row>
    <row r="6" spans="1:8" x14ac:dyDescent="0.3">
      <c r="A6" t="s">
        <v>16</v>
      </c>
      <c r="B6">
        <v>0.56200000000000006</v>
      </c>
      <c r="C6" t="s">
        <v>16</v>
      </c>
      <c r="D6">
        <v>0.52700000000000002</v>
      </c>
      <c r="E6" t="s">
        <v>16</v>
      </c>
      <c r="F6">
        <v>0.32300000000000001</v>
      </c>
      <c r="G6" t="s">
        <v>16</v>
      </c>
      <c r="H6">
        <v>0.55300000000000005</v>
      </c>
    </row>
    <row r="7" spans="1:8" x14ac:dyDescent="0.3">
      <c r="A7" t="s">
        <v>16</v>
      </c>
      <c r="B7">
        <v>0.57099999999999995</v>
      </c>
      <c r="C7" t="s">
        <v>16</v>
      </c>
      <c r="D7">
        <v>0.51900000000000002</v>
      </c>
      <c r="E7" t="s">
        <v>16</v>
      </c>
      <c r="F7">
        <v>0.316</v>
      </c>
      <c r="G7" t="s">
        <v>16</v>
      </c>
      <c r="H7">
        <v>0.56899999999999995</v>
      </c>
    </row>
    <row r="8" spans="1:8" x14ac:dyDescent="0.3">
      <c r="A8" t="s">
        <v>17</v>
      </c>
      <c r="B8">
        <v>0.64700000000000002</v>
      </c>
      <c r="C8" t="s">
        <v>17</v>
      </c>
      <c r="D8">
        <v>0.56299999999999994</v>
      </c>
      <c r="E8" t="s">
        <v>17</v>
      </c>
      <c r="F8">
        <v>0.50800000000000001</v>
      </c>
      <c r="G8" t="s">
        <v>17</v>
      </c>
      <c r="H8">
        <v>0.60799999999999998</v>
      </c>
    </row>
    <row r="9" spans="1:8" x14ac:dyDescent="0.3">
      <c r="A9" t="s">
        <v>17</v>
      </c>
      <c r="B9">
        <v>0.63900000000000001</v>
      </c>
      <c r="C9" t="s">
        <v>17</v>
      </c>
      <c r="D9">
        <v>0.57699999999999996</v>
      </c>
      <c r="E9" t="s">
        <v>17</v>
      </c>
      <c r="F9">
        <v>0.50600000000000001</v>
      </c>
      <c r="G9" t="s">
        <v>17</v>
      </c>
      <c r="H9">
        <v>0.59699999999999998</v>
      </c>
    </row>
    <row r="10" spans="1:8" x14ac:dyDescent="0.3">
      <c r="A10" t="s">
        <v>17</v>
      </c>
      <c r="B10">
        <v>0.65200000000000002</v>
      </c>
      <c r="C10" t="s">
        <v>17</v>
      </c>
      <c r="D10">
        <v>0.56200000000000006</v>
      </c>
      <c r="E10" t="s">
        <v>17</v>
      </c>
      <c r="F10">
        <v>0.48799999999999999</v>
      </c>
      <c r="G10" t="s">
        <v>17</v>
      </c>
      <c r="H10">
        <v>0.60899999999999999</v>
      </c>
    </row>
    <row r="11" spans="1:8" x14ac:dyDescent="0.3">
      <c r="A11" t="s">
        <v>18</v>
      </c>
      <c r="B11">
        <v>0.65900000000000003</v>
      </c>
      <c r="C11" t="s">
        <v>18</v>
      </c>
      <c r="D11">
        <v>0.6</v>
      </c>
      <c r="E11" t="s">
        <v>18</v>
      </c>
      <c r="F11">
        <v>0.48199999999999998</v>
      </c>
      <c r="G11" t="s">
        <v>18</v>
      </c>
      <c r="H11">
        <v>0.57599999999999996</v>
      </c>
    </row>
    <row r="12" spans="1:8" x14ac:dyDescent="0.3">
      <c r="A12" t="s">
        <v>18</v>
      </c>
      <c r="B12">
        <v>0.66500000000000004</v>
      </c>
      <c r="C12" t="s">
        <v>18</v>
      </c>
      <c r="D12">
        <v>0.59299999999999997</v>
      </c>
      <c r="E12" t="s">
        <v>18</v>
      </c>
      <c r="F12">
        <v>0.49099999999999999</v>
      </c>
      <c r="G12" t="s">
        <v>18</v>
      </c>
      <c r="H12">
        <v>0.59499999999999997</v>
      </c>
    </row>
    <row r="13" spans="1:8" x14ac:dyDescent="0.3">
      <c r="A13" t="s">
        <v>18</v>
      </c>
      <c r="B13">
        <v>0.66900000000000004</v>
      </c>
      <c r="C13" t="s">
        <v>18</v>
      </c>
      <c r="D13">
        <v>0.59499999999999997</v>
      </c>
      <c r="E13" t="s">
        <v>18</v>
      </c>
      <c r="F13">
        <v>0.49</v>
      </c>
      <c r="G13" t="s">
        <v>18</v>
      </c>
      <c r="H13">
        <v>0.58599999999999997</v>
      </c>
    </row>
    <row r="14" spans="1:8" x14ac:dyDescent="0.3">
      <c r="A14" t="s">
        <v>61</v>
      </c>
      <c r="B14">
        <v>0.60299999999999998</v>
      </c>
      <c r="C14" t="s">
        <v>79</v>
      </c>
      <c r="D14">
        <v>0.52500000000000002</v>
      </c>
      <c r="E14" t="s">
        <v>104</v>
      </c>
      <c r="F14">
        <v>0.44</v>
      </c>
      <c r="G14" t="s">
        <v>146</v>
      </c>
      <c r="H14">
        <v>0.502</v>
      </c>
    </row>
    <row r="15" spans="1:8" x14ac:dyDescent="0.3">
      <c r="A15" t="s">
        <v>61</v>
      </c>
      <c r="B15">
        <v>0.59299999999999997</v>
      </c>
      <c r="C15" t="s">
        <v>79</v>
      </c>
      <c r="D15">
        <v>0.504</v>
      </c>
      <c r="E15" t="s">
        <v>104</v>
      </c>
      <c r="F15">
        <v>0.433</v>
      </c>
      <c r="G15" t="s">
        <v>146</v>
      </c>
      <c r="H15">
        <v>0.51400000000000001</v>
      </c>
    </row>
    <row r="16" spans="1:8" x14ac:dyDescent="0.3">
      <c r="A16" t="s">
        <v>61</v>
      </c>
      <c r="B16">
        <v>0.61199999999999999</v>
      </c>
      <c r="C16" t="s">
        <v>79</v>
      </c>
      <c r="D16">
        <v>0.497</v>
      </c>
      <c r="E16" t="s">
        <v>104</v>
      </c>
      <c r="F16">
        <v>0.434</v>
      </c>
      <c r="G16" t="s">
        <v>146</v>
      </c>
      <c r="H16">
        <v>0.504</v>
      </c>
    </row>
    <row r="17" spans="1:8" x14ac:dyDescent="0.3">
      <c r="A17" t="s">
        <v>62</v>
      </c>
      <c r="B17">
        <v>0.61499999999999999</v>
      </c>
      <c r="C17" t="s">
        <v>80</v>
      </c>
      <c r="D17">
        <v>0.496</v>
      </c>
      <c r="E17" t="s">
        <v>105</v>
      </c>
      <c r="F17">
        <v>0.437</v>
      </c>
      <c r="G17" t="s">
        <v>147</v>
      </c>
      <c r="H17">
        <v>0.497</v>
      </c>
    </row>
    <row r="18" spans="1:8" x14ac:dyDescent="0.3">
      <c r="A18" t="s">
        <v>62</v>
      </c>
      <c r="B18">
        <v>0.61299999999999999</v>
      </c>
      <c r="C18" t="s">
        <v>80</v>
      </c>
      <c r="D18">
        <v>0.51500000000000001</v>
      </c>
      <c r="E18" t="s">
        <v>105</v>
      </c>
      <c r="F18">
        <v>0.42499999999999999</v>
      </c>
      <c r="G18" t="s">
        <v>147</v>
      </c>
      <c r="H18">
        <v>0.48299999999999998</v>
      </c>
    </row>
    <row r="19" spans="1:8" x14ac:dyDescent="0.3">
      <c r="A19" t="s">
        <v>62</v>
      </c>
      <c r="B19">
        <v>0.60299999999999998</v>
      </c>
      <c r="C19" t="s">
        <v>80</v>
      </c>
      <c r="D19">
        <v>0.51800000000000002</v>
      </c>
      <c r="E19" t="s">
        <v>105</v>
      </c>
      <c r="F19">
        <v>0.42499999999999999</v>
      </c>
      <c r="G19" t="s">
        <v>147</v>
      </c>
      <c r="H19">
        <v>0.49</v>
      </c>
    </row>
    <row r="20" spans="1:8" x14ac:dyDescent="0.3">
      <c r="A20" t="s">
        <v>63</v>
      </c>
      <c r="B20">
        <v>0.57199999999999995</v>
      </c>
      <c r="C20" t="s">
        <v>81</v>
      </c>
      <c r="D20">
        <v>0.49299999999999999</v>
      </c>
      <c r="E20" t="s">
        <v>106</v>
      </c>
      <c r="F20">
        <v>0.443</v>
      </c>
      <c r="G20" t="s">
        <v>148</v>
      </c>
      <c r="H20">
        <v>0.48899999999999999</v>
      </c>
    </row>
    <row r="21" spans="1:8" x14ac:dyDescent="0.3">
      <c r="A21" t="s">
        <v>63</v>
      </c>
      <c r="B21">
        <v>0.57799999999999996</v>
      </c>
      <c r="C21" t="s">
        <v>81</v>
      </c>
      <c r="D21">
        <v>0.498</v>
      </c>
      <c r="E21" t="s">
        <v>106</v>
      </c>
      <c r="F21">
        <v>0.44800000000000001</v>
      </c>
      <c r="G21" t="s">
        <v>148</v>
      </c>
      <c r="H21">
        <v>0.47799999999999998</v>
      </c>
    </row>
    <row r="22" spans="1:8" x14ac:dyDescent="0.3">
      <c r="A22" t="s">
        <v>63</v>
      </c>
      <c r="B22">
        <v>0.56899999999999995</v>
      </c>
      <c r="C22" t="s">
        <v>81</v>
      </c>
      <c r="D22">
        <v>0.505</v>
      </c>
      <c r="E22" t="s">
        <v>106</v>
      </c>
      <c r="F22">
        <v>0.42599999999999999</v>
      </c>
      <c r="G22" t="s">
        <v>148</v>
      </c>
      <c r="H22">
        <v>0.48899999999999999</v>
      </c>
    </row>
    <row r="23" spans="1:8" x14ac:dyDescent="0.3">
      <c r="A23" t="s">
        <v>64</v>
      </c>
      <c r="B23">
        <v>0.56499999999999995</v>
      </c>
      <c r="C23" t="s">
        <v>82</v>
      </c>
      <c r="D23">
        <v>0.51700000000000002</v>
      </c>
      <c r="E23" t="s">
        <v>107</v>
      </c>
      <c r="F23">
        <v>0.437</v>
      </c>
      <c r="G23" t="s">
        <v>149</v>
      </c>
      <c r="H23">
        <v>0.49299999999999999</v>
      </c>
    </row>
    <row r="24" spans="1:8" x14ac:dyDescent="0.3">
      <c r="A24" t="s">
        <v>64</v>
      </c>
      <c r="B24">
        <v>0.55400000000000005</v>
      </c>
      <c r="C24" t="s">
        <v>82</v>
      </c>
      <c r="D24">
        <v>0.55000000000000004</v>
      </c>
      <c r="E24" t="s">
        <v>107</v>
      </c>
      <c r="F24">
        <v>0.432</v>
      </c>
      <c r="G24" t="s">
        <v>149</v>
      </c>
      <c r="H24">
        <v>0.51300000000000001</v>
      </c>
    </row>
    <row r="25" spans="1:8" x14ac:dyDescent="0.3">
      <c r="A25" t="s">
        <v>64</v>
      </c>
      <c r="B25">
        <v>0.55000000000000004</v>
      </c>
      <c r="C25" t="s">
        <v>82</v>
      </c>
      <c r="D25">
        <v>0.53</v>
      </c>
      <c r="E25" t="s">
        <v>107</v>
      </c>
      <c r="F25">
        <v>0.45300000000000001</v>
      </c>
      <c r="G25" t="s">
        <v>149</v>
      </c>
      <c r="H25">
        <v>0.49399999999999999</v>
      </c>
    </row>
    <row r="26" spans="1:8" x14ac:dyDescent="0.3">
      <c r="A26" t="s">
        <v>65</v>
      </c>
      <c r="B26">
        <v>0.55600000000000005</v>
      </c>
      <c r="C26" t="s">
        <v>83</v>
      </c>
      <c r="D26">
        <v>0.51400000000000001</v>
      </c>
      <c r="E26" t="s">
        <v>108</v>
      </c>
      <c r="F26">
        <v>0.28000000000000003</v>
      </c>
      <c r="G26" t="s">
        <v>150</v>
      </c>
      <c r="H26">
        <v>0.499</v>
      </c>
    </row>
    <row r="27" spans="1:8" x14ac:dyDescent="0.3">
      <c r="A27" t="s">
        <v>65</v>
      </c>
      <c r="B27">
        <v>0.53500000000000003</v>
      </c>
      <c r="C27" t="s">
        <v>83</v>
      </c>
      <c r="D27">
        <v>0.52300000000000002</v>
      </c>
      <c r="E27" t="s">
        <v>108</v>
      </c>
      <c r="F27">
        <v>0.26700000000000002</v>
      </c>
      <c r="G27" t="s">
        <v>150</v>
      </c>
      <c r="H27">
        <v>0.46899999999999997</v>
      </c>
    </row>
    <row r="28" spans="1:8" x14ac:dyDescent="0.3">
      <c r="A28" t="s">
        <v>65</v>
      </c>
      <c r="B28">
        <v>0.55000000000000004</v>
      </c>
      <c r="C28" t="s">
        <v>83</v>
      </c>
      <c r="D28">
        <v>0.51500000000000001</v>
      </c>
      <c r="E28" t="s">
        <v>108</v>
      </c>
      <c r="F28">
        <v>0.28299999999999997</v>
      </c>
      <c r="G28" t="s">
        <v>150</v>
      </c>
      <c r="H28">
        <v>0.51100000000000001</v>
      </c>
    </row>
    <row r="29" spans="1:8" x14ac:dyDescent="0.3">
      <c r="A29" t="s">
        <v>66</v>
      </c>
      <c r="B29">
        <v>0.53800000000000003</v>
      </c>
      <c r="C29" t="s">
        <v>84</v>
      </c>
      <c r="D29">
        <v>0.53600000000000003</v>
      </c>
      <c r="E29" t="s">
        <v>109</v>
      </c>
      <c r="F29">
        <v>0.42699999999999999</v>
      </c>
      <c r="G29" t="s">
        <v>151</v>
      </c>
      <c r="H29">
        <v>0.54500000000000004</v>
      </c>
    </row>
    <row r="30" spans="1:8" x14ac:dyDescent="0.3">
      <c r="A30" t="s">
        <v>66</v>
      </c>
      <c r="B30">
        <v>0.53800000000000003</v>
      </c>
      <c r="C30" t="s">
        <v>84</v>
      </c>
      <c r="D30">
        <v>0.52500000000000002</v>
      </c>
      <c r="E30" t="s">
        <v>109</v>
      </c>
      <c r="F30">
        <v>0.44600000000000001</v>
      </c>
      <c r="G30" t="s">
        <v>151</v>
      </c>
      <c r="H30">
        <v>0.52</v>
      </c>
    </row>
    <row r="31" spans="1:8" x14ac:dyDescent="0.3">
      <c r="A31" t="s">
        <v>66</v>
      </c>
      <c r="B31">
        <v>0.57099999999999995</v>
      </c>
      <c r="C31" t="s">
        <v>84</v>
      </c>
      <c r="D31">
        <v>0.502</v>
      </c>
      <c r="E31" t="s">
        <v>109</v>
      </c>
      <c r="F31">
        <v>0.45100000000000001</v>
      </c>
      <c r="G31" t="s">
        <v>151</v>
      </c>
      <c r="H31">
        <v>0.51900000000000002</v>
      </c>
    </row>
    <row r="32" spans="1:8" x14ac:dyDescent="0.3">
      <c r="A32" t="s">
        <v>67</v>
      </c>
      <c r="B32">
        <v>0.60199999999999998</v>
      </c>
      <c r="C32" t="s">
        <v>86</v>
      </c>
      <c r="D32">
        <v>0.53500000000000003</v>
      </c>
      <c r="E32" t="s">
        <v>110</v>
      </c>
      <c r="F32">
        <v>0.441</v>
      </c>
      <c r="G32" t="s">
        <v>152</v>
      </c>
      <c r="H32">
        <v>0.49099999999999999</v>
      </c>
    </row>
    <row r="33" spans="1:8" x14ac:dyDescent="0.3">
      <c r="A33" t="s">
        <v>67</v>
      </c>
      <c r="B33">
        <v>0.58099999999999996</v>
      </c>
      <c r="C33" t="s">
        <v>86</v>
      </c>
      <c r="D33">
        <v>0.53500000000000003</v>
      </c>
      <c r="E33" t="s">
        <v>110</v>
      </c>
      <c r="F33">
        <v>0.46300000000000002</v>
      </c>
      <c r="G33" t="s">
        <v>152</v>
      </c>
      <c r="H33">
        <v>0.47099999999999997</v>
      </c>
    </row>
    <row r="34" spans="1:8" x14ac:dyDescent="0.3">
      <c r="A34" t="s">
        <v>67</v>
      </c>
      <c r="B34">
        <v>0.59</v>
      </c>
      <c r="C34" t="s">
        <v>86</v>
      </c>
      <c r="D34">
        <v>0.52300000000000002</v>
      </c>
      <c r="E34" t="s">
        <v>110</v>
      </c>
      <c r="F34">
        <v>0.45800000000000002</v>
      </c>
      <c r="G34" t="s">
        <v>152</v>
      </c>
      <c r="H34">
        <v>0.47699999999999998</v>
      </c>
    </row>
    <row r="35" spans="1:8" x14ac:dyDescent="0.3">
      <c r="A35" t="s">
        <v>68</v>
      </c>
      <c r="B35">
        <v>0.58199999999999996</v>
      </c>
      <c r="C35" t="s">
        <v>85</v>
      </c>
      <c r="D35">
        <v>0.51500000000000001</v>
      </c>
      <c r="E35" t="s">
        <v>111</v>
      </c>
      <c r="F35">
        <v>0.45600000000000002</v>
      </c>
      <c r="G35" t="s">
        <v>153</v>
      </c>
      <c r="H35">
        <v>0.48</v>
      </c>
    </row>
    <row r="36" spans="1:8" x14ac:dyDescent="0.3">
      <c r="A36" t="s">
        <v>68</v>
      </c>
      <c r="B36">
        <v>0.57799999999999996</v>
      </c>
      <c r="C36" t="s">
        <v>85</v>
      </c>
      <c r="D36">
        <v>0.51200000000000001</v>
      </c>
      <c r="E36" t="s">
        <v>111</v>
      </c>
      <c r="F36">
        <v>0.48199999999999998</v>
      </c>
      <c r="G36" t="s">
        <v>153</v>
      </c>
      <c r="H36">
        <v>0.47699999999999998</v>
      </c>
    </row>
    <row r="37" spans="1:8" x14ac:dyDescent="0.3">
      <c r="A37" t="s">
        <v>68</v>
      </c>
      <c r="B37">
        <v>0.57899999999999996</v>
      </c>
      <c r="C37" t="s">
        <v>85</v>
      </c>
      <c r="D37">
        <v>0.51700000000000002</v>
      </c>
      <c r="E37" t="s">
        <v>111</v>
      </c>
      <c r="F37">
        <v>0.45200000000000001</v>
      </c>
      <c r="G37" t="s">
        <v>153</v>
      </c>
      <c r="H37">
        <v>0.49099999999999999</v>
      </c>
    </row>
    <row r="38" spans="1:8" x14ac:dyDescent="0.3">
      <c r="A38" t="s">
        <v>69</v>
      </c>
      <c r="B38">
        <v>0.66</v>
      </c>
      <c r="C38" t="s">
        <v>87</v>
      </c>
      <c r="D38">
        <v>0.57899999999999996</v>
      </c>
      <c r="E38" t="s">
        <v>112</v>
      </c>
      <c r="F38">
        <v>0.53900000000000003</v>
      </c>
      <c r="G38" t="s">
        <v>154</v>
      </c>
      <c r="H38">
        <v>0.58399999999999996</v>
      </c>
    </row>
    <row r="39" spans="1:8" x14ac:dyDescent="0.3">
      <c r="A39" t="s">
        <v>69</v>
      </c>
      <c r="B39">
        <v>0.68100000000000005</v>
      </c>
      <c r="C39" t="s">
        <v>87</v>
      </c>
      <c r="D39">
        <v>0.56499999999999995</v>
      </c>
      <c r="E39" t="s">
        <v>112</v>
      </c>
      <c r="F39">
        <v>0.53400000000000003</v>
      </c>
      <c r="G39" t="s">
        <v>154</v>
      </c>
      <c r="H39">
        <v>0.57999999999999996</v>
      </c>
    </row>
    <row r="40" spans="1:8" x14ac:dyDescent="0.3">
      <c r="A40" t="s">
        <v>69</v>
      </c>
      <c r="B40">
        <v>0.66300000000000003</v>
      </c>
      <c r="C40" t="s">
        <v>87</v>
      </c>
      <c r="D40">
        <v>0.57599999999999996</v>
      </c>
      <c r="E40" t="s">
        <v>112</v>
      </c>
      <c r="F40">
        <v>0.55500000000000005</v>
      </c>
      <c r="G40" t="s">
        <v>154</v>
      </c>
      <c r="H40">
        <v>0.58699999999999997</v>
      </c>
    </row>
    <row r="41" spans="1:8" x14ac:dyDescent="0.3">
      <c r="A41" t="s">
        <v>70</v>
      </c>
      <c r="B41">
        <v>0.66900000000000004</v>
      </c>
      <c r="C41" t="s">
        <v>88</v>
      </c>
      <c r="D41">
        <v>0.60299999999999998</v>
      </c>
      <c r="E41" t="s">
        <v>113</v>
      </c>
      <c r="F41">
        <v>0.54</v>
      </c>
      <c r="G41" t="s">
        <v>155</v>
      </c>
      <c r="H41">
        <v>0.59699999999999998</v>
      </c>
    </row>
    <row r="42" spans="1:8" x14ac:dyDescent="0.3">
      <c r="A42" t="s">
        <v>70</v>
      </c>
      <c r="B42">
        <v>0.66900000000000004</v>
      </c>
      <c r="C42" t="s">
        <v>88</v>
      </c>
      <c r="D42">
        <v>0.59099999999999997</v>
      </c>
      <c r="E42" t="s">
        <v>113</v>
      </c>
      <c r="F42">
        <v>0.54500000000000004</v>
      </c>
      <c r="G42" t="s">
        <v>155</v>
      </c>
      <c r="H42">
        <v>0.59399999999999997</v>
      </c>
    </row>
    <row r="43" spans="1:8" x14ac:dyDescent="0.3">
      <c r="A43" t="s">
        <v>70</v>
      </c>
      <c r="B43">
        <v>0.66100000000000003</v>
      </c>
      <c r="C43" t="s">
        <v>88</v>
      </c>
      <c r="D43">
        <v>0.57699999999999996</v>
      </c>
      <c r="E43" t="s">
        <v>113</v>
      </c>
      <c r="F43">
        <v>0.54400000000000004</v>
      </c>
      <c r="G43" t="s">
        <v>155</v>
      </c>
      <c r="H43">
        <v>0.60299999999999998</v>
      </c>
    </row>
    <row r="44" spans="1:8" x14ac:dyDescent="0.3">
      <c r="A44" t="s">
        <v>71</v>
      </c>
      <c r="B44">
        <v>0.626</v>
      </c>
      <c r="C44" t="s">
        <v>89</v>
      </c>
      <c r="D44">
        <v>0.56699999999999995</v>
      </c>
      <c r="E44" t="s">
        <v>114</v>
      </c>
      <c r="F44">
        <v>0.53300000000000003</v>
      </c>
      <c r="G44" t="s">
        <v>156</v>
      </c>
      <c r="H44">
        <v>0.61299999999999999</v>
      </c>
    </row>
    <row r="45" spans="1:8" x14ac:dyDescent="0.3">
      <c r="A45" t="s">
        <v>71</v>
      </c>
      <c r="B45">
        <v>0.64700000000000002</v>
      </c>
      <c r="C45" t="s">
        <v>89</v>
      </c>
      <c r="D45">
        <v>0.59299999999999997</v>
      </c>
      <c r="E45" t="s">
        <v>114</v>
      </c>
      <c r="F45">
        <v>0.54100000000000004</v>
      </c>
      <c r="G45" t="s">
        <v>156</v>
      </c>
      <c r="H45">
        <v>0.61</v>
      </c>
    </row>
    <row r="46" spans="1:8" x14ac:dyDescent="0.3">
      <c r="A46" t="s">
        <v>71</v>
      </c>
      <c r="B46">
        <v>0.65100000000000002</v>
      </c>
      <c r="C46" t="s">
        <v>89</v>
      </c>
      <c r="D46">
        <v>0.58199999999999996</v>
      </c>
      <c r="E46" t="s">
        <v>114</v>
      </c>
      <c r="F46">
        <v>0.53800000000000003</v>
      </c>
      <c r="G46" t="s">
        <v>156</v>
      </c>
      <c r="H46">
        <v>0.59899999999999998</v>
      </c>
    </row>
    <row r="47" spans="1:8" x14ac:dyDescent="0.3">
      <c r="A47" t="s">
        <v>72</v>
      </c>
      <c r="B47">
        <v>0.66100000000000003</v>
      </c>
      <c r="C47" t="s">
        <v>90</v>
      </c>
      <c r="D47">
        <v>0.59499999999999997</v>
      </c>
      <c r="E47" t="s">
        <v>115</v>
      </c>
      <c r="F47">
        <v>0.498</v>
      </c>
      <c r="G47" t="s">
        <v>157</v>
      </c>
      <c r="H47">
        <v>0.59799999999999998</v>
      </c>
    </row>
    <row r="48" spans="1:8" x14ac:dyDescent="0.3">
      <c r="A48" t="s">
        <v>72</v>
      </c>
      <c r="B48">
        <v>0.63600000000000001</v>
      </c>
      <c r="C48" t="s">
        <v>90</v>
      </c>
      <c r="D48">
        <v>0.58099999999999996</v>
      </c>
      <c r="E48" t="s">
        <v>115</v>
      </c>
      <c r="F48">
        <v>0.51100000000000001</v>
      </c>
      <c r="G48" t="s">
        <v>157</v>
      </c>
      <c r="H48">
        <v>0.60299999999999998</v>
      </c>
    </row>
    <row r="49" spans="1:8" x14ac:dyDescent="0.3">
      <c r="A49" t="s">
        <v>72</v>
      </c>
      <c r="B49">
        <v>0.65300000000000002</v>
      </c>
      <c r="C49" t="s">
        <v>90</v>
      </c>
      <c r="D49">
        <v>0.59599999999999997</v>
      </c>
      <c r="E49" t="s">
        <v>115</v>
      </c>
      <c r="F49">
        <v>0.52300000000000002</v>
      </c>
      <c r="G49" t="s">
        <v>157</v>
      </c>
      <c r="H49">
        <v>0.59599999999999997</v>
      </c>
    </row>
    <row r="50" spans="1:8" x14ac:dyDescent="0.3">
      <c r="A50" t="s">
        <v>73</v>
      </c>
      <c r="B50">
        <v>0.65600000000000003</v>
      </c>
      <c r="C50" t="s">
        <v>91</v>
      </c>
      <c r="D50">
        <v>0.59699999999999998</v>
      </c>
      <c r="E50" t="s">
        <v>116</v>
      </c>
      <c r="F50">
        <v>0.496</v>
      </c>
      <c r="G50" t="s">
        <v>158</v>
      </c>
      <c r="H50">
        <v>0.57999999999999996</v>
      </c>
    </row>
    <row r="51" spans="1:8" x14ac:dyDescent="0.3">
      <c r="A51" t="s">
        <v>73</v>
      </c>
      <c r="B51">
        <v>0.66400000000000003</v>
      </c>
      <c r="C51" t="s">
        <v>91</v>
      </c>
      <c r="D51">
        <v>0.59399999999999997</v>
      </c>
      <c r="E51" t="s">
        <v>116</v>
      </c>
      <c r="F51">
        <v>0.50600000000000001</v>
      </c>
      <c r="G51" t="s">
        <v>158</v>
      </c>
      <c r="H51">
        <v>0.57599999999999996</v>
      </c>
    </row>
    <row r="52" spans="1:8" x14ac:dyDescent="0.3">
      <c r="A52" t="s">
        <v>73</v>
      </c>
      <c r="B52">
        <v>0.66700000000000004</v>
      </c>
      <c r="C52" t="s">
        <v>91</v>
      </c>
      <c r="D52">
        <v>0.57799999999999996</v>
      </c>
      <c r="E52" t="s">
        <v>116</v>
      </c>
      <c r="F52">
        <v>0.504</v>
      </c>
      <c r="G52" t="s">
        <v>158</v>
      </c>
      <c r="H52">
        <v>0.58899999999999997</v>
      </c>
    </row>
    <row r="53" spans="1:8" x14ac:dyDescent="0.3">
      <c r="A53" t="s">
        <v>74</v>
      </c>
      <c r="B53">
        <v>0.66200000000000003</v>
      </c>
      <c r="C53" t="s">
        <v>92</v>
      </c>
      <c r="D53">
        <v>0.61399999999999999</v>
      </c>
      <c r="E53" t="s">
        <v>117</v>
      </c>
      <c r="F53">
        <v>0.48199999999999998</v>
      </c>
      <c r="G53" t="s">
        <v>159</v>
      </c>
      <c r="H53">
        <v>0.57699999999999996</v>
      </c>
    </row>
    <row r="54" spans="1:8" x14ac:dyDescent="0.3">
      <c r="A54" t="s">
        <v>74</v>
      </c>
      <c r="B54">
        <v>0.66400000000000003</v>
      </c>
      <c r="C54" t="s">
        <v>92</v>
      </c>
      <c r="D54">
        <v>0.59799999999999998</v>
      </c>
      <c r="E54" t="s">
        <v>117</v>
      </c>
      <c r="F54">
        <v>0.49199999999999999</v>
      </c>
      <c r="G54" t="s">
        <v>159</v>
      </c>
      <c r="H54">
        <v>0.57299999999999995</v>
      </c>
    </row>
    <row r="55" spans="1:8" x14ac:dyDescent="0.3">
      <c r="A55" t="s">
        <v>74</v>
      </c>
      <c r="B55">
        <v>0.65400000000000003</v>
      </c>
      <c r="C55" t="s">
        <v>92</v>
      </c>
      <c r="D55">
        <v>0.60899999999999999</v>
      </c>
      <c r="E55" t="s">
        <v>117</v>
      </c>
      <c r="F55">
        <v>0.48799999999999999</v>
      </c>
      <c r="G55" t="s">
        <v>159</v>
      </c>
      <c r="H55">
        <v>0.55800000000000005</v>
      </c>
    </row>
    <row r="56" spans="1:8" x14ac:dyDescent="0.3">
      <c r="A56" t="s">
        <v>75</v>
      </c>
      <c r="B56">
        <v>0.66600000000000004</v>
      </c>
      <c r="C56" t="s">
        <v>93</v>
      </c>
      <c r="D56">
        <v>0.59699999999999998</v>
      </c>
      <c r="E56" t="s">
        <v>118</v>
      </c>
      <c r="F56">
        <v>0.51300000000000001</v>
      </c>
      <c r="G56" t="s">
        <v>160</v>
      </c>
      <c r="H56">
        <v>0.57599999999999996</v>
      </c>
    </row>
    <row r="57" spans="1:8" x14ac:dyDescent="0.3">
      <c r="A57" t="s">
        <v>75</v>
      </c>
      <c r="B57">
        <v>0.66700000000000004</v>
      </c>
      <c r="C57" t="s">
        <v>93</v>
      </c>
      <c r="D57">
        <v>0.59899999999999998</v>
      </c>
      <c r="E57" t="s">
        <v>118</v>
      </c>
      <c r="F57">
        <v>0.51300000000000001</v>
      </c>
      <c r="G57" t="s">
        <v>160</v>
      </c>
      <c r="H57">
        <v>0.57899999999999996</v>
      </c>
    </row>
    <row r="58" spans="1:8" x14ac:dyDescent="0.3">
      <c r="A58" t="s">
        <v>75</v>
      </c>
      <c r="B58">
        <v>0.66100000000000003</v>
      </c>
      <c r="C58" t="s">
        <v>93</v>
      </c>
      <c r="D58">
        <v>0.58799999999999997</v>
      </c>
      <c r="E58" t="s">
        <v>118</v>
      </c>
      <c r="F58">
        <v>0.51300000000000001</v>
      </c>
      <c r="G58" t="s">
        <v>160</v>
      </c>
      <c r="H58">
        <v>0.59799999999999998</v>
      </c>
    </row>
    <row r="59" spans="1:8" x14ac:dyDescent="0.3">
      <c r="A59" t="s">
        <v>76</v>
      </c>
      <c r="B59">
        <v>0.66200000000000003</v>
      </c>
      <c r="C59" t="s">
        <v>94</v>
      </c>
      <c r="D59">
        <v>0.60699999999999998</v>
      </c>
      <c r="E59" t="s">
        <v>119</v>
      </c>
      <c r="F59">
        <v>0.53200000000000003</v>
      </c>
      <c r="G59" t="s">
        <v>161</v>
      </c>
      <c r="H59">
        <v>0.60799999999999998</v>
      </c>
    </row>
    <row r="60" spans="1:8" x14ac:dyDescent="0.3">
      <c r="A60" t="s">
        <v>76</v>
      </c>
      <c r="B60">
        <v>0.65600000000000003</v>
      </c>
      <c r="C60" t="s">
        <v>94</v>
      </c>
      <c r="D60">
        <v>0.59099999999999997</v>
      </c>
      <c r="E60" t="s">
        <v>119</v>
      </c>
      <c r="F60">
        <v>0.52700000000000002</v>
      </c>
      <c r="G60" t="s">
        <v>161</v>
      </c>
      <c r="H60">
        <v>0.6</v>
      </c>
    </row>
    <row r="61" spans="1:8" x14ac:dyDescent="0.3">
      <c r="A61" t="s">
        <v>76</v>
      </c>
      <c r="B61">
        <v>0.65600000000000003</v>
      </c>
      <c r="C61" t="s">
        <v>94</v>
      </c>
      <c r="D61">
        <v>0.57399999999999995</v>
      </c>
      <c r="E61" t="s">
        <v>119</v>
      </c>
      <c r="F61">
        <v>0.52500000000000002</v>
      </c>
      <c r="G61" t="s">
        <v>161</v>
      </c>
      <c r="H61">
        <v>0.60299999999999998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9A938-3653-4997-89ED-B84F44963E8E}">
  <dimension ref="A1:L17"/>
  <sheetViews>
    <sheetView workbookViewId="0">
      <selection activeCell="B2" sqref="B2"/>
    </sheetView>
  </sheetViews>
  <sheetFormatPr defaultRowHeight="14.4" x14ac:dyDescent="0.3"/>
  <sheetData>
    <row r="1" spans="1:12" x14ac:dyDescent="0.3">
      <c r="A1" t="s">
        <v>77</v>
      </c>
      <c r="B1" t="s">
        <v>138</v>
      </c>
      <c r="C1" t="s">
        <v>139</v>
      </c>
      <c r="D1" t="s">
        <v>78</v>
      </c>
      <c r="E1" t="s">
        <v>140</v>
      </c>
      <c r="F1" t="s">
        <v>141</v>
      </c>
      <c r="G1" t="s">
        <v>98</v>
      </c>
      <c r="H1" t="s">
        <v>142</v>
      </c>
      <c r="I1" t="s">
        <v>143</v>
      </c>
      <c r="J1" t="s">
        <v>145</v>
      </c>
      <c r="K1" t="s">
        <v>162</v>
      </c>
      <c r="L1" t="s">
        <v>144</v>
      </c>
    </row>
    <row r="2" spans="1:12" x14ac:dyDescent="0.3">
      <c r="A2" t="s">
        <v>61</v>
      </c>
      <c r="B2">
        <v>7.9715864246250998</v>
      </c>
      <c r="C2">
        <v>21.849984496288279</v>
      </c>
      <c r="D2" t="s">
        <v>79</v>
      </c>
      <c r="E2">
        <v>-14.343598055105334</v>
      </c>
      <c r="F2">
        <v>6.8372926508327945</v>
      </c>
      <c r="G2" t="s">
        <v>104</v>
      </c>
      <c r="H2">
        <v>11.55378486055776</v>
      </c>
      <c r="I2">
        <v>30.367661842747516</v>
      </c>
      <c r="J2" t="s">
        <v>146</v>
      </c>
      <c r="K2">
        <v>-21.862667719021307</v>
      </c>
      <c r="L2">
        <v>8.9796133564817051</v>
      </c>
    </row>
    <row r="3" spans="1:12" x14ac:dyDescent="0.3">
      <c r="A3" t="s">
        <v>62</v>
      </c>
      <c r="B3">
        <v>-14.364640883977899</v>
      </c>
      <c r="C3">
        <v>20.223904465847951</v>
      </c>
      <c r="D3" t="s">
        <v>80</v>
      </c>
      <c r="E3">
        <v>-22.609400324149096</v>
      </c>
      <c r="F3">
        <v>4.4316846104410166</v>
      </c>
      <c r="G3" t="s">
        <v>105</v>
      </c>
      <c r="H3">
        <v>-6.3745019920318819</v>
      </c>
      <c r="I3">
        <v>16.007014224175176</v>
      </c>
      <c r="J3" t="s">
        <v>147</v>
      </c>
      <c r="K3">
        <v>-34.096290449881607</v>
      </c>
      <c r="L3">
        <v>16.254791914397362</v>
      </c>
    </row>
    <row r="4" spans="1:12" x14ac:dyDescent="0.3">
      <c r="A4" t="s">
        <v>63</v>
      </c>
      <c r="B4">
        <v>2.8413575374901363</v>
      </c>
      <c r="C4">
        <v>11.430649785364166</v>
      </c>
      <c r="D4" t="s">
        <v>81</v>
      </c>
      <c r="E4">
        <v>-11.912479740680702</v>
      </c>
      <c r="F4">
        <v>7.2596616533035601</v>
      </c>
      <c r="G4" t="s">
        <v>106</v>
      </c>
      <c r="H4">
        <v>11.633466135458159</v>
      </c>
      <c r="I4">
        <v>12.918855279922063</v>
      </c>
      <c r="J4" t="s">
        <v>148</v>
      </c>
      <c r="K4">
        <v>-17.205998421468038</v>
      </c>
      <c r="L4">
        <v>16.839071896745271</v>
      </c>
    </row>
    <row r="5" spans="1:12" x14ac:dyDescent="0.3">
      <c r="A5" t="s">
        <v>64</v>
      </c>
      <c r="B5">
        <v>-20.126282557221781</v>
      </c>
      <c r="C5">
        <v>5.4499373327962388</v>
      </c>
      <c r="D5" t="s">
        <v>82</v>
      </c>
      <c r="E5">
        <v>-0.16207455429495798</v>
      </c>
      <c r="F5">
        <v>9.0336272138642855</v>
      </c>
      <c r="G5" t="s">
        <v>107</v>
      </c>
      <c r="H5">
        <v>6.454183266932267</v>
      </c>
      <c r="I5">
        <v>8.5404054227724338</v>
      </c>
      <c r="J5" t="s">
        <v>149</v>
      </c>
      <c r="K5">
        <v>-26.756116811365427</v>
      </c>
      <c r="L5">
        <v>7.6250338048879014</v>
      </c>
    </row>
    <row r="6" spans="1:12" x14ac:dyDescent="0.3">
      <c r="A6" t="s">
        <v>65</v>
      </c>
      <c r="B6">
        <v>-27.22967640094712</v>
      </c>
      <c r="C6">
        <v>5.1843821885834425</v>
      </c>
      <c r="D6" t="s">
        <v>83</v>
      </c>
      <c r="E6">
        <v>-9.4003241491085756</v>
      </c>
      <c r="F6">
        <v>7.1042166086559773</v>
      </c>
      <c r="G6" t="s">
        <v>108</v>
      </c>
      <c r="H6">
        <v>-11.474103585657373</v>
      </c>
      <c r="I6">
        <v>12.694104905834347</v>
      </c>
      <c r="J6" t="s">
        <v>150</v>
      </c>
      <c r="K6">
        <v>-32.912391475927386</v>
      </c>
      <c r="L6">
        <v>13.046226885591418</v>
      </c>
    </row>
    <row r="7" spans="1:12" x14ac:dyDescent="0.3">
      <c r="A7" t="s">
        <v>66</v>
      </c>
      <c r="B7">
        <v>-15.153906866614046</v>
      </c>
      <c r="C7">
        <v>5.5128218491527798</v>
      </c>
      <c r="D7" t="s">
        <v>84</v>
      </c>
      <c r="E7">
        <v>-2.7552674230145673</v>
      </c>
      <c r="F7">
        <v>6.9924104537497298</v>
      </c>
      <c r="G7" t="s">
        <v>109</v>
      </c>
      <c r="H7">
        <v>3.1075697211155315</v>
      </c>
      <c r="I7">
        <v>11.622181577826469</v>
      </c>
      <c r="J7" t="s">
        <v>151</v>
      </c>
      <c r="K7">
        <v>-24.546172059984215</v>
      </c>
      <c r="L7">
        <v>11.84915813432781</v>
      </c>
    </row>
    <row r="8" spans="1:12" x14ac:dyDescent="0.3">
      <c r="A8" t="s">
        <v>67</v>
      </c>
      <c r="B8">
        <v>7.7348066298342548</v>
      </c>
      <c r="C8">
        <v>16.2854218688529</v>
      </c>
      <c r="D8" t="s">
        <v>86</v>
      </c>
      <c r="E8">
        <v>20.745542949756906</v>
      </c>
      <c r="F8">
        <v>11.712807077395649</v>
      </c>
      <c r="G8" t="s">
        <v>110</v>
      </c>
      <c r="H8">
        <v>-1.0358565737051886</v>
      </c>
      <c r="I8">
        <v>4.6297494968395041</v>
      </c>
      <c r="J8" t="s">
        <v>152</v>
      </c>
      <c r="K8">
        <v>-24.625098658247829</v>
      </c>
      <c r="L8">
        <v>7.8159917437300903</v>
      </c>
    </row>
    <row r="9" spans="1:12" x14ac:dyDescent="0.3">
      <c r="A9" t="s">
        <v>68</v>
      </c>
      <c r="B9">
        <v>-14.759273875295971</v>
      </c>
      <c r="C9">
        <v>21.703522957912817</v>
      </c>
      <c r="D9" t="s">
        <v>85</v>
      </c>
      <c r="E9">
        <v>-2.4311183144246202</v>
      </c>
      <c r="F9">
        <v>5.8765530592705089</v>
      </c>
      <c r="G9" t="s">
        <v>111</v>
      </c>
      <c r="H9">
        <v>4.3824701195219076</v>
      </c>
      <c r="I9">
        <v>17.380505675461464</v>
      </c>
      <c r="J9" t="s">
        <v>153</v>
      </c>
      <c r="K9">
        <v>-37.490134175217051</v>
      </c>
      <c r="L9">
        <v>10.164896093485478</v>
      </c>
    </row>
    <row r="10" spans="1:12" x14ac:dyDescent="0.3">
      <c r="A10" t="s">
        <v>69</v>
      </c>
      <c r="B10">
        <v>6.5688775510204129</v>
      </c>
      <c r="C10">
        <v>17.908544824122863</v>
      </c>
      <c r="D10" t="s">
        <v>87</v>
      </c>
      <c r="E10">
        <v>16.337187616560993</v>
      </c>
      <c r="F10">
        <v>4.7280721753049875</v>
      </c>
      <c r="G10" t="s">
        <v>112</v>
      </c>
      <c r="H10">
        <v>60.369609856262841</v>
      </c>
      <c r="I10">
        <v>12.344387996871738</v>
      </c>
      <c r="J10" t="s">
        <v>154</v>
      </c>
      <c r="K10">
        <v>13.518005540166195</v>
      </c>
      <c r="L10">
        <v>19.756888298687461</v>
      </c>
    </row>
    <row r="11" spans="1:12" x14ac:dyDescent="0.3">
      <c r="A11" t="s">
        <v>70</v>
      </c>
      <c r="B11">
        <v>-2.838010204081634</v>
      </c>
      <c r="C11">
        <v>26.752565940074547</v>
      </c>
      <c r="D11" t="s">
        <v>88</v>
      </c>
      <c r="E11">
        <v>6.1171204774337955</v>
      </c>
      <c r="F11">
        <v>6.0030978780783606</v>
      </c>
      <c r="G11" t="s">
        <v>113</v>
      </c>
      <c r="H11">
        <v>69.952087611225181</v>
      </c>
      <c r="I11">
        <v>46.844925660905034</v>
      </c>
      <c r="J11" t="s">
        <v>155</v>
      </c>
      <c r="K11">
        <v>39.889196675900266</v>
      </c>
      <c r="L11">
        <v>49.533712790051084</v>
      </c>
    </row>
    <row r="12" spans="1:12" x14ac:dyDescent="0.3">
      <c r="A12" t="s">
        <v>71</v>
      </c>
      <c r="B12">
        <v>0.12755102040816246</v>
      </c>
      <c r="C12">
        <v>17.428031742986391</v>
      </c>
      <c r="D12" t="s">
        <v>89</v>
      </c>
      <c r="E12">
        <v>-2.7228646027601551</v>
      </c>
      <c r="F12">
        <v>9.3325344676972968</v>
      </c>
      <c r="G12" t="s">
        <v>114</v>
      </c>
      <c r="H12">
        <v>32.238193018480494</v>
      </c>
      <c r="I12">
        <v>26.839317581168995</v>
      </c>
      <c r="J12" t="s">
        <v>156</v>
      </c>
      <c r="K12">
        <v>47.146814404432128</v>
      </c>
      <c r="L12">
        <v>15.362951811578494</v>
      </c>
    </row>
    <row r="13" spans="1:12" x14ac:dyDescent="0.3">
      <c r="A13" t="s">
        <v>72</v>
      </c>
      <c r="B13">
        <v>24.011479591836732</v>
      </c>
      <c r="C13">
        <v>15.494299251602483</v>
      </c>
      <c r="D13" t="s">
        <v>90</v>
      </c>
      <c r="E13">
        <v>-0.89518836255127709</v>
      </c>
      <c r="F13">
        <v>16.970746514787088</v>
      </c>
      <c r="G13" t="s">
        <v>115</v>
      </c>
      <c r="H13">
        <v>63.655030800821358</v>
      </c>
      <c r="I13">
        <v>9.3204285108780613</v>
      </c>
      <c r="J13" t="s">
        <v>157</v>
      </c>
      <c r="K13">
        <v>90.470914127423811</v>
      </c>
      <c r="L13">
        <v>50.742438425176147</v>
      </c>
    </row>
    <row r="14" spans="1:12" x14ac:dyDescent="0.3">
      <c r="A14" t="s">
        <v>73</v>
      </c>
      <c r="B14">
        <v>-12.723214285714283</v>
      </c>
      <c r="C14">
        <v>27.773996724536431</v>
      </c>
      <c r="D14" t="s">
        <v>91</v>
      </c>
      <c r="E14">
        <v>-23.34949645654606</v>
      </c>
      <c r="F14">
        <v>4.0538241459734436</v>
      </c>
      <c r="G14" t="s">
        <v>116</v>
      </c>
      <c r="H14">
        <v>31.34839151266257</v>
      </c>
      <c r="I14">
        <v>26.447671669506189</v>
      </c>
      <c r="J14" t="s">
        <v>158</v>
      </c>
      <c r="K14">
        <v>14.238227146814399</v>
      </c>
      <c r="L14">
        <v>36.951648807851079</v>
      </c>
    </row>
    <row r="15" spans="1:12" x14ac:dyDescent="0.3">
      <c r="A15" t="s">
        <v>74</v>
      </c>
      <c r="B15">
        <v>-13.329081632653059</v>
      </c>
      <c r="C15">
        <v>11.368748692257677</v>
      </c>
      <c r="D15" t="s">
        <v>92</v>
      </c>
      <c r="E15">
        <v>-33.494964565460648</v>
      </c>
      <c r="F15">
        <v>10.98566233728017</v>
      </c>
      <c r="G15" t="s">
        <v>117</v>
      </c>
      <c r="H15">
        <v>1.1635865845311519</v>
      </c>
      <c r="I15">
        <v>18.677012591777693</v>
      </c>
      <c r="J15" t="s">
        <v>159</v>
      </c>
      <c r="K15">
        <v>-6.7590027700831072</v>
      </c>
      <c r="L15">
        <v>17.281885209603722</v>
      </c>
    </row>
    <row r="16" spans="1:12" x14ac:dyDescent="0.3">
      <c r="A16" t="s">
        <v>75</v>
      </c>
      <c r="B16">
        <v>6.2181122448979567</v>
      </c>
      <c r="C16">
        <v>13.164919328002508</v>
      </c>
      <c r="D16" t="s">
        <v>93</v>
      </c>
      <c r="E16">
        <v>-30.361805296531138</v>
      </c>
      <c r="F16">
        <v>11.343877599497697</v>
      </c>
      <c r="G16" t="s">
        <v>118</v>
      </c>
      <c r="H16">
        <v>53.593429158110894</v>
      </c>
      <c r="I16">
        <v>22.996860137520883</v>
      </c>
      <c r="J16" t="s">
        <v>160</v>
      </c>
      <c r="K16">
        <v>13.628808864265928</v>
      </c>
      <c r="L16">
        <v>22.517805453109013</v>
      </c>
    </row>
    <row r="17" spans="1:12" x14ac:dyDescent="0.3">
      <c r="A17" t="s">
        <v>76</v>
      </c>
      <c r="B17">
        <v>2.3915816326530606</v>
      </c>
      <c r="C17">
        <v>18.495740949589724</v>
      </c>
      <c r="D17" t="s">
        <v>94</v>
      </c>
      <c r="E17">
        <v>8.5042894442372265</v>
      </c>
      <c r="F17">
        <v>16.218670987621277</v>
      </c>
      <c r="G17" t="s">
        <v>119</v>
      </c>
      <c r="H17">
        <v>39.767282683093782</v>
      </c>
      <c r="I17">
        <v>22.9441043729427</v>
      </c>
      <c r="J17" t="s">
        <v>161</v>
      </c>
      <c r="K17">
        <v>-24.26592797783934</v>
      </c>
      <c r="L17">
        <v>9.4858259172629324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05C19-8D7F-487C-B210-B6FE8EE9B828}">
  <dimension ref="A1:L21"/>
  <sheetViews>
    <sheetView workbookViewId="0">
      <selection activeCell="L2" sqref="L2"/>
    </sheetView>
  </sheetViews>
  <sheetFormatPr defaultRowHeight="14.4" x14ac:dyDescent="0.3"/>
  <sheetData>
    <row r="1" spans="1:12" x14ac:dyDescent="0.3">
      <c r="A1" t="s">
        <v>77</v>
      </c>
      <c r="B1" t="s">
        <v>166</v>
      </c>
      <c r="C1" t="s">
        <v>167</v>
      </c>
      <c r="D1" t="s">
        <v>78</v>
      </c>
      <c r="E1" t="s">
        <v>168</v>
      </c>
      <c r="F1" t="s">
        <v>169</v>
      </c>
      <c r="G1" t="s">
        <v>98</v>
      </c>
      <c r="H1" t="s">
        <v>170</v>
      </c>
      <c r="I1" t="s">
        <v>171</v>
      </c>
      <c r="J1" t="s">
        <v>145</v>
      </c>
      <c r="K1" t="s">
        <v>172</v>
      </c>
      <c r="L1" t="s">
        <v>175</v>
      </c>
    </row>
    <row r="2" spans="1:12" x14ac:dyDescent="0.3">
      <c r="A2" t="s">
        <v>173</v>
      </c>
      <c r="B2">
        <v>-0.79499999999999993</v>
      </c>
      <c r="C2">
        <v>0.45420259796703055</v>
      </c>
      <c r="D2" t="s">
        <v>173</v>
      </c>
      <c r="E2">
        <v>-0.54749999999999999</v>
      </c>
      <c r="F2">
        <v>0.1510794492973811</v>
      </c>
      <c r="G2" t="s">
        <v>173</v>
      </c>
      <c r="H2">
        <v>-0.84749999999999992</v>
      </c>
      <c r="I2">
        <v>0.23556669260883789</v>
      </c>
      <c r="J2" t="s">
        <v>173</v>
      </c>
      <c r="K2">
        <v>-0.10499999999999998</v>
      </c>
      <c r="L2">
        <v>0.25683976846794321</v>
      </c>
    </row>
    <row r="3" spans="1:12" x14ac:dyDescent="0.3">
      <c r="A3" t="s">
        <v>174</v>
      </c>
      <c r="B3">
        <v>-1.1900000000000004</v>
      </c>
      <c r="C3">
        <v>0.64233947411006831</v>
      </c>
      <c r="D3" t="s">
        <v>174</v>
      </c>
      <c r="E3">
        <v>-0.41000000000000014</v>
      </c>
      <c r="F3">
        <v>0.54607691765904198</v>
      </c>
      <c r="G3" t="s">
        <v>174</v>
      </c>
      <c r="H3">
        <v>-0.19750000000000006</v>
      </c>
      <c r="I3">
        <v>1.0083112945249926</v>
      </c>
      <c r="J3" t="s">
        <v>174</v>
      </c>
      <c r="K3">
        <v>5.2499999999999769E-2</v>
      </c>
      <c r="L3">
        <v>5.8523499553598028E-2</v>
      </c>
    </row>
    <row r="4" spans="1:12" x14ac:dyDescent="0.3">
      <c r="A4" t="s">
        <v>36</v>
      </c>
      <c r="B4">
        <v>4.7625000000000002</v>
      </c>
      <c r="C4">
        <v>0.86826935144957507</v>
      </c>
      <c r="D4" t="s">
        <v>36</v>
      </c>
      <c r="E4">
        <v>2.9824999999999999</v>
      </c>
      <c r="F4">
        <v>0.83288154419861582</v>
      </c>
      <c r="G4" t="s">
        <v>36</v>
      </c>
      <c r="H4">
        <v>2.7349999999999999</v>
      </c>
      <c r="I4">
        <v>0.56999999999999962</v>
      </c>
      <c r="J4" t="s">
        <v>36</v>
      </c>
      <c r="K4">
        <v>4.3774999999999995</v>
      </c>
      <c r="L4">
        <v>0.68182964636826171</v>
      </c>
    </row>
    <row r="5" spans="1:12" x14ac:dyDescent="0.3">
      <c r="A5" t="s">
        <v>37</v>
      </c>
      <c r="B5">
        <v>4.2074999999999996</v>
      </c>
      <c r="C5">
        <v>1.0930195179715094</v>
      </c>
      <c r="D5" t="s">
        <v>37</v>
      </c>
      <c r="E5">
        <v>3.49</v>
      </c>
      <c r="F5">
        <v>0.8481745103456011</v>
      </c>
      <c r="G5" t="s">
        <v>37</v>
      </c>
      <c r="H5">
        <v>0.60250000000000004</v>
      </c>
      <c r="I5">
        <v>0.93891337903628458</v>
      </c>
      <c r="J5" t="s">
        <v>37</v>
      </c>
      <c r="K5">
        <v>1.7349999999999999</v>
      </c>
      <c r="L5">
        <v>1.076738903665446</v>
      </c>
    </row>
    <row r="6" spans="1:12" x14ac:dyDescent="0.3">
      <c r="A6" t="s">
        <v>61</v>
      </c>
      <c r="B6">
        <v>-0.50250000000000017</v>
      </c>
      <c r="C6">
        <v>0.60802275176728959</v>
      </c>
      <c r="D6" t="s">
        <v>79</v>
      </c>
      <c r="E6">
        <v>-0.77249999999999996</v>
      </c>
      <c r="F6">
        <v>0.21823152842795202</v>
      </c>
      <c r="G6" t="s">
        <v>104</v>
      </c>
      <c r="H6">
        <v>0.33999999999999986</v>
      </c>
      <c r="I6">
        <v>0.95229547235438783</v>
      </c>
      <c r="J6" t="s">
        <v>146</v>
      </c>
      <c r="K6">
        <v>-0.64999999999999991</v>
      </c>
      <c r="L6">
        <v>0.3878143885933063</v>
      </c>
    </row>
    <row r="7" spans="1:12" x14ac:dyDescent="0.3">
      <c r="A7" t="s">
        <v>62</v>
      </c>
      <c r="B7">
        <v>-1.1324999999999998</v>
      </c>
      <c r="C7">
        <v>0.67942990808471182</v>
      </c>
      <c r="D7" t="s">
        <v>80</v>
      </c>
      <c r="E7">
        <v>-1.0275000000000001</v>
      </c>
      <c r="F7">
        <v>0.32201190454184592</v>
      </c>
      <c r="G7" t="s">
        <v>105</v>
      </c>
      <c r="H7">
        <v>-0.3125</v>
      </c>
      <c r="I7">
        <v>0.28790912918257167</v>
      </c>
      <c r="J7" t="s">
        <v>147</v>
      </c>
      <c r="K7">
        <v>-0.79749999999999988</v>
      </c>
      <c r="L7">
        <v>0.45028694555064935</v>
      </c>
    </row>
    <row r="8" spans="1:12" x14ac:dyDescent="0.3">
      <c r="A8" t="s">
        <v>63</v>
      </c>
      <c r="B8">
        <v>-0.58249999999999991</v>
      </c>
      <c r="C8">
        <v>0.41668333300001331</v>
      </c>
      <c r="D8" t="s">
        <v>81</v>
      </c>
      <c r="E8">
        <v>-0.70500000000000018</v>
      </c>
      <c r="F8">
        <v>0.19278658321228334</v>
      </c>
      <c r="G8" t="s">
        <v>106</v>
      </c>
      <c r="H8">
        <v>0.42749999999999999</v>
      </c>
      <c r="I8">
        <v>0.35621856586464812</v>
      </c>
      <c r="J8" t="s">
        <v>148</v>
      </c>
      <c r="K8">
        <v>-0.54</v>
      </c>
      <c r="L8">
        <v>0.34660255817482571</v>
      </c>
    </row>
    <row r="9" spans="1:12" x14ac:dyDescent="0.3">
      <c r="A9" t="s">
        <v>64</v>
      </c>
      <c r="B9">
        <v>-1.3749999999999998</v>
      </c>
      <c r="C9">
        <v>0.19621416870348729</v>
      </c>
      <c r="D9" t="s">
        <v>82</v>
      </c>
      <c r="E9">
        <v>-0.40999999999999992</v>
      </c>
      <c r="F9">
        <v>0.33035334618152928</v>
      </c>
      <c r="G9" t="s">
        <v>107</v>
      </c>
      <c r="H9">
        <v>7.4999999999999512E-3</v>
      </c>
      <c r="I9">
        <v>0.36436016979540076</v>
      </c>
      <c r="J9" t="s">
        <v>149</v>
      </c>
      <c r="K9">
        <v>-0.63</v>
      </c>
      <c r="L9">
        <v>7.7459666924147894E-2</v>
      </c>
    </row>
    <row r="10" spans="1:12" x14ac:dyDescent="0.3">
      <c r="A10" t="s">
        <v>65</v>
      </c>
      <c r="B10">
        <v>-1.62</v>
      </c>
      <c r="C10">
        <v>0.16268579122549923</v>
      </c>
      <c r="D10" t="s">
        <v>83</v>
      </c>
      <c r="E10">
        <v>-0.71250000000000002</v>
      </c>
      <c r="F10">
        <v>0.36791076816713786</v>
      </c>
      <c r="G10" t="s">
        <v>108</v>
      </c>
      <c r="H10">
        <v>-0.4524999999999999</v>
      </c>
      <c r="I10">
        <v>0.38064638007823842</v>
      </c>
      <c r="J10" t="s">
        <v>150</v>
      </c>
      <c r="K10">
        <v>-0.81499999999999984</v>
      </c>
      <c r="L10">
        <v>0.44873897386639683</v>
      </c>
    </row>
    <row r="11" spans="1:12" x14ac:dyDescent="0.3">
      <c r="A11" t="s">
        <v>66</v>
      </c>
      <c r="B11">
        <v>-0.92749999999999988</v>
      </c>
      <c r="C11">
        <v>0.15348724159790397</v>
      </c>
      <c r="D11" t="s">
        <v>84</v>
      </c>
      <c r="E11">
        <v>-0.35749999999999993</v>
      </c>
      <c r="F11">
        <v>0.13200378782444094</v>
      </c>
      <c r="G11" t="s">
        <v>109</v>
      </c>
      <c r="H11">
        <v>-2.0000000000000018E-2</v>
      </c>
      <c r="I11">
        <v>0.41368264809311678</v>
      </c>
      <c r="J11" t="s">
        <v>151</v>
      </c>
      <c r="K11">
        <v>-0.49000000000000021</v>
      </c>
      <c r="L11">
        <v>0.47222875812470366</v>
      </c>
    </row>
    <row r="12" spans="1:12" x14ac:dyDescent="0.3">
      <c r="A12" t="s">
        <v>67</v>
      </c>
      <c r="B12">
        <v>-0.49249999999999994</v>
      </c>
      <c r="C12">
        <v>0.30804491014569041</v>
      </c>
      <c r="D12" t="s">
        <v>86</v>
      </c>
      <c r="E12">
        <v>0.36249999999999993</v>
      </c>
      <c r="F12">
        <v>0.4659309677051599</v>
      </c>
      <c r="G12" t="s">
        <v>110</v>
      </c>
      <c r="H12">
        <v>-8.0000000000000071E-2</v>
      </c>
      <c r="I12">
        <v>0.22226110770892857</v>
      </c>
      <c r="J12" t="s">
        <v>152</v>
      </c>
      <c r="K12">
        <v>-0.6974999999999999</v>
      </c>
      <c r="L12">
        <v>0.44025560757360049</v>
      </c>
    </row>
    <row r="13" spans="1:12" x14ac:dyDescent="0.3">
      <c r="A13" t="s">
        <v>68</v>
      </c>
      <c r="B13">
        <v>-1.1524999999999999</v>
      </c>
      <c r="C13">
        <v>0.53624465809305155</v>
      </c>
      <c r="D13" t="s">
        <v>85</v>
      </c>
      <c r="E13">
        <v>-0.43999999999999995</v>
      </c>
      <c r="F13">
        <v>0.34244220923634183</v>
      </c>
      <c r="G13" t="s">
        <v>111</v>
      </c>
      <c r="H13">
        <v>-5.0000000000000044E-3</v>
      </c>
      <c r="I13">
        <v>0.67727394752788173</v>
      </c>
      <c r="J13" t="s">
        <v>153</v>
      </c>
      <c r="K13">
        <v>-1.0249999999999999</v>
      </c>
      <c r="L13">
        <v>0.36646964403617382</v>
      </c>
    </row>
    <row r="14" spans="1:12" x14ac:dyDescent="0.3">
      <c r="A14" t="s">
        <v>69</v>
      </c>
      <c r="B14">
        <v>4.585</v>
      </c>
      <c r="C14">
        <v>1.4653441006580459</v>
      </c>
      <c r="D14" t="s">
        <v>87</v>
      </c>
      <c r="E14">
        <v>4.4775</v>
      </c>
      <c r="F14">
        <v>0.25329495323305073</v>
      </c>
      <c r="G14" t="s">
        <v>112</v>
      </c>
      <c r="H14">
        <v>2.835</v>
      </c>
      <c r="I14">
        <v>0.2904594062285929</v>
      </c>
      <c r="J14" t="s">
        <v>154</v>
      </c>
      <c r="K14">
        <v>2.2850000000000001</v>
      </c>
      <c r="L14">
        <v>0.85332682289182982</v>
      </c>
    </row>
    <row r="15" spans="1:12" x14ac:dyDescent="0.3">
      <c r="A15" t="s">
        <v>70</v>
      </c>
      <c r="B15">
        <v>3.9975000000000001</v>
      </c>
      <c r="C15">
        <v>2.0874765467744369</v>
      </c>
      <c r="D15" t="s">
        <v>88</v>
      </c>
      <c r="E15">
        <v>3.8724999999999996</v>
      </c>
      <c r="F15">
        <v>0.36700363304287137</v>
      </c>
      <c r="G15" t="s">
        <v>113</v>
      </c>
      <c r="H15">
        <v>3.0599999999999996</v>
      </c>
      <c r="I15">
        <v>1.8222696470793416</v>
      </c>
      <c r="J15" t="s">
        <v>155</v>
      </c>
      <c r="K15">
        <v>3.4424999999999999</v>
      </c>
      <c r="L15">
        <v>2.2750439556193194</v>
      </c>
    </row>
    <row r="16" spans="1:12" x14ac:dyDescent="0.3">
      <c r="A16" t="s">
        <v>71</v>
      </c>
      <c r="B16">
        <v>4.1074999999999999</v>
      </c>
      <c r="C16">
        <v>1.3571630950871985</v>
      </c>
      <c r="D16" t="s">
        <v>89</v>
      </c>
      <c r="E16">
        <v>3.1575000000000002</v>
      </c>
      <c r="F16">
        <v>0.6372532202089437</v>
      </c>
      <c r="G16" t="s">
        <v>114</v>
      </c>
      <c r="H16">
        <v>1.8399999999999999</v>
      </c>
      <c r="I16">
        <v>0.87399466054814512</v>
      </c>
      <c r="J16" t="s">
        <v>156</v>
      </c>
      <c r="K16">
        <v>3.6149999999999998</v>
      </c>
      <c r="L16">
        <v>0.52335456432518102</v>
      </c>
    </row>
    <row r="17" spans="1:12" x14ac:dyDescent="0.3">
      <c r="A17" t="s">
        <v>72</v>
      </c>
      <c r="B17">
        <v>6.01</v>
      </c>
      <c r="C17">
        <v>1.2108123994519788</v>
      </c>
      <c r="D17" t="s">
        <v>90</v>
      </c>
      <c r="E17">
        <v>3.1700000000000008</v>
      </c>
      <c r="F17">
        <v>0.93041209507758693</v>
      </c>
      <c r="G17" t="s">
        <v>115</v>
      </c>
      <c r="H17">
        <v>2.9174999999999995</v>
      </c>
      <c r="I17">
        <v>0.28500000000000009</v>
      </c>
      <c r="J17" t="s">
        <v>157</v>
      </c>
      <c r="K17">
        <v>5.4974999999999996</v>
      </c>
      <c r="L17">
        <v>2.1997329383359254</v>
      </c>
    </row>
    <row r="18" spans="1:12" x14ac:dyDescent="0.3">
      <c r="A18" t="s">
        <v>73</v>
      </c>
      <c r="B18">
        <v>2.7924999999999995</v>
      </c>
      <c r="C18">
        <v>2.1228655947405937</v>
      </c>
      <c r="D18" t="s">
        <v>91</v>
      </c>
      <c r="E18">
        <v>1.8025000000000002</v>
      </c>
      <c r="F18">
        <v>0.4798176737053359</v>
      </c>
      <c r="G18" t="s">
        <v>116</v>
      </c>
      <c r="H18">
        <v>1.875</v>
      </c>
      <c r="I18">
        <v>1.0760576192751019</v>
      </c>
      <c r="J18" t="s">
        <v>158</v>
      </c>
      <c r="K18">
        <v>2.3674999999999997</v>
      </c>
      <c r="L18">
        <v>1.7844023275782479</v>
      </c>
    </row>
    <row r="19" spans="1:12" x14ac:dyDescent="0.3">
      <c r="A19" t="s">
        <v>74</v>
      </c>
      <c r="B19">
        <v>2.9200000000000004</v>
      </c>
      <c r="C19">
        <v>0.94332744403343993</v>
      </c>
      <c r="D19" t="s">
        <v>92</v>
      </c>
      <c r="E19">
        <v>1.3525</v>
      </c>
      <c r="F19">
        <v>0.58448695451652366</v>
      </c>
      <c r="G19" t="s">
        <v>117</v>
      </c>
      <c r="H19">
        <v>0.71250000000000024</v>
      </c>
      <c r="I19">
        <v>0.71233770081331504</v>
      </c>
      <c r="J19" t="s">
        <v>159</v>
      </c>
      <c r="K19">
        <v>1.4349999999999998</v>
      </c>
      <c r="L19">
        <v>0.81798532994180262</v>
      </c>
    </row>
    <row r="20" spans="1:12" x14ac:dyDescent="0.3">
      <c r="A20" t="s">
        <v>75</v>
      </c>
      <c r="B20">
        <v>4.4324999999999992</v>
      </c>
      <c r="C20">
        <v>1.0603890795363802</v>
      </c>
      <c r="D20" t="s">
        <v>93</v>
      </c>
      <c r="E20">
        <v>1.4574999999999998</v>
      </c>
      <c r="F20">
        <v>0.72380361056481768</v>
      </c>
      <c r="G20" t="s">
        <v>118</v>
      </c>
      <c r="H20">
        <v>2.4950000000000001</v>
      </c>
      <c r="I20">
        <v>0.6557692683660421</v>
      </c>
      <c r="J20" t="s">
        <v>160</v>
      </c>
      <c r="K20">
        <v>2.2374999999999998</v>
      </c>
      <c r="L20">
        <v>1.0620538278888385</v>
      </c>
    </row>
    <row r="21" spans="1:12" x14ac:dyDescent="0.3">
      <c r="A21" t="s">
        <v>76</v>
      </c>
      <c r="B21">
        <v>4.2924999999999995</v>
      </c>
      <c r="C21">
        <v>1.4680684588942035</v>
      </c>
      <c r="D21" t="s">
        <v>94</v>
      </c>
      <c r="E21">
        <v>3.9249999999999998</v>
      </c>
      <c r="F21">
        <v>1.0109566426575043</v>
      </c>
      <c r="G21" t="s">
        <v>119</v>
      </c>
      <c r="H21">
        <v>2.0750000000000002</v>
      </c>
      <c r="I21">
        <v>0.75403359783677115</v>
      </c>
      <c r="J21" t="s">
        <v>161</v>
      </c>
      <c r="K21">
        <v>0.52499999999999991</v>
      </c>
      <c r="L21">
        <v>0.42813549257215283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4AB71-F35D-425F-AF38-D08BF1C1C409}">
  <dimension ref="A1:L17"/>
  <sheetViews>
    <sheetView workbookViewId="0">
      <selection activeCell="P12" sqref="P12"/>
    </sheetView>
  </sheetViews>
  <sheetFormatPr defaultRowHeight="14.4" x14ac:dyDescent="0.3"/>
  <sheetData>
    <row r="1" spans="1:12" x14ac:dyDescent="0.3">
      <c r="A1" t="s">
        <v>77</v>
      </c>
      <c r="B1" t="s">
        <v>138</v>
      </c>
      <c r="C1" t="s">
        <v>139</v>
      </c>
      <c r="D1" t="s">
        <v>78</v>
      </c>
      <c r="E1" t="s">
        <v>140</v>
      </c>
      <c r="F1" t="s">
        <v>141</v>
      </c>
      <c r="G1" t="s">
        <v>98</v>
      </c>
      <c r="H1" t="s">
        <v>142</v>
      </c>
      <c r="I1" t="s">
        <v>143</v>
      </c>
      <c r="J1" t="s">
        <v>145</v>
      </c>
      <c r="K1" t="s">
        <v>162</v>
      </c>
      <c r="L1" t="s">
        <v>144</v>
      </c>
    </row>
    <row r="2" spans="1:12" x14ac:dyDescent="0.3">
      <c r="A2" t="s">
        <v>61</v>
      </c>
      <c r="B2">
        <v>-57.773109243697476</v>
      </c>
      <c r="C2">
        <v>51.094348888007517</v>
      </c>
      <c r="D2" t="s">
        <v>79</v>
      </c>
      <c r="E2">
        <v>88.414634146341399</v>
      </c>
      <c r="F2">
        <v>53.227202055598006</v>
      </c>
      <c r="G2" t="s">
        <v>104</v>
      </c>
      <c r="H2">
        <v>-272.15189873417705</v>
      </c>
      <c r="I2">
        <v>482.17492271108227</v>
      </c>
      <c r="J2" t="s">
        <v>146</v>
      </c>
      <c r="K2">
        <v>-1338.0952380952435</v>
      </c>
      <c r="L2">
        <v>738.69407351106292</v>
      </c>
    </row>
    <row r="3" spans="1:12" x14ac:dyDescent="0.3">
      <c r="A3" t="s">
        <v>62</v>
      </c>
      <c r="B3">
        <v>-4.8319327731092869</v>
      </c>
      <c r="C3">
        <v>57.094950259219459</v>
      </c>
      <c r="D3" t="s">
        <v>80</v>
      </c>
      <c r="E3">
        <v>150.6097560975609</v>
      </c>
      <c r="F3">
        <v>78.539488912645297</v>
      </c>
      <c r="G3" t="s">
        <v>105</v>
      </c>
      <c r="H3">
        <v>58.227848101265785</v>
      </c>
      <c r="I3">
        <v>145.7767742696565</v>
      </c>
      <c r="J3" t="s">
        <v>147</v>
      </c>
      <c r="K3">
        <v>-1619.0476190476254</v>
      </c>
      <c r="L3">
        <v>857.68942009647901</v>
      </c>
    </row>
    <row r="4" spans="1:12" x14ac:dyDescent="0.3">
      <c r="A4" t="s">
        <v>63</v>
      </c>
      <c r="B4">
        <v>-51.050420168067248</v>
      </c>
      <c r="C4">
        <v>35.015406134454885</v>
      </c>
      <c r="D4" t="s">
        <v>81</v>
      </c>
      <c r="E4">
        <v>71.951219512195109</v>
      </c>
      <c r="F4">
        <v>47.021117856654435</v>
      </c>
      <c r="G4" t="s">
        <v>106</v>
      </c>
      <c r="H4">
        <v>-316.45569620253161</v>
      </c>
      <c r="I4">
        <v>180.36383081754329</v>
      </c>
      <c r="J4" t="s">
        <v>148</v>
      </c>
      <c r="K4">
        <v>-1128.5714285714332</v>
      </c>
      <c r="L4">
        <v>660.19534890443242</v>
      </c>
    </row>
    <row r="5" spans="1:12" x14ac:dyDescent="0.3">
      <c r="A5" t="s">
        <v>64</v>
      </c>
      <c r="B5">
        <v>15.546218487394913</v>
      </c>
      <c r="C5">
        <v>16.488585605334951</v>
      </c>
      <c r="D5" t="s">
        <v>82</v>
      </c>
      <c r="E5">
        <v>-5.3290705182007514E-14</v>
      </c>
      <c r="F5">
        <v>80.573986873543703</v>
      </c>
      <c r="G5" t="s">
        <v>107</v>
      </c>
      <c r="H5">
        <v>-103.79746835443035</v>
      </c>
      <c r="I5">
        <v>184.48616192172187</v>
      </c>
      <c r="J5" t="s">
        <v>149</v>
      </c>
      <c r="K5">
        <v>-1300.0000000000052</v>
      </c>
      <c r="L5">
        <v>147.54222271266389</v>
      </c>
    </row>
    <row r="6" spans="1:12" x14ac:dyDescent="0.3">
      <c r="A6" t="s">
        <v>65</v>
      </c>
      <c r="B6">
        <v>36.134453781512569</v>
      </c>
      <c r="C6">
        <v>13.671074892899092</v>
      </c>
      <c r="D6" t="s">
        <v>83</v>
      </c>
      <c r="E6">
        <v>73.780487804878007</v>
      </c>
      <c r="F6">
        <v>89.734333699301885</v>
      </c>
      <c r="G6" t="s">
        <v>108</v>
      </c>
      <c r="H6">
        <v>129.11392405063279</v>
      </c>
      <c r="I6">
        <v>192.7323443434118</v>
      </c>
      <c r="J6" t="s">
        <v>150</v>
      </c>
      <c r="K6">
        <v>-1652.3809523809589</v>
      </c>
      <c r="L6">
        <v>854.74090260266439</v>
      </c>
    </row>
    <row r="7" spans="1:12" x14ac:dyDescent="0.3">
      <c r="A7" t="s">
        <v>66</v>
      </c>
      <c r="B7">
        <v>-22.0588235294118</v>
      </c>
      <c r="C7">
        <v>12.898087529235601</v>
      </c>
      <c r="D7" t="s">
        <v>84</v>
      </c>
      <c r="E7">
        <v>-12.804878048780534</v>
      </c>
      <c r="F7">
        <v>32.196045810839223</v>
      </c>
      <c r="G7" t="s">
        <v>109</v>
      </c>
      <c r="H7">
        <v>-89.873417721518976</v>
      </c>
      <c r="I7">
        <v>209.45956865474264</v>
      </c>
      <c r="J7" t="s">
        <v>151</v>
      </c>
      <c r="K7">
        <v>-1033.3333333333378</v>
      </c>
      <c r="L7">
        <v>899.48334880896334</v>
      </c>
    </row>
    <row r="8" spans="1:12" x14ac:dyDescent="0.3">
      <c r="A8" t="s">
        <v>67</v>
      </c>
      <c r="B8">
        <v>-58.613445378151283</v>
      </c>
      <c r="C8">
        <v>25.886126902999191</v>
      </c>
      <c r="D8" t="s">
        <v>86</v>
      </c>
      <c r="E8">
        <v>-188.41463414634143</v>
      </c>
      <c r="F8">
        <v>113.64169944028281</v>
      </c>
      <c r="G8" t="s">
        <v>110</v>
      </c>
      <c r="H8">
        <v>-59.493670886075932</v>
      </c>
      <c r="I8">
        <v>112.53726972603975</v>
      </c>
      <c r="J8" t="s">
        <v>152</v>
      </c>
      <c r="K8">
        <v>-1428.5714285714344</v>
      </c>
      <c r="L8">
        <v>838.58210966400418</v>
      </c>
    </row>
    <row r="9" spans="1:12" x14ac:dyDescent="0.3">
      <c r="A9" t="s">
        <v>68</v>
      </c>
      <c r="B9">
        <v>-3.1512605042017121</v>
      </c>
      <c r="C9">
        <v>45.062576310340418</v>
      </c>
      <c r="D9" t="s">
        <v>85</v>
      </c>
      <c r="E9">
        <v>7.3170731707316534</v>
      </c>
      <c r="F9">
        <v>83.522490057644333</v>
      </c>
      <c r="G9" t="s">
        <v>111</v>
      </c>
      <c r="H9">
        <v>-97.468354430379733</v>
      </c>
      <c r="I9">
        <v>342.92351773563621</v>
      </c>
      <c r="J9" t="s">
        <v>153</v>
      </c>
      <c r="K9">
        <v>-2052.3809523809605</v>
      </c>
      <c r="L9">
        <v>698.03741721176345</v>
      </c>
    </row>
    <row r="10" spans="1:12" x14ac:dyDescent="0.3">
      <c r="A10" t="s">
        <v>69</v>
      </c>
      <c r="B10">
        <v>83.972073677956047</v>
      </c>
      <c r="C10">
        <v>26.050960300387271</v>
      </c>
      <c r="D10" t="s">
        <v>87</v>
      </c>
      <c r="E10">
        <v>103.29512893982807</v>
      </c>
      <c r="F10">
        <v>55.177497989952045</v>
      </c>
      <c r="G10" t="s">
        <v>112</v>
      </c>
      <c r="H10">
        <v>445.53941908713693</v>
      </c>
      <c r="I10">
        <v>65.773743013427833</v>
      </c>
      <c r="J10" t="s">
        <v>154</v>
      </c>
      <c r="K10">
        <v>106.70028818443805</v>
      </c>
      <c r="L10">
        <v>82.58931426949151</v>
      </c>
    </row>
    <row r="11" spans="1:12" x14ac:dyDescent="0.3">
      <c r="A11" t="s">
        <v>70</v>
      </c>
      <c r="B11">
        <v>97.994652406417117</v>
      </c>
      <c r="C11">
        <v>48.261648798075107</v>
      </c>
      <c r="D11" t="s">
        <v>88</v>
      </c>
      <c r="E11">
        <v>116.49355300859598</v>
      </c>
      <c r="F11">
        <v>12.142819872450556</v>
      </c>
      <c r="G11" t="s">
        <v>113</v>
      </c>
      <c r="H11">
        <v>493.77593360995849</v>
      </c>
      <c r="I11">
        <v>281.02122448525546</v>
      </c>
      <c r="J11" t="s">
        <v>155</v>
      </c>
      <c r="K11">
        <v>207.78097982708937</v>
      </c>
      <c r="L11">
        <v>120.79065454341847</v>
      </c>
    </row>
    <row r="12" spans="1:12" x14ac:dyDescent="0.3">
      <c r="A12" t="s">
        <v>71</v>
      </c>
      <c r="B12">
        <v>104.35234699940584</v>
      </c>
      <c r="C12">
        <v>41.59489495355934</v>
      </c>
      <c r="D12" t="s">
        <v>89</v>
      </c>
      <c r="E12">
        <v>97.833094555873927</v>
      </c>
      <c r="F12">
        <v>26.732053709301908</v>
      </c>
      <c r="G12" t="s">
        <v>114</v>
      </c>
      <c r="H12">
        <v>318.36099585062243</v>
      </c>
      <c r="I12">
        <v>164.12781640572348</v>
      </c>
      <c r="J12" t="s">
        <v>156</v>
      </c>
      <c r="K12">
        <v>219.84870317002881</v>
      </c>
      <c r="L12">
        <v>12.554159482107611</v>
      </c>
    </row>
    <row r="13" spans="1:12" x14ac:dyDescent="0.3">
      <c r="A13" t="s">
        <v>72</v>
      </c>
      <c r="B13">
        <v>146.30124777183602</v>
      </c>
      <c r="C13">
        <v>22.234524689863647</v>
      </c>
      <c r="D13" t="s">
        <v>90</v>
      </c>
      <c r="E13">
        <v>95.881088825214903</v>
      </c>
      <c r="F13">
        <v>18.802826648849202</v>
      </c>
      <c r="G13" t="s">
        <v>115</v>
      </c>
      <c r="H13">
        <v>466.49377593360992</v>
      </c>
      <c r="I13">
        <v>25.498423299176011</v>
      </c>
      <c r="J13" t="s">
        <v>157</v>
      </c>
      <c r="K13">
        <v>324.63976945244957</v>
      </c>
      <c r="L13">
        <v>118.11800905584863</v>
      </c>
    </row>
    <row r="14" spans="1:12" x14ac:dyDescent="0.3">
      <c r="A14" t="s">
        <v>73</v>
      </c>
      <c r="B14">
        <v>74.539512774806894</v>
      </c>
      <c r="C14">
        <v>54.276733316949446</v>
      </c>
      <c r="D14" t="s">
        <v>91</v>
      </c>
      <c r="E14">
        <v>54.584527220630378</v>
      </c>
      <c r="F14">
        <v>15.448883171012682</v>
      </c>
      <c r="G14" t="s">
        <v>116</v>
      </c>
      <c r="H14">
        <v>310.89211618257264</v>
      </c>
      <c r="I14">
        <v>178.08046298605066</v>
      </c>
      <c r="J14" t="s">
        <v>158</v>
      </c>
      <c r="K14">
        <v>145.53314121037465</v>
      </c>
      <c r="L14">
        <v>110.36473220093643</v>
      </c>
    </row>
    <row r="15" spans="1:12" x14ac:dyDescent="0.3">
      <c r="A15" t="s">
        <v>74</v>
      </c>
      <c r="B15">
        <v>79.025549613784904</v>
      </c>
      <c r="C15">
        <v>11.882749032810027</v>
      </c>
      <c r="D15" t="s">
        <v>92</v>
      </c>
      <c r="E15">
        <v>43.857449856733524</v>
      </c>
      <c r="F15">
        <v>19.786372371024221</v>
      </c>
      <c r="G15" t="s">
        <v>117</v>
      </c>
      <c r="H15">
        <v>137.03319502074692</v>
      </c>
      <c r="I15">
        <v>146.68793179391443</v>
      </c>
      <c r="J15" t="s">
        <v>159</v>
      </c>
      <c r="K15">
        <v>94.452449567723335</v>
      </c>
      <c r="L15">
        <v>57.190575058278363</v>
      </c>
    </row>
    <row r="16" spans="1:12" x14ac:dyDescent="0.3">
      <c r="A16" t="s">
        <v>75</v>
      </c>
      <c r="B16">
        <v>110.85858585858588</v>
      </c>
      <c r="C16">
        <v>25.030697659533995</v>
      </c>
      <c r="D16" t="s">
        <v>93</v>
      </c>
      <c r="E16">
        <v>44.32306590257879</v>
      </c>
      <c r="F16">
        <v>22.532600939050543</v>
      </c>
      <c r="G16" t="s">
        <v>118</v>
      </c>
      <c r="H16">
        <v>414.93775933609959</v>
      </c>
      <c r="I16">
        <v>110.17046821760079</v>
      </c>
      <c r="J16" t="s">
        <v>160</v>
      </c>
      <c r="K16">
        <v>136.02305475504323</v>
      </c>
      <c r="L16">
        <v>50.275314957028478</v>
      </c>
    </row>
    <row r="17" spans="1:12" x14ac:dyDescent="0.3">
      <c r="A17" t="s">
        <v>76</v>
      </c>
      <c r="B17">
        <v>104.94652406417114</v>
      </c>
      <c r="C17">
        <v>32.417840896392399</v>
      </c>
      <c r="D17" t="s">
        <v>94</v>
      </c>
      <c r="E17">
        <v>109.86747851002863</v>
      </c>
      <c r="F17">
        <v>27.781777924436614</v>
      </c>
      <c r="G17" t="s">
        <v>119</v>
      </c>
      <c r="H17">
        <v>347.71784232365144</v>
      </c>
      <c r="I17">
        <v>122.51091509876593</v>
      </c>
      <c r="J17" t="s">
        <v>161</v>
      </c>
      <c r="K17">
        <v>40.30979827089336</v>
      </c>
      <c r="L17">
        <v>38.524193974884312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17694-7810-4251-A5A2-975144AD660D}">
  <dimension ref="A1:R81"/>
  <sheetViews>
    <sheetView workbookViewId="0">
      <selection activeCell="F13" sqref="F13"/>
    </sheetView>
  </sheetViews>
  <sheetFormatPr defaultRowHeight="14.4" x14ac:dyDescent="0.3"/>
  <cols>
    <col min="6" max="6" width="24.33203125" bestFit="1" customWidth="1"/>
  </cols>
  <sheetData>
    <row r="1" spans="1:18" ht="15" thickBot="1" x14ac:dyDescent="0.35">
      <c r="A1" s="1" t="s">
        <v>0</v>
      </c>
      <c r="B1" s="2" t="s">
        <v>180</v>
      </c>
      <c r="C1" s="2" t="s">
        <v>1</v>
      </c>
      <c r="D1" s="2" t="s">
        <v>2</v>
      </c>
      <c r="E1" s="2" t="s">
        <v>3</v>
      </c>
      <c r="F1" s="2" t="s">
        <v>50</v>
      </c>
      <c r="G1" s="2" t="s">
        <v>4</v>
      </c>
      <c r="H1" s="2" t="s">
        <v>5</v>
      </c>
      <c r="I1" s="2" t="s">
        <v>6</v>
      </c>
      <c r="J1" s="3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8</v>
      </c>
      <c r="Q1" s="2" t="s">
        <v>13</v>
      </c>
      <c r="R1" s="4" t="s">
        <v>10</v>
      </c>
    </row>
    <row r="2" spans="1:18" x14ac:dyDescent="0.3">
      <c r="A2" s="5">
        <v>45841</v>
      </c>
      <c r="B2" s="153" t="s">
        <v>41</v>
      </c>
      <c r="C2" s="2" t="s">
        <v>14</v>
      </c>
      <c r="D2" s="2"/>
      <c r="E2" s="2" t="s">
        <v>15</v>
      </c>
      <c r="F2" s="2" t="str">
        <f>C2&amp;D2</f>
        <v>control</v>
      </c>
      <c r="G2" s="2">
        <v>0.56000000000000005</v>
      </c>
      <c r="H2" s="2">
        <v>0.57399999999999995</v>
      </c>
      <c r="I2" s="2">
        <v>0.55500000000000005</v>
      </c>
      <c r="J2">
        <f>AVERAGE(G2:I2)</f>
        <v>0.56300000000000006</v>
      </c>
      <c r="K2" s="2">
        <v>0.192</v>
      </c>
      <c r="L2" s="2">
        <v>44.679000000000002</v>
      </c>
      <c r="M2" s="2">
        <v>232.29300000000001</v>
      </c>
      <c r="N2" s="2">
        <v>0.17699999999999999</v>
      </c>
      <c r="O2" s="2">
        <v>41.058999999999997</v>
      </c>
      <c r="P2" s="4">
        <v>231.80500000000001</v>
      </c>
      <c r="Q2" s="2">
        <v>33.765000000000001</v>
      </c>
      <c r="R2" s="4">
        <v>190.048</v>
      </c>
    </row>
    <row r="3" spans="1:18" x14ac:dyDescent="0.3">
      <c r="A3" s="6">
        <v>45841</v>
      </c>
      <c r="B3" s="154" t="s">
        <v>41</v>
      </c>
      <c r="C3" t="s">
        <v>16</v>
      </c>
      <c r="E3" t="s">
        <v>15</v>
      </c>
      <c r="F3" t="str">
        <f t="shared" ref="F3:F13" si="0">C3&amp;D3</f>
        <v>solvent control</v>
      </c>
      <c r="G3">
        <v>0.56299999999999994</v>
      </c>
      <c r="H3">
        <v>0.56200000000000006</v>
      </c>
      <c r="I3">
        <v>0.57099999999999995</v>
      </c>
      <c r="J3">
        <f>AVERAGE(G3:I3)</f>
        <v>0.56533333333333335</v>
      </c>
      <c r="K3">
        <v>0.23799999999999999</v>
      </c>
      <c r="L3">
        <v>41.334000000000003</v>
      </c>
      <c r="M3">
        <v>173.62899999999999</v>
      </c>
      <c r="N3">
        <v>0.2</v>
      </c>
      <c r="O3">
        <v>39.055999999999997</v>
      </c>
      <c r="P3" s="7">
        <v>195.19900000000001</v>
      </c>
      <c r="Q3">
        <v>42.588999999999999</v>
      </c>
      <c r="R3" s="7">
        <v>279.09500000000003</v>
      </c>
    </row>
    <row r="4" spans="1:18" x14ac:dyDescent="0.3">
      <c r="A4" s="6">
        <v>45841</v>
      </c>
      <c r="B4" s="154" t="s">
        <v>41</v>
      </c>
      <c r="C4" t="s">
        <v>17</v>
      </c>
      <c r="F4" t="str">
        <f t="shared" si="0"/>
        <v>nutrient control</v>
      </c>
      <c r="G4">
        <v>0.64700000000000002</v>
      </c>
      <c r="H4">
        <v>0.63900000000000001</v>
      </c>
      <c r="I4">
        <v>0.65200000000000002</v>
      </c>
      <c r="J4">
        <f t="shared" ref="J4:J21" si="1">AVERAGE(G4:I4)</f>
        <v>0.64600000000000002</v>
      </c>
      <c r="K4">
        <v>0.26900000000000002</v>
      </c>
      <c r="L4">
        <v>68.828999999999994</v>
      </c>
      <c r="M4">
        <v>255.755</v>
      </c>
      <c r="N4">
        <v>0.21299999999999999</v>
      </c>
      <c r="O4">
        <v>67.757999999999996</v>
      </c>
      <c r="P4" s="7">
        <v>318.61700000000002</v>
      </c>
      <c r="Q4">
        <v>60.411000000000001</v>
      </c>
      <c r="R4" s="7">
        <v>314.58800000000002</v>
      </c>
    </row>
    <row r="5" spans="1:18" ht="15" thickBot="1" x14ac:dyDescent="0.35">
      <c r="A5" s="8">
        <v>45841</v>
      </c>
      <c r="B5" s="155" t="s">
        <v>41</v>
      </c>
      <c r="C5" s="9" t="s">
        <v>18</v>
      </c>
      <c r="D5" s="9"/>
      <c r="E5" s="9" t="s">
        <v>19</v>
      </c>
      <c r="F5" s="9" t="str">
        <f t="shared" si="0"/>
        <v>nutrient control (with solvent)</v>
      </c>
      <c r="G5" s="9">
        <v>0.65900000000000003</v>
      </c>
      <c r="H5" s="9">
        <v>0.66500000000000004</v>
      </c>
      <c r="I5" s="9">
        <v>0.66900000000000004</v>
      </c>
      <c r="J5" s="9">
        <f t="shared" si="1"/>
        <v>0.66433333333333333</v>
      </c>
      <c r="K5" s="9">
        <v>0.23300000000000001</v>
      </c>
      <c r="L5" s="9">
        <v>63.377000000000002</v>
      </c>
      <c r="M5" s="9">
        <v>272.09100000000001</v>
      </c>
      <c r="N5" s="9">
        <v>0.21099999999999999</v>
      </c>
      <c r="O5" s="9">
        <v>60.234000000000002</v>
      </c>
      <c r="P5" s="10">
        <v>286.11</v>
      </c>
      <c r="Q5" s="9">
        <v>44.253</v>
      </c>
      <c r="R5" s="10">
        <v>245.434</v>
      </c>
    </row>
    <row r="6" spans="1:18" x14ac:dyDescent="0.3">
      <c r="A6" s="11">
        <v>45841</v>
      </c>
      <c r="B6" s="156" t="s">
        <v>41</v>
      </c>
      <c r="C6" s="12" t="s">
        <v>41</v>
      </c>
      <c r="D6" s="12" t="s">
        <v>21</v>
      </c>
      <c r="E6" s="12" t="s">
        <v>15</v>
      </c>
      <c r="F6" s="12" t="str">
        <f t="shared" si="0"/>
        <v>Carblow</v>
      </c>
      <c r="G6" s="12">
        <v>0.60299999999999998</v>
      </c>
      <c r="H6" s="12">
        <v>0.59299999999999997</v>
      </c>
      <c r="I6" s="12">
        <v>0.61199999999999999</v>
      </c>
      <c r="J6" s="12">
        <f t="shared" si="1"/>
        <v>0.60266666666666657</v>
      </c>
      <c r="K6" s="12">
        <v>0.23499999999999999</v>
      </c>
      <c r="L6" s="12">
        <v>49.55</v>
      </c>
      <c r="M6" s="12">
        <v>210.85400000000001</v>
      </c>
      <c r="N6" s="12">
        <v>0.18</v>
      </c>
      <c r="O6" s="12">
        <v>48.612000000000002</v>
      </c>
      <c r="P6" s="13">
        <v>269.90800000000002</v>
      </c>
      <c r="Q6" s="12">
        <v>26.443000000000001</v>
      </c>
      <c r="R6" s="13">
        <v>181.32</v>
      </c>
    </row>
    <row r="7" spans="1:18" x14ac:dyDescent="0.3">
      <c r="A7" s="14">
        <v>45841</v>
      </c>
      <c r="B7" s="157" t="s">
        <v>41</v>
      </c>
      <c r="C7" s="15" t="s">
        <v>41</v>
      </c>
      <c r="D7" s="15" t="s">
        <v>22</v>
      </c>
      <c r="E7" s="15" t="s">
        <v>15</v>
      </c>
      <c r="F7" s="15" t="str">
        <f t="shared" si="0"/>
        <v>Carbhigh</v>
      </c>
      <c r="G7" s="15">
        <v>0.61499999999999999</v>
      </c>
      <c r="H7" s="15">
        <v>0.61299999999999999</v>
      </c>
      <c r="I7" s="15">
        <v>0.60299999999999998</v>
      </c>
      <c r="J7" s="15">
        <f t="shared" si="1"/>
        <v>0.61033333333333328</v>
      </c>
      <c r="K7" s="15">
        <v>0.222</v>
      </c>
      <c r="L7" s="15">
        <v>52.584000000000003</v>
      </c>
      <c r="M7" s="15">
        <v>237.4</v>
      </c>
      <c r="N7" s="15">
        <v>0.191</v>
      </c>
      <c r="O7" s="15">
        <v>50.451999999999998</v>
      </c>
      <c r="P7" s="16">
        <v>263.47399999999999</v>
      </c>
      <c r="Q7" s="15">
        <v>29.931000000000001</v>
      </c>
      <c r="R7" s="16">
        <v>208.75899999999999</v>
      </c>
    </row>
    <row r="8" spans="1:18" x14ac:dyDescent="0.3">
      <c r="A8" s="17">
        <v>45841</v>
      </c>
      <c r="B8" s="158" t="s">
        <v>41</v>
      </c>
      <c r="C8" s="18" t="s">
        <v>42</v>
      </c>
      <c r="D8" s="18" t="s">
        <v>21</v>
      </c>
      <c r="E8" s="18" t="s">
        <v>15</v>
      </c>
      <c r="F8" s="18" t="str">
        <f t="shared" si="0"/>
        <v>Carb+Diclow</v>
      </c>
      <c r="G8" s="18">
        <v>0.57199999999999995</v>
      </c>
      <c r="H8" s="18">
        <v>0.57799999999999996</v>
      </c>
      <c r="I8" s="18">
        <v>0.56899999999999995</v>
      </c>
      <c r="J8" s="18">
        <f t="shared" si="1"/>
        <v>0.57299999999999995</v>
      </c>
      <c r="K8" s="18">
        <v>0.182</v>
      </c>
      <c r="L8" s="18">
        <v>49.77</v>
      </c>
      <c r="M8" s="18">
        <v>273.63499999999999</v>
      </c>
      <c r="N8" s="18">
        <v>0.159</v>
      </c>
      <c r="O8" s="18">
        <v>47.316000000000003</v>
      </c>
      <c r="P8" s="19">
        <v>298.09399999999999</v>
      </c>
      <c r="Q8" s="18">
        <v>25.542000000000002</v>
      </c>
      <c r="R8" s="19">
        <v>174.994</v>
      </c>
    </row>
    <row r="9" spans="1:18" x14ac:dyDescent="0.3">
      <c r="A9" s="20">
        <v>45841</v>
      </c>
      <c r="B9" s="159" t="s">
        <v>41</v>
      </c>
      <c r="C9" s="21" t="s">
        <v>42</v>
      </c>
      <c r="D9" s="21" t="s">
        <v>22</v>
      </c>
      <c r="E9" s="21" t="s">
        <v>15</v>
      </c>
      <c r="F9" s="21" t="str">
        <f t="shared" si="0"/>
        <v>Carb+Dichigh</v>
      </c>
      <c r="G9" s="21">
        <v>0.56499999999999995</v>
      </c>
      <c r="H9" s="21">
        <v>0.55400000000000005</v>
      </c>
      <c r="I9" s="21">
        <v>0.55000000000000004</v>
      </c>
      <c r="J9" s="21">
        <f t="shared" si="1"/>
        <v>0.55633333333333335</v>
      </c>
      <c r="K9" s="21">
        <v>0.19500000000000001</v>
      </c>
      <c r="L9" s="21">
        <v>43.859000000000002</v>
      </c>
      <c r="M9" s="21">
        <v>224.636</v>
      </c>
      <c r="N9" s="21">
        <v>0.18099999999999999</v>
      </c>
      <c r="O9" s="21">
        <v>40.451000000000001</v>
      </c>
      <c r="P9" s="22">
        <v>223.78100000000001</v>
      </c>
      <c r="Q9" s="21">
        <v>28.54</v>
      </c>
      <c r="R9" s="22">
        <v>185.119</v>
      </c>
    </row>
    <row r="10" spans="1:18" x14ac:dyDescent="0.3">
      <c r="A10" s="23">
        <v>45841</v>
      </c>
      <c r="B10" s="160" t="s">
        <v>41</v>
      </c>
      <c r="C10" s="24" t="s">
        <v>44</v>
      </c>
      <c r="D10" s="24" t="s">
        <v>21</v>
      </c>
      <c r="E10" s="24" t="s">
        <v>15</v>
      </c>
      <c r="F10" s="24" t="str">
        <f t="shared" si="0"/>
        <v>Carb+PFOSlow</v>
      </c>
      <c r="G10" s="24">
        <v>0.55600000000000005</v>
      </c>
      <c r="H10" s="24">
        <v>0.53500000000000003</v>
      </c>
      <c r="I10" s="24">
        <v>0.55000000000000004</v>
      </c>
      <c r="J10" s="24">
        <f t="shared" si="1"/>
        <v>0.54700000000000004</v>
      </c>
      <c r="K10" s="24">
        <v>0.215</v>
      </c>
      <c r="L10" s="24">
        <v>53.868000000000002</v>
      </c>
      <c r="M10" s="24">
        <v>251.1</v>
      </c>
      <c r="N10" s="24">
        <v>0.19</v>
      </c>
      <c r="O10" s="24">
        <v>50.2</v>
      </c>
      <c r="P10" s="25">
        <v>263.87099999999998</v>
      </c>
      <c r="Q10" s="24">
        <v>29.074999999999999</v>
      </c>
      <c r="R10" s="25">
        <v>205.5</v>
      </c>
    </row>
    <row r="11" spans="1:18" x14ac:dyDescent="0.3">
      <c r="A11" s="26">
        <v>45841</v>
      </c>
      <c r="B11" s="161" t="s">
        <v>41</v>
      </c>
      <c r="C11" s="27" t="s">
        <v>44</v>
      </c>
      <c r="D11" s="27" t="s">
        <v>22</v>
      </c>
      <c r="E11" s="27" t="s">
        <v>15</v>
      </c>
      <c r="F11" s="27" t="str">
        <f t="shared" si="0"/>
        <v>Carb+PFOShigh</v>
      </c>
      <c r="G11" s="27">
        <v>0.53800000000000003</v>
      </c>
      <c r="H11" s="27">
        <v>0.53800000000000003</v>
      </c>
      <c r="I11" s="27">
        <v>0.57099999999999995</v>
      </c>
      <c r="J11" s="27">
        <f t="shared" si="1"/>
        <v>0.54900000000000004</v>
      </c>
      <c r="K11" s="27">
        <v>0.21</v>
      </c>
      <c r="L11" s="27">
        <v>52.646000000000001</v>
      </c>
      <c r="M11" s="27">
        <v>250.23400000000001</v>
      </c>
      <c r="N11" s="27">
        <v>0.192</v>
      </c>
      <c r="O11" s="27">
        <v>48.734999999999999</v>
      </c>
      <c r="P11" s="28">
        <v>253.727</v>
      </c>
      <c r="Q11" s="27">
        <v>29.696000000000002</v>
      </c>
      <c r="R11" s="28">
        <v>194.791</v>
      </c>
    </row>
    <row r="12" spans="1:18" x14ac:dyDescent="0.3">
      <c r="A12" s="29">
        <v>45841</v>
      </c>
      <c r="B12" s="162" t="s">
        <v>41</v>
      </c>
      <c r="C12" s="30" t="s">
        <v>46</v>
      </c>
      <c r="D12" s="30" t="s">
        <v>21</v>
      </c>
      <c r="E12" s="30" t="s">
        <v>15</v>
      </c>
      <c r="F12" s="30" t="str">
        <f t="shared" si="0"/>
        <v>Carb+6ppdqlow</v>
      </c>
      <c r="G12" s="30">
        <v>0.60199999999999998</v>
      </c>
      <c r="H12" s="30">
        <v>0.58099999999999996</v>
      </c>
      <c r="I12" s="30">
        <v>0.59</v>
      </c>
      <c r="J12" s="30">
        <f t="shared" si="1"/>
        <v>0.59099999999999986</v>
      </c>
      <c r="K12" s="30">
        <v>0.20799999999999999</v>
      </c>
      <c r="L12" s="30">
        <v>49.38</v>
      </c>
      <c r="M12" s="30">
        <v>237.679</v>
      </c>
      <c r="N12" s="30">
        <v>0.185</v>
      </c>
      <c r="O12" s="30">
        <v>46.691000000000003</v>
      </c>
      <c r="P12" s="31">
        <v>252.81299999999999</v>
      </c>
      <c r="Q12" s="30">
        <v>30.61</v>
      </c>
      <c r="R12" s="31">
        <v>188.17699999999999</v>
      </c>
    </row>
    <row r="13" spans="1:18" ht="15" thickBot="1" x14ac:dyDescent="0.35">
      <c r="A13" s="32">
        <v>45841</v>
      </c>
      <c r="B13" s="163" t="s">
        <v>41</v>
      </c>
      <c r="C13" s="33" t="s">
        <v>46</v>
      </c>
      <c r="D13" s="33" t="s">
        <v>22</v>
      </c>
      <c r="E13" s="33" t="s">
        <v>15</v>
      </c>
      <c r="F13" s="33" t="str">
        <f t="shared" si="0"/>
        <v>Carb+6ppdqhigh</v>
      </c>
      <c r="G13" s="33">
        <v>0.58199999999999996</v>
      </c>
      <c r="H13" s="33">
        <v>0.57799999999999996</v>
      </c>
      <c r="I13" s="33">
        <v>0.57899999999999996</v>
      </c>
      <c r="J13" s="33">
        <f t="shared" si="1"/>
        <v>0.57966666666666666</v>
      </c>
      <c r="K13" s="33">
        <v>0.214</v>
      </c>
      <c r="L13" s="33">
        <v>42.530999999999999</v>
      </c>
      <c r="M13" s="33">
        <v>198.922</v>
      </c>
      <c r="N13" s="33">
        <v>0.189</v>
      </c>
      <c r="O13" s="33">
        <v>39.515000000000001</v>
      </c>
      <c r="P13" s="34">
        <v>208.66300000000001</v>
      </c>
      <c r="Q13" s="33">
        <v>29.478000000000002</v>
      </c>
      <c r="R13" s="34">
        <v>229.64400000000001</v>
      </c>
    </row>
    <row r="14" spans="1:18" x14ac:dyDescent="0.3">
      <c r="A14" s="35">
        <v>45841</v>
      </c>
      <c r="B14" s="164" t="s">
        <v>41</v>
      </c>
      <c r="C14" s="36" t="s">
        <v>41</v>
      </c>
      <c r="D14" s="36" t="s">
        <v>21</v>
      </c>
      <c r="E14" s="36" t="s">
        <v>19</v>
      </c>
      <c r="F14" s="36" t="str">
        <f>C14&amp;D14&amp;E14</f>
        <v>Carblownutrients</v>
      </c>
      <c r="G14" s="36">
        <v>0.66</v>
      </c>
      <c r="H14" s="36">
        <v>0.68100000000000005</v>
      </c>
      <c r="I14" s="36">
        <v>0.66300000000000003</v>
      </c>
      <c r="J14" s="36">
        <f t="shared" si="1"/>
        <v>0.66800000000000015</v>
      </c>
      <c r="K14" s="36">
        <v>0.27400000000000002</v>
      </c>
      <c r="L14" s="36">
        <v>64.861999999999995</v>
      </c>
      <c r="M14" s="36">
        <v>237.148</v>
      </c>
      <c r="N14" s="36">
        <v>0.23300000000000001</v>
      </c>
      <c r="O14" s="36">
        <v>62.610999999999997</v>
      </c>
      <c r="P14" s="37">
        <v>268.38099999999997</v>
      </c>
      <c r="Q14" s="36">
        <v>40.036000000000001</v>
      </c>
      <c r="R14" s="37">
        <v>202.29900000000001</v>
      </c>
    </row>
    <row r="15" spans="1:18" x14ac:dyDescent="0.3">
      <c r="A15" s="38">
        <v>45841</v>
      </c>
      <c r="B15" s="165" t="s">
        <v>41</v>
      </c>
      <c r="C15" s="39" t="s">
        <v>41</v>
      </c>
      <c r="D15" s="39" t="s">
        <v>22</v>
      </c>
      <c r="E15" s="39" t="s">
        <v>19</v>
      </c>
      <c r="F15" s="39" t="str">
        <f t="shared" ref="F15:F21" si="2">C15&amp;D15&amp;E15</f>
        <v>Carbhighnutrients</v>
      </c>
      <c r="G15" s="39">
        <v>0.66900000000000004</v>
      </c>
      <c r="H15" s="39">
        <v>0.66900000000000004</v>
      </c>
      <c r="I15" s="39">
        <v>0.66100000000000003</v>
      </c>
      <c r="J15" s="39">
        <f t="shared" si="1"/>
        <v>0.66633333333333333</v>
      </c>
      <c r="K15" s="39">
        <v>0.23899999999999999</v>
      </c>
      <c r="L15" s="39">
        <v>67.204999999999998</v>
      </c>
      <c r="M15" s="39">
        <v>281.18099999999998</v>
      </c>
      <c r="N15" s="39">
        <v>0.20200000000000001</v>
      </c>
      <c r="O15" s="39">
        <v>66.207999999999998</v>
      </c>
      <c r="P15" s="40">
        <v>328.56299999999999</v>
      </c>
      <c r="Q15" s="39">
        <v>48.926000000000002</v>
      </c>
      <c r="R15" s="40">
        <v>282.18200000000002</v>
      </c>
    </row>
    <row r="16" spans="1:18" x14ac:dyDescent="0.3">
      <c r="A16" s="41">
        <v>45841</v>
      </c>
      <c r="B16" s="166" t="s">
        <v>41</v>
      </c>
      <c r="C16" s="42" t="s">
        <v>42</v>
      </c>
      <c r="D16" s="42" t="s">
        <v>21</v>
      </c>
      <c r="E16" s="42" t="s">
        <v>19</v>
      </c>
      <c r="F16" s="42" t="str">
        <f t="shared" si="2"/>
        <v>Carb+Diclownutrients</v>
      </c>
      <c r="G16" s="42">
        <v>0.626</v>
      </c>
      <c r="H16" s="42">
        <v>0.64700000000000002</v>
      </c>
      <c r="I16" s="42">
        <v>0.65100000000000002</v>
      </c>
      <c r="J16" s="42">
        <f t="shared" si="1"/>
        <v>0.64133333333333342</v>
      </c>
      <c r="K16" s="42">
        <v>0.24199999999999999</v>
      </c>
      <c r="L16" s="42">
        <v>95.07</v>
      </c>
      <c r="M16" s="42">
        <v>392.98399999999998</v>
      </c>
      <c r="N16" s="42">
        <v>0.20499999999999999</v>
      </c>
      <c r="O16" s="42">
        <v>95.275000000000006</v>
      </c>
      <c r="P16" s="43">
        <v>465.11200000000002</v>
      </c>
      <c r="Q16" s="42">
        <v>47.802</v>
      </c>
      <c r="R16" s="43">
        <v>267.64499999999998</v>
      </c>
    </row>
    <row r="17" spans="1:18" x14ac:dyDescent="0.3">
      <c r="A17" s="44">
        <v>45841</v>
      </c>
      <c r="B17" s="167" t="s">
        <v>41</v>
      </c>
      <c r="C17" s="45" t="s">
        <v>42</v>
      </c>
      <c r="D17" s="45" t="s">
        <v>22</v>
      </c>
      <c r="E17" s="45" t="s">
        <v>19</v>
      </c>
      <c r="F17" s="45" t="str">
        <f t="shared" si="2"/>
        <v>Carb+Dichighnutrients</v>
      </c>
      <c r="G17" s="45">
        <v>0.66100000000000003</v>
      </c>
      <c r="H17" s="45">
        <v>0.63600000000000001</v>
      </c>
      <c r="I17" s="45">
        <v>0.65300000000000002</v>
      </c>
      <c r="J17" s="45">
        <f t="shared" si="1"/>
        <v>0.65</v>
      </c>
      <c r="K17" s="45">
        <v>0.25</v>
      </c>
      <c r="L17" s="45">
        <v>62.463000000000001</v>
      </c>
      <c r="M17" s="45">
        <v>250.34299999999999</v>
      </c>
      <c r="N17" s="45">
        <v>0.22700000000000001</v>
      </c>
      <c r="O17" s="45">
        <v>57.874000000000002</v>
      </c>
      <c r="P17" s="46">
        <v>255.11</v>
      </c>
      <c r="Q17" s="45">
        <v>54.08</v>
      </c>
      <c r="R17" s="46">
        <v>287.983</v>
      </c>
    </row>
    <row r="18" spans="1:18" x14ac:dyDescent="0.3">
      <c r="A18" s="47">
        <v>45841</v>
      </c>
      <c r="B18" s="168" t="s">
        <v>41</v>
      </c>
      <c r="C18" s="48" t="s">
        <v>44</v>
      </c>
      <c r="D18" s="48" t="s">
        <v>21</v>
      </c>
      <c r="E18" s="48" t="s">
        <v>19</v>
      </c>
      <c r="F18" s="48" t="str">
        <f t="shared" si="2"/>
        <v>Carb+PFOSlownutrients</v>
      </c>
      <c r="G18" s="48">
        <v>0.65600000000000003</v>
      </c>
      <c r="H18" s="48">
        <v>0.66400000000000003</v>
      </c>
      <c r="I18" s="48">
        <v>0.66700000000000004</v>
      </c>
      <c r="J18" s="48">
        <f t="shared" si="1"/>
        <v>0.66233333333333333</v>
      </c>
      <c r="K18" s="48">
        <v>0.27300000000000002</v>
      </c>
      <c r="L18" s="48">
        <v>65.388999999999996</v>
      </c>
      <c r="M18" s="48">
        <v>239.393</v>
      </c>
      <c r="N18" s="48">
        <v>0.245</v>
      </c>
      <c r="O18" s="48">
        <v>61.314999999999998</v>
      </c>
      <c r="P18" s="49">
        <v>249.828</v>
      </c>
      <c r="Q18" s="48">
        <v>48.41</v>
      </c>
      <c r="R18" s="49">
        <v>271.86799999999999</v>
      </c>
    </row>
    <row r="19" spans="1:18" x14ac:dyDescent="0.3">
      <c r="A19" s="50">
        <v>45841</v>
      </c>
      <c r="B19" s="169" t="s">
        <v>41</v>
      </c>
      <c r="C19" s="51" t="s">
        <v>44</v>
      </c>
      <c r="D19" s="51" t="s">
        <v>22</v>
      </c>
      <c r="E19" s="51" t="s">
        <v>19</v>
      </c>
      <c r="F19" s="51" t="str">
        <f t="shared" si="2"/>
        <v>Carb+PFOShighnutrients</v>
      </c>
      <c r="G19" s="51">
        <v>0.66200000000000003</v>
      </c>
      <c r="H19" s="51">
        <v>0.66400000000000003</v>
      </c>
      <c r="I19" s="51">
        <v>0.65400000000000003</v>
      </c>
      <c r="J19" s="51">
        <f t="shared" si="1"/>
        <v>0.66</v>
      </c>
      <c r="K19" s="51">
        <v>0.28499999999999998</v>
      </c>
      <c r="L19" s="51">
        <v>53.06</v>
      </c>
      <c r="M19" s="51">
        <v>186.43899999999999</v>
      </c>
      <c r="N19" s="51">
        <v>0.24099999999999999</v>
      </c>
      <c r="O19" s="51">
        <v>50.326000000000001</v>
      </c>
      <c r="P19" s="52">
        <v>208.85</v>
      </c>
      <c r="Q19" s="51">
        <v>49.25</v>
      </c>
      <c r="R19" s="52">
        <v>262.255</v>
      </c>
    </row>
    <row r="20" spans="1:18" x14ac:dyDescent="0.3">
      <c r="A20" s="53">
        <v>45841</v>
      </c>
      <c r="B20" s="170" t="s">
        <v>41</v>
      </c>
      <c r="C20" s="54" t="s">
        <v>46</v>
      </c>
      <c r="D20" s="54" t="s">
        <v>21</v>
      </c>
      <c r="E20" s="54" t="s">
        <v>19</v>
      </c>
      <c r="F20" s="54" t="str">
        <f t="shared" si="2"/>
        <v>Carb+6ppdqlownutrients</v>
      </c>
      <c r="G20" s="54">
        <v>0.66600000000000004</v>
      </c>
      <c r="H20" s="54">
        <v>0.66700000000000004</v>
      </c>
      <c r="I20" s="54">
        <v>0.66100000000000003</v>
      </c>
      <c r="J20" s="54">
        <f t="shared" si="1"/>
        <v>0.66466666666666674</v>
      </c>
      <c r="K20" s="54">
        <v>0.26300000000000001</v>
      </c>
      <c r="L20" s="54">
        <v>63.651000000000003</v>
      </c>
      <c r="M20" s="54">
        <v>241.661</v>
      </c>
      <c r="N20" s="54">
        <v>0.20399999999999999</v>
      </c>
      <c r="O20" s="54">
        <v>62.353999999999999</v>
      </c>
      <c r="P20" s="55">
        <v>305.85300000000001</v>
      </c>
      <c r="Q20" s="54">
        <v>65.191999999999993</v>
      </c>
      <c r="R20" s="55">
        <v>320.65899999999999</v>
      </c>
    </row>
    <row r="21" spans="1:18" ht="15" thickBot="1" x14ac:dyDescent="0.35">
      <c r="A21" s="56">
        <v>45841</v>
      </c>
      <c r="B21" s="171" t="s">
        <v>41</v>
      </c>
      <c r="C21" s="57" t="s">
        <v>46</v>
      </c>
      <c r="D21" s="57" t="s">
        <v>22</v>
      </c>
      <c r="E21" s="57" t="s">
        <v>19</v>
      </c>
      <c r="F21" s="57" t="str">
        <f t="shared" si="2"/>
        <v>Carb+6ppdqhighnutrients</v>
      </c>
      <c r="G21" s="57">
        <v>0.66200000000000003</v>
      </c>
      <c r="H21" s="57">
        <v>0.65600000000000003</v>
      </c>
      <c r="I21" s="57">
        <v>0.65600000000000003</v>
      </c>
      <c r="J21" s="57">
        <f t="shared" si="1"/>
        <v>0.65800000000000003</v>
      </c>
      <c r="K21" s="57">
        <v>0.248</v>
      </c>
      <c r="L21" s="57">
        <v>60.545000000000002</v>
      </c>
      <c r="M21" s="57">
        <v>243.923</v>
      </c>
      <c r="N21" s="57">
        <v>0.219</v>
      </c>
      <c r="O21" s="57">
        <v>57.790999999999997</v>
      </c>
      <c r="P21" s="58">
        <v>264.351</v>
      </c>
      <c r="Q21" s="57">
        <v>47.819000000000003</v>
      </c>
      <c r="R21" s="58">
        <v>231.571</v>
      </c>
    </row>
    <row r="22" spans="1:18" x14ac:dyDescent="0.3">
      <c r="A22" s="5">
        <v>45856</v>
      </c>
      <c r="B22" s="153" t="s">
        <v>20</v>
      </c>
      <c r="C22" s="2" t="s">
        <v>14</v>
      </c>
      <c r="D22" s="2"/>
      <c r="E22" s="2" t="s">
        <v>15</v>
      </c>
      <c r="F22" s="2" t="str">
        <f>C22&amp;D22</f>
        <v>control</v>
      </c>
      <c r="G22" s="2">
        <v>0.49</v>
      </c>
      <c r="H22" s="2">
        <v>0.50600000000000001</v>
      </c>
      <c r="I22" s="2">
        <v>0.498</v>
      </c>
      <c r="J22">
        <f>AVERAGE(G22:I22)</f>
        <v>0.498</v>
      </c>
      <c r="K22" s="2"/>
      <c r="L22" s="2"/>
      <c r="M22" s="2"/>
      <c r="N22" s="2"/>
      <c r="O22" s="2"/>
      <c r="P22" s="2">
        <v>0.14799999999999999</v>
      </c>
      <c r="Q22" s="2">
        <v>45.578000000000003</v>
      </c>
      <c r="R22" s="4">
        <v>308.41899999999998</v>
      </c>
    </row>
    <row r="23" spans="1:18" x14ac:dyDescent="0.3">
      <c r="A23" s="6">
        <v>45856</v>
      </c>
      <c r="B23" s="154" t="s">
        <v>20</v>
      </c>
      <c r="C23" t="s">
        <v>16</v>
      </c>
      <c r="E23" t="s">
        <v>15</v>
      </c>
      <c r="F23" t="str">
        <f t="shared" ref="F23:F33" si="3">C23&amp;D23</f>
        <v>solvent control</v>
      </c>
      <c r="G23">
        <v>0.52300000000000002</v>
      </c>
      <c r="H23">
        <v>0.52700000000000002</v>
      </c>
      <c r="I23">
        <v>0.51900000000000002</v>
      </c>
      <c r="J23">
        <f>AVERAGE(G23:I23)</f>
        <v>0.52300000000000002</v>
      </c>
      <c r="K23">
        <v>0.193</v>
      </c>
      <c r="L23">
        <v>42.311999999999998</v>
      </c>
      <c r="M23">
        <v>219.126</v>
      </c>
      <c r="N23">
        <v>8.9999999999999993E-3</v>
      </c>
      <c r="O23">
        <v>51.32</v>
      </c>
      <c r="P23">
        <v>0.156</v>
      </c>
      <c r="Q23">
        <v>41.668999999999997</v>
      </c>
      <c r="R23" s="7">
        <v>267.92099999999999</v>
      </c>
    </row>
    <row r="24" spans="1:18" x14ac:dyDescent="0.3">
      <c r="A24" s="6">
        <v>45856</v>
      </c>
      <c r="B24" s="154" t="s">
        <v>20</v>
      </c>
      <c r="C24" t="s">
        <v>17</v>
      </c>
      <c r="F24" t="str">
        <f t="shared" si="3"/>
        <v>nutrient control</v>
      </c>
      <c r="G24">
        <v>0.56299999999999994</v>
      </c>
      <c r="H24">
        <v>0.57699999999999996</v>
      </c>
      <c r="I24">
        <v>0.56200000000000006</v>
      </c>
      <c r="J24">
        <f t="shared" ref="J24:J41" si="4">AVERAGE(G24:I24)</f>
        <v>0.56733333333333336</v>
      </c>
      <c r="K24">
        <v>0.20899999999999999</v>
      </c>
      <c r="L24">
        <v>48.997999999999998</v>
      </c>
      <c r="M24">
        <v>234.15100000000001</v>
      </c>
      <c r="N24">
        <v>3.6999999999999998E-2</v>
      </c>
      <c r="O24">
        <v>80.745000000000005</v>
      </c>
      <c r="P24">
        <v>0.18</v>
      </c>
      <c r="Q24">
        <v>47.076000000000001</v>
      </c>
      <c r="R24" s="7">
        <v>261.56799999999998</v>
      </c>
    </row>
    <row r="25" spans="1:18" ht="15" thickBot="1" x14ac:dyDescent="0.35">
      <c r="A25" s="8">
        <v>45856</v>
      </c>
      <c r="B25" s="155" t="s">
        <v>20</v>
      </c>
      <c r="C25" s="9" t="s">
        <v>18</v>
      </c>
      <c r="D25" s="9"/>
      <c r="E25" s="9" t="s">
        <v>19</v>
      </c>
      <c r="F25" s="9" t="str">
        <f t="shared" si="3"/>
        <v>nutrient control (with solvent)</v>
      </c>
      <c r="G25" s="9">
        <v>0.6</v>
      </c>
      <c r="H25" s="9">
        <v>0.59299999999999997</v>
      </c>
      <c r="I25" s="9">
        <v>0.59499999999999997</v>
      </c>
      <c r="J25" s="9">
        <f t="shared" si="4"/>
        <v>0.59599999999999997</v>
      </c>
      <c r="K25" s="9">
        <v>0.24</v>
      </c>
      <c r="L25" s="9">
        <v>62.723999999999997</v>
      </c>
      <c r="M25" s="9">
        <v>261.65199999999999</v>
      </c>
      <c r="N25" s="9">
        <v>5.3280000000000003</v>
      </c>
      <c r="O25" s="9">
        <v>3874.268</v>
      </c>
      <c r="P25" s="9">
        <v>0.21</v>
      </c>
      <c r="Q25" s="9">
        <v>59.289000000000001</v>
      </c>
      <c r="R25" s="10">
        <v>282.24900000000002</v>
      </c>
    </row>
    <row r="26" spans="1:18" x14ac:dyDescent="0.3">
      <c r="A26" s="11">
        <v>45856</v>
      </c>
      <c r="B26" s="156" t="s">
        <v>20</v>
      </c>
      <c r="C26" s="12" t="s">
        <v>20</v>
      </c>
      <c r="D26" s="12" t="s">
        <v>21</v>
      </c>
      <c r="E26" s="12" t="s">
        <v>15</v>
      </c>
      <c r="F26" s="12" t="str">
        <f t="shared" si="3"/>
        <v>Diclow</v>
      </c>
      <c r="G26" s="12">
        <v>0.52500000000000002</v>
      </c>
      <c r="H26" s="12">
        <v>0.504</v>
      </c>
      <c r="I26" s="12">
        <v>0.497</v>
      </c>
      <c r="J26" s="12">
        <f t="shared" si="4"/>
        <v>0.5086666666666666</v>
      </c>
      <c r="K26" s="12">
        <v>0.185</v>
      </c>
      <c r="L26" s="12">
        <v>45.530999999999999</v>
      </c>
      <c r="M26" s="12">
        <v>245.50399999999999</v>
      </c>
      <c r="N26" s="12">
        <v>0.249</v>
      </c>
      <c r="O26" s="12">
        <v>225.05799999999999</v>
      </c>
      <c r="P26" s="12">
        <v>0.17</v>
      </c>
      <c r="Q26" s="12">
        <v>42.139000000000003</v>
      </c>
      <c r="R26" s="13">
        <v>248.02099999999999</v>
      </c>
    </row>
    <row r="27" spans="1:18" x14ac:dyDescent="0.3">
      <c r="A27" s="14">
        <v>45856</v>
      </c>
      <c r="B27" s="157" t="s">
        <v>20</v>
      </c>
      <c r="C27" s="15" t="s">
        <v>20</v>
      </c>
      <c r="D27" s="15" t="s">
        <v>22</v>
      </c>
      <c r="E27" s="15" t="s">
        <v>15</v>
      </c>
      <c r="F27" s="15" t="str">
        <f t="shared" si="3"/>
        <v>Dichigh</v>
      </c>
      <c r="G27" s="15">
        <v>0.496</v>
      </c>
      <c r="H27" s="15">
        <v>0.51500000000000001</v>
      </c>
      <c r="I27" s="15">
        <v>0.51800000000000002</v>
      </c>
      <c r="J27" s="15">
        <f t="shared" si="4"/>
        <v>0.50966666666666671</v>
      </c>
      <c r="K27" s="15">
        <v>0.17799999999999999</v>
      </c>
      <c r="L27" s="15">
        <v>45.710999999999999</v>
      </c>
      <c r="M27" s="15">
        <v>256.541</v>
      </c>
      <c r="N27" s="15">
        <v>4.5999999999999999E-2</v>
      </c>
      <c r="O27" s="15">
        <v>86.64</v>
      </c>
      <c r="P27" s="15">
        <v>0.154</v>
      </c>
      <c r="Q27" s="15">
        <v>44.164000000000001</v>
      </c>
      <c r="R27" s="16">
        <v>287.26400000000001</v>
      </c>
    </row>
    <row r="28" spans="1:18" x14ac:dyDescent="0.3">
      <c r="A28" s="17">
        <v>45856</v>
      </c>
      <c r="B28" s="158" t="s">
        <v>20</v>
      </c>
      <c r="C28" s="18" t="s">
        <v>23</v>
      </c>
      <c r="D28" s="18" t="s">
        <v>21</v>
      </c>
      <c r="E28" s="18" t="s">
        <v>15</v>
      </c>
      <c r="F28" s="18" t="str">
        <f t="shared" si="3"/>
        <v>Dic+Carblow</v>
      </c>
      <c r="G28" s="18">
        <v>0.49299999999999999</v>
      </c>
      <c r="H28" s="18">
        <v>0.498</v>
      </c>
      <c r="I28" s="18">
        <v>0.505</v>
      </c>
      <c r="J28" s="18">
        <f t="shared" si="4"/>
        <v>0.49866666666666665</v>
      </c>
      <c r="K28" s="18">
        <v>0.17399999999999999</v>
      </c>
      <c r="L28" s="18">
        <v>45.737000000000002</v>
      </c>
      <c r="M28" s="18">
        <v>263.26100000000002</v>
      </c>
      <c r="N28" s="18">
        <v>4.3280000000000003</v>
      </c>
      <c r="O28" s="18">
        <v>3158.904</v>
      </c>
      <c r="P28" s="18">
        <v>0.154</v>
      </c>
      <c r="Q28" s="18">
        <v>43.118000000000002</v>
      </c>
      <c r="R28" s="19">
        <v>279.20400000000001</v>
      </c>
    </row>
    <row r="29" spans="1:18" x14ac:dyDescent="0.3">
      <c r="A29" s="20">
        <v>45856</v>
      </c>
      <c r="B29" s="159" t="s">
        <v>20</v>
      </c>
      <c r="C29" s="21" t="s">
        <v>23</v>
      </c>
      <c r="D29" s="21" t="s">
        <v>22</v>
      </c>
      <c r="E29" s="21" t="s">
        <v>15</v>
      </c>
      <c r="F29" s="21" t="str">
        <f t="shared" si="3"/>
        <v>Dic+Carbhigh</v>
      </c>
      <c r="G29" s="21">
        <v>0.51700000000000002</v>
      </c>
      <c r="H29" s="21">
        <v>0.55000000000000004</v>
      </c>
      <c r="I29" s="21">
        <v>0.53</v>
      </c>
      <c r="J29" s="21">
        <f t="shared" si="4"/>
        <v>0.53233333333333344</v>
      </c>
      <c r="K29" s="21">
        <v>0.186</v>
      </c>
      <c r="L29" s="21">
        <v>40.152000000000001</v>
      </c>
      <c r="M29" s="21">
        <v>215.67599999999999</v>
      </c>
      <c r="N29" s="21">
        <v>7.1999999999999995E-2</v>
      </c>
      <c r="O29" s="21">
        <v>91.153000000000006</v>
      </c>
      <c r="P29" s="21">
        <v>0.17</v>
      </c>
      <c r="Q29" s="21">
        <v>36.844999999999999</v>
      </c>
      <c r="R29" s="22">
        <v>217.01499999999999</v>
      </c>
    </row>
    <row r="30" spans="1:18" x14ac:dyDescent="0.3">
      <c r="A30" s="23">
        <v>45856</v>
      </c>
      <c r="B30" s="160" t="s">
        <v>20</v>
      </c>
      <c r="C30" s="24" t="s">
        <v>24</v>
      </c>
      <c r="D30" s="24" t="s">
        <v>21</v>
      </c>
      <c r="E30" s="24" t="s">
        <v>15</v>
      </c>
      <c r="F30" s="24" t="str">
        <f t="shared" si="3"/>
        <v>Dic+PFOSlow</v>
      </c>
      <c r="G30" s="24">
        <v>0.51400000000000001</v>
      </c>
      <c r="H30" s="24">
        <v>0.52300000000000002</v>
      </c>
      <c r="I30" s="24">
        <v>0.51500000000000001</v>
      </c>
      <c r="J30" s="24">
        <f t="shared" si="4"/>
        <v>0.51733333333333331</v>
      </c>
      <c r="K30" s="24">
        <v>0.20300000000000001</v>
      </c>
      <c r="L30" s="24">
        <v>38.713000000000001</v>
      </c>
      <c r="M30" s="24">
        <v>191.017</v>
      </c>
      <c r="N30" s="24">
        <v>0.01</v>
      </c>
      <c r="O30" s="24">
        <v>46.9</v>
      </c>
      <c r="P30" s="24">
        <v>0.16500000000000001</v>
      </c>
      <c r="Q30" s="24">
        <v>37.729999999999997</v>
      </c>
      <c r="R30" s="25">
        <v>229.291</v>
      </c>
    </row>
    <row r="31" spans="1:18" x14ac:dyDescent="0.3">
      <c r="A31" s="26">
        <v>45856</v>
      </c>
      <c r="B31" s="161" t="s">
        <v>20</v>
      </c>
      <c r="C31" s="27" t="s">
        <v>24</v>
      </c>
      <c r="D31" s="27" t="s">
        <v>22</v>
      </c>
      <c r="E31" s="27" t="s">
        <v>15</v>
      </c>
      <c r="F31" s="27" t="str">
        <f t="shared" si="3"/>
        <v>Dic+PFOShigh</v>
      </c>
      <c r="G31" s="27">
        <v>0.53600000000000003</v>
      </c>
      <c r="H31" s="27">
        <v>0.52500000000000002</v>
      </c>
      <c r="I31" s="27">
        <v>0.502</v>
      </c>
      <c r="J31" s="27">
        <f t="shared" si="4"/>
        <v>0.52100000000000002</v>
      </c>
      <c r="K31" s="27">
        <v>0.17799999999999999</v>
      </c>
      <c r="L31" s="27">
        <v>44.960999999999999</v>
      </c>
      <c r="M31" s="27">
        <v>252.53399999999999</v>
      </c>
      <c r="N31" s="27">
        <v>0.1</v>
      </c>
      <c r="O31" s="27">
        <v>124.996</v>
      </c>
      <c r="P31" s="27">
        <v>0.16300000000000001</v>
      </c>
      <c r="Q31" s="27">
        <v>42.143000000000001</v>
      </c>
      <c r="R31" s="28">
        <v>258.36399999999998</v>
      </c>
    </row>
    <row r="32" spans="1:18" x14ac:dyDescent="0.3">
      <c r="A32" s="29">
        <v>45856</v>
      </c>
      <c r="B32" s="162" t="s">
        <v>20</v>
      </c>
      <c r="C32" s="30" t="s">
        <v>25</v>
      </c>
      <c r="D32" s="30" t="s">
        <v>21</v>
      </c>
      <c r="E32" s="30" t="s">
        <v>15</v>
      </c>
      <c r="F32" s="30" t="str">
        <f t="shared" si="3"/>
        <v>Dic+6ppdqlow</v>
      </c>
      <c r="G32" s="30">
        <v>0.53500000000000003</v>
      </c>
      <c r="H32" s="30">
        <v>0.53500000000000003</v>
      </c>
      <c r="I32" s="30">
        <v>0.52300000000000002</v>
      </c>
      <c r="J32" s="30">
        <f t="shared" si="4"/>
        <v>0.53100000000000003</v>
      </c>
      <c r="K32" s="30">
        <v>0.20200000000000001</v>
      </c>
      <c r="L32" s="30">
        <v>49.393999999999998</v>
      </c>
      <c r="M32" s="30">
        <v>244.45699999999999</v>
      </c>
      <c r="N32" s="30">
        <v>1.2E-2</v>
      </c>
      <c r="O32" s="30">
        <v>62.273000000000003</v>
      </c>
      <c r="P32" s="30">
        <v>0.16600000000000001</v>
      </c>
      <c r="Q32" s="30">
        <v>48.57</v>
      </c>
      <c r="R32" s="31">
        <v>291.96100000000001</v>
      </c>
    </row>
    <row r="33" spans="1:18" ht="15" thickBot="1" x14ac:dyDescent="0.35">
      <c r="A33" s="32">
        <v>45856</v>
      </c>
      <c r="B33" s="163" t="s">
        <v>20</v>
      </c>
      <c r="C33" s="33" t="s">
        <v>25</v>
      </c>
      <c r="D33" s="33" t="s">
        <v>22</v>
      </c>
      <c r="E33" s="33" t="s">
        <v>15</v>
      </c>
      <c r="F33" s="33" t="str">
        <f t="shared" si="3"/>
        <v>Dic+6ppdqhigh</v>
      </c>
      <c r="G33" s="33">
        <v>0.51500000000000001</v>
      </c>
      <c r="H33" s="33">
        <v>0.51200000000000001</v>
      </c>
      <c r="I33" s="33">
        <v>0.51700000000000002</v>
      </c>
      <c r="J33" s="33">
        <f t="shared" si="4"/>
        <v>0.51466666666666672</v>
      </c>
      <c r="K33" s="33">
        <v>0.20899999999999999</v>
      </c>
      <c r="L33" s="33">
        <v>42.957000000000001</v>
      </c>
      <c r="M33" s="33">
        <v>205.649</v>
      </c>
      <c r="N33" s="33">
        <v>0.01</v>
      </c>
      <c r="O33" s="33">
        <v>52.165999999999997</v>
      </c>
      <c r="P33" s="33">
        <v>0.17</v>
      </c>
      <c r="Q33" s="33">
        <v>42.012</v>
      </c>
      <c r="R33" s="34">
        <v>246.81700000000001</v>
      </c>
    </row>
    <row r="34" spans="1:18" x14ac:dyDescent="0.3">
      <c r="A34" s="35">
        <v>45856</v>
      </c>
      <c r="B34" s="164" t="s">
        <v>20</v>
      </c>
      <c r="C34" s="36" t="s">
        <v>20</v>
      </c>
      <c r="D34" s="36" t="s">
        <v>21</v>
      </c>
      <c r="E34" s="36" t="s">
        <v>19</v>
      </c>
      <c r="F34" s="36" t="str">
        <f>C34&amp;D34&amp;E34</f>
        <v>Diclownutrients</v>
      </c>
      <c r="G34" s="36">
        <v>0.57899999999999996</v>
      </c>
      <c r="H34" s="36">
        <v>0.56499999999999995</v>
      </c>
      <c r="I34" s="36">
        <v>0.57599999999999996</v>
      </c>
      <c r="J34" s="36">
        <f t="shared" si="4"/>
        <v>0.57333333333333325</v>
      </c>
      <c r="K34" s="36">
        <v>0.22900000000000001</v>
      </c>
      <c r="L34" s="36">
        <v>67.503</v>
      </c>
      <c r="M34" s="36">
        <v>294.76100000000002</v>
      </c>
      <c r="N34" s="36">
        <v>3.0000000000000001E-3</v>
      </c>
      <c r="O34" s="36">
        <v>72.751999999999995</v>
      </c>
      <c r="P34" s="36">
        <v>0.183</v>
      </c>
      <c r="Q34" s="36">
        <v>66.180999999999997</v>
      </c>
      <c r="R34" s="37">
        <v>362.61099999999999</v>
      </c>
    </row>
    <row r="35" spans="1:18" x14ac:dyDescent="0.3">
      <c r="A35" s="38">
        <v>45856</v>
      </c>
      <c r="B35" s="165" t="s">
        <v>20</v>
      </c>
      <c r="C35" s="39" t="s">
        <v>20</v>
      </c>
      <c r="D35" s="39" t="s">
        <v>22</v>
      </c>
      <c r="E35" s="39" t="s">
        <v>19</v>
      </c>
      <c r="F35" s="39" t="str">
        <f t="shared" ref="F35:F41" si="5">C35&amp;D35&amp;E35</f>
        <v>Dichighnutrients</v>
      </c>
      <c r="G35" s="39">
        <v>0.60299999999999998</v>
      </c>
      <c r="H35" s="39">
        <v>0.59099999999999997</v>
      </c>
      <c r="I35" s="39">
        <v>0.57699999999999996</v>
      </c>
      <c r="J35" s="39">
        <f t="shared" si="4"/>
        <v>0.59033333333333327</v>
      </c>
      <c r="K35" s="39">
        <v>0.21199999999999999</v>
      </c>
      <c r="L35" s="39">
        <v>58.06</v>
      </c>
      <c r="M35" s="39">
        <v>273.87</v>
      </c>
      <c r="N35" s="39">
        <v>3.5449999999999999</v>
      </c>
      <c r="O35" s="39">
        <v>2717.4929999999999</v>
      </c>
      <c r="P35" s="39">
        <v>0.191</v>
      </c>
      <c r="Q35" s="39">
        <v>54.975000000000001</v>
      </c>
      <c r="R35" s="40">
        <v>287.40499999999997</v>
      </c>
    </row>
    <row r="36" spans="1:18" x14ac:dyDescent="0.3">
      <c r="A36" s="41">
        <v>45856</v>
      </c>
      <c r="B36" s="166" t="s">
        <v>20</v>
      </c>
      <c r="C36" s="42" t="s">
        <v>23</v>
      </c>
      <c r="D36" s="42" t="s">
        <v>21</v>
      </c>
      <c r="E36" s="42" t="s">
        <v>19</v>
      </c>
      <c r="F36" s="42" t="str">
        <f t="shared" si="5"/>
        <v>Dic+Carblownutrients</v>
      </c>
      <c r="G36" s="42">
        <v>0.56699999999999995</v>
      </c>
      <c r="H36" s="42">
        <v>0.59299999999999997</v>
      </c>
      <c r="I36" s="42">
        <v>0.58199999999999996</v>
      </c>
      <c r="J36" s="42">
        <f t="shared" si="4"/>
        <v>0.58066666666666666</v>
      </c>
      <c r="K36" s="42">
        <v>0.23</v>
      </c>
      <c r="L36" s="42">
        <v>70.278000000000006</v>
      </c>
      <c r="M36" s="42">
        <v>305.44200000000001</v>
      </c>
      <c r="N36" s="42">
        <v>4.1000000000000002E-2</v>
      </c>
      <c r="O36" s="42">
        <v>115.753</v>
      </c>
      <c r="P36" s="42">
        <v>0.19600000000000001</v>
      </c>
      <c r="Q36" s="42">
        <v>69.475999999999999</v>
      </c>
      <c r="R36" s="43">
        <v>354.423</v>
      </c>
    </row>
    <row r="37" spans="1:18" x14ac:dyDescent="0.3">
      <c r="A37" s="44">
        <v>45856</v>
      </c>
      <c r="B37" s="167" t="s">
        <v>20</v>
      </c>
      <c r="C37" s="45" t="s">
        <v>23</v>
      </c>
      <c r="D37" s="45" t="s">
        <v>22</v>
      </c>
      <c r="E37" s="45" t="s">
        <v>19</v>
      </c>
      <c r="F37" s="45" t="str">
        <f t="shared" si="5"/>
        <v>Dic+Carbhighnutrients</v>
      </c>
      <c r="G37" s="45">
        <v>0.59499999999999997</v>
      </c>
      <c r="H37" s="45">
        <v>0.58099999999999996</v>
      </c>
      <c r="I37" s="45">
        <v>0.59599999999999997</v>
      </c>
      <c r="J37" s="45">
        <f t="shared" si="4"/>
        <v>0.59066666666666656</v>
      </c>
      <c r="K37" s="45">
        <v>0.23100000000000001</v>
      </c>
      <c r="L37" s="45">
        <v>72.739000000000004</v>
      </c>
      <c r="M37" s="45">
        <v>314.61900000000003</v>
      </c>
      <c r="N37" s="45">
        <v>1.4999999999999999E-2</v>
      </c>
      <c r="O37" s="45">
        <v>92.323999999999998</v>
      </c>
      <c r="P37" s="45">
        <v>0.191</v>
      </c>
      <c r="Q37" s="45">
        <v>72.08</v>
      </c>
      <c r="R37" s="46">
        <v>378.12200000000001</v>
      </c>
    </row>
    <row r="38" spans="1:18" x14ac:dyDescent="0.3">
      <c r="A38" s="47">
        <v>45856</v>
      </c>
      <c r="B38" s="168" t="s">
        <v>20</v>
      </c>
      <c r="C38" s="48" t="s">
        <v>24</v>
      </c>
      <c r="D38" s="48" t="s">
        <v>21</v>
      </c>
      <c r="E38" s="48" t="s">
        <v>19</v>
      </c>
      <c r="F38" s="48" t="str">
        <f t="shared" si="5"/>
        <v>Dic+PFOSlownutrients</v>
      </c>
      <c r="G38" s="48">
        <v>0.59699999999999998</v>
      </c>
      <c r="H38" s="48">
        <v>0.59399999999999997</v>
      </c>
      <c r="I38" s="48">
        <v>0.57799999999999996</v>
      </c>
      <c r="J38" s="48">
        <f t="shared" si="4"/>
        <v>0.58966666666666656</v>
      </c>
      <c r="K38" s="48">
        <v>0.20799999999999999</v>
      </c>
      <c r="L38" s="48">
        <v>53.225999999999999</v>
      </c>
      <c r="M38" s="48">
        <v>255.43299999999999</v>
      </c>
      <c r="N38" s="48">
        <v>1.099</v>
      </c>
      <c r="O38" s="48">
        <v>834.59799999999996</v>
      </c>
      <c r="P38" s="48">
        <v>0.19</v>
      </c>
      <c r="Q38" s="48">
        <v>49.578000000000003</v>
      </c>
      <c r="R38" s="49">
        <v>260.93599999999998</v>
      </c>
    </row>
    <row r="39" spans="1:18" x14ac:dyDescent="0.3">
      <c r="A39" s="50">
        <v>45856</v>
      </c>
      <c r="B39" s="169" t="s">
        <v>20</v>
      </c>
      <c r="C39" s="51" t="s">
        <v>24</v>
      </c>
      <c r="D39" s="51" t="s">
        <v>22</v>
      </c>
      <c r="E39" s="51" t="s">
        <v>19</v>
      </c>
      <c r="F39" s="51" t="str">
        <f t="shared" si="5"/>
        <v>Dic+PFOShighnutrients</v>
      </c>
      <c r="G39" s="51">
        <v>0.61399999999999999</v>
      </c>
      <c r="H39" s="51">
        <v>0.59799999999999998</v>
      </c>
      <c r="I39" s="51">
        <v>0.60899999999999999</v>
      </c>
      <c r="J39" s="51">
        <f t="shared" si="4"/>
        <v>0.60699999999999998</v>
      </c>
      <c r="K39" s="51">
        <v>0.24299999999999999</v>
      </c>
      <c r="L39" s="51">
        <v>69.706999999999994</v>
      </c>
      <c r="M39" s="51">
        <v>286.61900000000003</v>
      </c>
      <c r="N39" s="51">
        <v>7.4340000000000002</v>
      </c>
      <c r="O39" s="51">
        <v>5886.585</v>
      </c>
      <c r="P39" s="51">
        <v>0.217</v>
      </c>
      <c r="Q39" s="51">
        <v>66.778000000000006</v>
      </c>
      <c r="R39" s="52">
        <v>307.786</v>
      </c>
    </row>
    <row r="40" spans="1:18" x14ac:dyDescent="0.3">
      <c r="A40" s="53">
        <v>45856</v>
      </c>
      <c r="B40" s="170" t="s">
        <v>20</v>
      </c>
      <c r="C40" s="54" t="s">
        <v>25</v>
      </c>
      <c r="D40" s="54" t="s">
        <v>21</v>
      </c>
      <c r="E40" s="54" t="s">
        <v>19</v>
      </c>
      <c r="F40" s="54" t="str">
        <f t="shared" si="5"/>
        <v>Dic+6ppdqlownutrients</v>
      </c>
      <c r="G40" s="54">
        <v>0.59699999999999998</v>
      </c>
      <c r="H40" s="54">
        <v>0.59899999999999998</v>
      </c>
      <c r="I40" s="54">
        <v>0.58799999999999997</v>
      </c>
      <c r="J40" s="54">
        <f t="shared" si="4"/>
        <v>0.59466666666666657</v>
      </c>
      <c r="K40" s="54">
        <v>0.23</v>
      </c>
      <c r="L40" s="54">
        <v>65.331000000000003</v>
      </c>
      <c r="M40" s="54">
        <v>283.654</v>
      </c>
      <c r="N40" s="54">
        <v>3.1549999999999998</v>
      </c>
      <c r="O40" s="54">
        <v>2521.1880000000001</v>
      </c>
      <c r="P40" s="54">
        <v>0.20899999999999999</v>
      </c>
      <c r="Q40" s="54">
        <v>62.164000000000001</v>
      </c>
      <c r="R40" s="55">
        <v>297.16500000000002</v>
      </c>
    </row>
    <row r="41" spans="1:18" ht="15" thickBot="1" x14ac:dyDescent="0.35">
      <c r="A41" s="56">
        <v>45856</v>
      </c>
      <c r="B41" s="171" t="s">
        <v>20</v>
      </c>
      <c r="C41" s="57" t="s">
        <v>25</v>
      </c>
      <c r="D41" s="57" t="s">
        <v>22</v>
      </c>
      <c r="E41" s="57" t="s">
        <v>19</v>
      </c>
      <c r="F41" s="57" t="str">
        <f t="shared" si="5"/>
        <v>Dic+6ppdqhighnutrients</v>
      </c>
      <c r="G41" s="57">
        <v>0.60699999999999998</v>
      </c>
      <c r="H41" s="57">
        <v>0.59099999999999997</v>
      </c>
      <c r="I41" s="57">
        <v>0.57399999999999995</v>
      </c>
      <c r="J41" s="57">
        <f t="shared" si="4"/>
        <v>0.59066666666666656</v>
      </c>
      <c r="K41" s="57">
        <v>0.224</v>
      </c>
      <c r="L41" s="57">
        <v>69.63</v>
      </c>
      <c r="M41" s="57">
        <v>310.62400000000002</v>
      </c>
      <c r="N41" s="57">
        <v>0.251</v>
      </c>
      <c r="O41" s="57">
        <v>301.23599999999999</v>
      </c>
      <c r="P41" s="57">
        <v>0.2</v>
      </c>
      <c r="Q41" s="57">
        <v>67.81</v>
      </c>
      <c r="R41" s="58">
        <v>339.82</v>
      </c>
    </row>
    <row r="42" spans="1:18" x14ac:dyDescent="0.3">
      <c r="A42" s="5">
        <v>45856</v>
      </c>
      <c r="B42" s="153" t="s">
        <v>98</v>
      </c>
      <c r="C42" s="2" t="s">
        <v>14</v>
      </c>
      <c r="D42" s="2"/>
      <c r="E42" s="2" t="s">
        <v>15</v>
      </c>
      <c r="F42" s="2" t="str">
        <f>C42&amp;D42</f>
        <v>control</v>
      </c>
      <c r="G42" s="2">
        <v>0.40500000000000003</v>
      </c>
      <c r="H42" s="2">
        <v>0.42799999999999999</v>
      </c>
      <c r="I42" s="2">
        <v>0.434</v>
      </c>
      <c r="J42">
        <f>AVERAGE(G42:I42)</f>
        <v>0.42233333333333328</v>
      </c>
      <c r="K42" s="2">
        <v>0.13600000000000001</v>
      </c>
      <c r="L42" s="2">
        <v>26.898</v>
      </c>
      <c r="M42" s="2">
        <v>197.84800000000001</v>
      </c>
      <c r="N42" s="2">
        <v>5.3159999999999998</v>
      </c>
      <c r="O42" s="2">
        <v>2895.596</v>
      </c>
      <c r="P42" s="2">
        <v>0.128</v>
      </c>
      <c r="Q42" s="2">
        <v>23.155999999999999</v>
      </c>
      <c r="R42" s="4">
        <v>180.61799999999999</v>
      </c>
    </row>
    <row r="43" spans="1:18" x14ac:dyDescent="0.3">
      <c r="A43" s="6">
        <v>45856</v>
      </c>
      <c r="B43" s="154" t="s">
        <v>98</v>
      </c>
      <c r="C43" t="s">
        <v>16</v>
      </c>
      <c r="E43" t="s">
        <v>15</v>
      </c>
      <c r="F43" t="str">
        <f t="shared" ref="F43:F53" si="6">C43&amp;D43</f>
        <v>solvent control</v>
      </c>
      <c r="G43">
        <v>0.312</v>
      </c>
      <c r="H43">
        <v>0.32300000000000001</v>
      </c>
      <c r="I43">
        <v>0.316</v>
      </c>
      <c r="J43">
        <f>AVERAGE(G43:I43)</f>
        <v>0.317</v>
      </c>
      <c r="K43">
        <v>8.2000000000000003E-2</v>
      </c>
      <c r="L43">
        <v>11.494999999999999</v>
      </c>
      <c r="M43">
        <v>139.67099999999999</v>
      </c>
      <c r="N43">
        <v>0.92200000000000004</v>
      </c>
      <c r="O43">
        <v>365.54399999999998</v>
      </c>
      <c r="P43">
        <v>8.6999999999999994E-2</v>
      </c>
      <c r="Q43">
        <v>8.7029999999999994</v>
      </c>
      <c r="R43" s="7">
        <v>100.553</v>
      </c>
    </row>
    <row r="44" spans="1:18" x14ac:dyDescent="0.3">
      <c r="A44" s="6">
        <v>45856</v>
      </c>
      <c r="B44" s="154" t="s">
        <v>98</v>
      </c>
      <c r="C44" t="s">
        <v>17</v>
      </c>
      <c r="F44" t="str">
        <f t="shared" si="6"/>
        <v>nutrient control</v>
      </c>
      <c r="G44">
        <v>0.50800000000000001</v>
      </c>
      <c r="H44">
        <v>0.50600000000000001</v>
      </c>
      <c r="I44">
        <v>0.48799999999999999</v>
      </c>
      <c r="J44">
        <f t="shared" ref="J44:J61" si="7">AVERAGE(G44:I44)</f>
        <v>0.5006666666666667</v>
      </c>
      <c r="K44">
        <v>0.17899999999999999</v>
      </c>
      <c r="L44">
        <v>39.634</v>
      </c>
      <c r="M44">
        <v>220.88900000000001</v>
      </c>
      <c r="N44">
        <v>0.17299999999999999</v>
      </c>
      <c r="O44">
        <v>154.59399999999999</v>
      </c>
      <c r="P44">
        <v>0.16700000000000001</v>
      </c>
      <c r="Q44">
        <v>35.753</v>
      </c>
      <c r="R44" s="7">
        <v>213.65199999999999</v>
      </c>
    </row>
    <row r="45" spans="1:18" ht="15" thickBot="1" x14ac:dyDescent="0.35">
      <c r="A45" s="8">
        <v>45856</v>
      </c>
      <c r="B45" s="155" t="s">
        <v>98</v>
      </c>
      <c r="C45" s="9" t="s">
        <v>18</v>
      </c>
      <c r="D45" s="9"/>
      <c r="E45" s="9" t="s">
        <v>19</v>
      </c>
      <c r="F45" s="9" t="str">
        <f t="shared" si="6"/>
        <v>nutrient control (with solvent)</v>
      </c>
      <c r="G45" s="9">
        <v>0.48199999999999998</v>
      </c>
      <c r="H45" s="9">
        <v>0.49099999999999999</v>
      </c>
      <c r="I45" s="9">
        <v>0.49</v>
      </c>
      <c r="J45" s="9">
        <f t="shared" si="7"/>
        <v>0.48766666666666669</v>
      </c>
      <c r="K45" s="9"/>
      <c r="L45" s="9"/>
      <c r="M45" s="9"/>
      <c r="N45" s="9"/>
      <c r="O45" s="9"/>
      <c r="P45" s="9">
        <v>0.156</v>
      </c>
      <c r="Q45" s="9">
        <v>38.485999999999997</v>
      </c>
      <c r="R45" s="10">
        <v>246.53800000000001</v>
      </c>
    </row>
    <row r="46" spans="1:18" x14ac:dyDescent="0.3">
      <c r="A46" s="11">
        <v>45856</v>
      </c>
      <c r="B46" s="156" t="s">
        <v>98</v>
      </c>
      <c r="C46" s="12" t="s">
        <v>98</v>
      </c>
      <c r="D46" s="12" t="s">
        <v>21</v>
      </c>
      <c r="E46" s="12" t="s">
        <v>15</v>
      </c>
      <c r="F46" s="12" t="str">
        <f t="shared" si="6"/>
        <v>PFOSlow</v>
      </c>
      <c r="G46" s="12">
        <v>0.44</v>
      </c>
      <c r="H46" s="12">
        <v>0.433</v>
      </c>
      <c r="I46" s="12">
        <v>0.434</v>
      </c>
      <c r="J46" s="12">
        <f t="shared" si="7"/>
        <v>0.43566666666666665</v>
      </c>
      <c r="K46" s="12">
        <v>0.16700000000000001</v>
      </c>
      <c r="L46" s="12">
        <v>27.61</v>
      </c>
      <c r="M46" s="12">
        <v>164.94800000000001</v>
      </c>
      <c r="N46" s="12">
        <v>0.01</v>
      </c>
      <c r="O46" s="12">
        <v>34.722999999999999</v>
      </c>
      <c r="P46" s="12">
        <v>0.13900000000000001</v>
      </c>
      <c r="Q46" s="12">
        <v>26.329000000000001</v>
      </c>
      <c r="R46" s="13">
        <v>189.47900000000001</v>
      </c>
    </row>
    <row r="47" spans="1:18" x14ac:dyDescent="0.3">
      <c r="A47" s="14">
        <v>45856</v>
      </c>
      <c r="B47" s="157" t="s">
        <v>98</v>
      </c>
      <c r="C47" s="15" t="s">
        <v>98</v>
      </c>
      <c r="D47" s="15" t="s">
        <v>22</v>
      </c>
      <c r="E47" s="15" t="s">
        <v>15</v>
      </c>
      <c r="F47" s="15" t="str">
        <f t="shared" si="6"/>
        <v>PFOShigh</v>
      </c>
      <c r="G47" s="15">
        <v>0.437</v>
      </c>
      <c r="H47" s="15">
        <v>0.42499999999999999</v>
      </c>
      <c r="I47" s="15">
        <v>0.42499999999999999</v>
      </c>
      <c r="J47" s="15">
        <f t="shared" si="7"/>
        <v>0.42899999999999999</v>
      </c>
      <c r="K47" s="15">
        <v>0.13700000000000001</v>
      </c>
      <c r="L47" s="15">
        <v>25.033999999999999</v>
      </c>
      <c r="M47" s="15">
        <v>183.31299999999999</v>
      </c>
      <c r="N47" s="15">
        <v>3.1E-2</v>
      </c>
      <c r="O47" s="15">
        <v>45.237000000000002</v>
      </c>
      <c r="P47" s="15">
        <v>0.126</v>
      </c>
      <c r="Q47" s="15">
        <v>22.57</v>
      </c>
      <c r="R47" s="16">
        <v>179.79499999999999</v>
      </c>
    </row>
    <row r="48" spans="1:18" x14ac:dyDescent="0.3">
      <c r="A48" s="17">
        <v>45856</v>
      </c>
      <c r="B48" s="158" t="s">
        <v>98</v>
      </c>
      <c r="C48" s="18" t="s">
        <v>97</v>
      </c>
      <c r="D48" s="18" t="s">
        <v>21</v>
      </c>
      <c r="E48" s="18" t="s">
        <v>15</v>
      </c>
      <c r="F48" s="18" t="str">
        <f t="shared" si="6"/>
        <v>PFOS+Carblow</v>
      </c>
      <c r="G48" s="18">
        <v>0.443</v>
      </c>
      <c r="H48" s="18">
        <v>0.44800000000000001</v>
      </c>
      <c r="I48" s="18">
        <v>0.42599999999999999</v>
      </c>
      <c r="J48" s="18">
        <f t="shared" si="7"/>
        <v>0.439</v>
      </c>
      <c r="K48" s="18">
        <v>0.157</v>
      </c>
      <c r="L48" s="18">
        <v>24.233000000000001</v>
      </c>
      <c r="M48" s="18">
        <v>154.38200000000001</v>
      </c>
      <c r="N48" s="18">
        <v>1.4999999999999999E-2</v>
      </c>
      <c r="O48" s="18">
        <v>33.5</v>
      </c>
      <c r="P48" s="18">
        <v>0.13400000000000001</v>
      </c>
      <c r="Q48" s="18">
        <v>22.42</v>
      </c>
      <c r="R48" s="19">
        <v>167.78899999999999</v>
      </c>
    </row>
    <row r="49" spans="1:18" x14ac:dyDescent="0.3">
      <c r="A49" s="20">
        <v>45856</v>
      </c>
      <c r="B49" s="159" t="s">
        <v>98</v>
      </c>
      <c r="C49" s="21" t="s">
        <v>97</v>
      </c>
      <c r="D49" s="21" t="s">
        <v>22</v>
      </c>
      <c r="E49" s="21" t="s">
        <v>15</v>
      </c>
      <c r="F49" s="21" t="str">
        <f t="shared" si="6"/>
        <v>PFOS+Carbhigh</v>
      </c>
      <c r="G49" s="21">
        <v>0.437</v>
      </c>
      <c r="H49" s="21">
        <v>0.432</v>
      </c>
      <c r="I49" s="21">
        <v>0.45300000000000001</v>
      </c>
      <c r="J49" s="21">
        <f t="shared" si="7"/>
        <v>0.44066666666666671</v>
      </c>
      <c r="K49" s="21">
        <v>0.155</v>
      </c>
      <c r="L49" s="21">
        <v>28.123999999999999</v>
      </c>
      <c r="M49" s="21">
        <v>180.97399999999999</v>
      </c>
      <c r="N49" s="21">
        <v>2.3E-2</v>
      </c>
      <c r="O49" s="21">
        <v>43.645000000000003</v>
      </c>
      <c r="P49" s="21">
        <v>0.13600000000000001</v>
      </c>
      <c r="Q49" s="21">
        <v>26.036999999999999</v>
      </c>
      <c r="R49" s="22">
        <v>191.86500000000001</v>
      </c>
    </row>
    <row r="50" spans="1:18" x14ac:dyDescent="0.3">
      <c r="A50" s="23">
        <v>45856</v>
      </c>
      <c r="B50" s="160" t="s">
        <v>98</v>
      </c>
      <c r="C50" s="24" t="s">
        <v>99</v>
      </c>
      <c r="D50" s="24" t="s">
        <v>21</v>
      </c>
      <c r="E50" s="24" t="s">
        <v>15</v>
      </c>
      <c r="F50" s="24" t="str">
        <f t="shared" si="6"/>
        <v>PFOS+Diclow</v>
      </c>
      <c r="G50" s="24">
        <v>0.28000000000000003</v>
      </c>
      <c r="H50" s="24">
        <v>0.26700000000000002</v>
      </c>
      <c r="I50" s="24">
        <v>0.28299999999999997</v>
      </c>
      <c r="J50" s="24">
        <f t="shared" si="7"/>
        <v>0.27666666666666667</v>
      </c>
      <c r="K50" s="24">
        <v>6.9000000000000006E-2</v>
      </c>
      <c r="L50" s="24">
        <v>7.2439999999999998</v>
      </c>
      <c r="M50" s="24">
        <v>104.645</v>
      </c>
      <c r="N50" s="24">
        <v>1.2230000000000001</v>
      </c>
      <c r="O50" s="24">
        <v>357.63600000000002</v>
      </c>
      <c r="P50" s="24">
        <v>0.26300000000000001</v>
      </c>
      <c r="Q50" s="24">
        <v>4.8120000000000003</v>
      </c>
      <c r="R50" s="25">
        <v>18.274000000000001</v>
      </c>
    </row>
    <row r="51" spans="1:18" x14ac:dyDescent="0.3">
      <c r="A51" s="26">
        <v>45856</v>
      </c>
      <c r="B51" s="161" t="s">
        <v>98</v>
      </c>
      <c r="C51" s="27" t="s">
        <v>99</v>
      </c>
      <c r="D51" s="27" t="s">
        <v>22</v>
      </c>
      <c r="E51" s="27" t="s">
        <v>15</v>
      </c>
      <c r="F51" s="27" t="str">
        <f t="shared" si="6"/>
        <v>PFOS+Dichigh</v>
      </c>
      <c r="G51" s="27">
        <v>0.42699999999999999</v>
      </c>
      <c r="H51" s="27">
        <v>0.44600000000000001</v>
      </c>
      <c r="I51" s="27">
        <v>0.45100000000000001</v>
      </c>
      <c r="J51" s="27">
        <f t="shared" si="7"/>
        <v>0.44133333333333336</v>
      </c>
      <c r="K51" s="27">
        <v>0.14399999999999999</v>
      </c>
      <c r="L51" s="27">
        <v>26.946000000000002</v>
      </c>
      <c r="M51" s="27">
        <v>186.678</v>
      </c>
      <c r="N51" s="27">
        <v>4.8000000000000001E-2</v>
      </c>
      <c r="O51" s="27">
        <v>57.125</v>
      </c>
      <c r="P51" s="27">
        <v>0.13200000000000001</v>
      </c>
      <c r="Q51" s="27">
        <v>24.068999999999999</v>
      </c>
      <c r="R51" s="28">
        <v>182.44900000000001</v>
      </c>
    </row>
    <row r="52" spans="1:18" x14ac:dyDescent="0.3">
      <c r="A52" s="29">
        <v>45856</v>
      </c>
      <c r="B52" s="162" t="s">
        <v>98</v>
      </c>
      <c r="C52" s="30" t="s">
        <v>100</v>
      </c>
      <c r="D52" s="30" t="s">
        <v>21</v>
      </c>
      <c r="E52" s="30" t="s">
        <v>15</v>
      </c>
      <c r="F52" s="30" t="str">
        <f t="shared" si="6"/>
        <v>PFOS+6ppdqlow</v>
      </c>
      <c r="G52" s="30">
        <v>0.441</v>
      </c>
      <c r="H52" s="30">
        <v>0.46300000000000002</v>
      </c>
      <c r="I52" s="30">
        <v>0.45800000000000002</v>
      </c>
      <c r="J52" s="30">
        <f t="shared" si="7"/>
        <v>0.45400000000000001</v>
      </c>
      <c r="K52" s="30">
        <v>0.16300000000000001</v>
      </c>
      <c r="L52" s="30">
        <v>28.074000000000002</v>
      </c>
      <c r="M52" s="30">
        <v>172.755</v>
      </c>
      <c r="N52" s="30">
        <v>2.1000000000000001E-2</v>
      </c>
      <c r="O52" s="30">
        <v>42.040999999999997</v>
      </c>
      <c r="P52" s="30">
        <v>0.14099999999999999</v>
      </c>
      <c r="Q52" s="30">
        <v>25.948</v>
      </c>
      <c r="R52" s="31">
        <v>183.44800000000001</v>
      </c>
    </row>
    <row r="53" spans="1:18" ht="15" thickBot="1" x14ac:dyDescent="0.35">
      <c r="A53" s="32">
        <v>45856</v>
      </c>
      <c r="B53" s="163" t="s">
        <v>98</v>
      </c>
      <c r="C53" s="33" t="s">
        <v>100</v>
      </c>
      <c r="D53" s="33" t="s">
        <v>22</v>
      </c>
      <c r="E53" s="33" t="s">
        <v>15</v>
      </c>
      <c r="F53" s="33" t="str">
        <f t="shared" si="6"/>
        <v>PFOS+6ppdqhigh</v>
      </c>
      <c r="G53" s="33">
        <v>0.45600000000000002</v>
      </c>
      <c r="H53" s="33">
        <v>0.48199999999999998</v>
      </c>
      <c r="I53" s="33">
        <v>0.45200000000000001</v>
      </c>
      <c r="J53" s="33">
        <f t="shared" si="7"/>
        <v>0.46333333333333332</v>
      </c>
      <c r="K53" s="33">
        <v>0.183</v>
      </c>
      <c r="L53" s="33">
        <v>28.027999999999999</v>
      </c>
      <c r="M53" s="33">
        <v>152.774</v>
      </c>
      <c r="N53" s="33">
        <v>1.2999999999999999E-2</v>
      </c>
      <c r="O53" s="33">
        <v>36.283000000000001</v>
      </c>
      <c r="P53" s="33">
        <v>0.155</v>
      </c>
      <c r="Q53" s="33">
        <v>26.291</v>
      </c>
      <c r="R53" s="34">
        <v>170.11699999999999</v>
      </c>
    </row>
    <row r="54" spans="1:18" x14ac:dyDescent="0.3">
      <c r="A54" s="35">
        <v>45856</v>
      </c>
      <c r="B54" s="164" t="s">
        <v>98</v>
      </c>
      <c r="C54" s="36" t="s">
        <v>98</v>
      </c>
      <c r="D54" s="36" t="s">
        <v>21</v>
      </c>
      <c r="E54" s="36" t="s">
        <v>19</v>
      </c>
      <c r="F54" s="36" t="str">
        <f>C54&amp;D54&amp;E54</f>
        <v>PFOSlownutrients</v>
      </c>
      <c r="G54" s="36">
        <v>0.53900000000000003</v>
      </c>
      <c r="H54" s="36">
        <v>0.53400000000000003</v>
      </c>
      <c r="I54" s="36">
        <v>0.55500000000000005</v>
      </c>
      <c r="J54" s="36">
        <f t="shared" si="7"/>
        <v>0.54266666666666674</v>
      </c>
      <c r="K54" s="36">
        <v>0.17699999999999999</v>
      </c>
      <c r="L54" s="36">
        <v>42.529000000000003</v>
      </c>
      <c r="M54" s="36">
        <v>240.26300000000001</v>
      </c>
      <c r="N54" s="36">
        <v>5.0999999999999997E-2</v>
      </c>
      <c r="O54" s="36">
        <v>84.350999999999999</v>
      </c>
      <c r="P54" s="36">
        <v>0.156</v>
      </c>
      <c r="Q54" s="36">
        <v>40.338999999999999</v>
      </c>
      <c r="R54" s="37">
        <v>257.93400000000003</v>
      </c>
    </row>
    <row r="55" spans="1:18" x14ac:dyDescent="0.3">
      <c r="A55" s="38">
        <v>45856</v>
      </c>
      <c r="B55" s="165" t="s">
        <v>98</v>
      </c>
      <c r="C55" s="39" t="s">
        <v>98</v>
      </c>
      <c r="D55" s="39" t="s">
        <v>22</v>
      </c>
      <c r="E55" s="39" t="s">
        <v>19</v>
      </c>
      <c r="F55" s="39" t="str">
        <f t="shared" ref="F55:F61" si="8">C55&amp;D55&amp;E55</f>
        <v>PFOShighnutrients</v>
      </c>
      <c r="G55" s="39">
        <v>0.54</v>
      </c>
      <c r="H55" s="39">
        <v>0.54500000000000004</v>
      </c>
      <c r="I55" s="39">
        <v>0.54400000000000004</v>
      </c>
      <c r="J55" s="39">
        <f t="shared" si="7"/>
        <v>0.54300000000000004</v>
      </c>
      <c r="K55" s="39">
        <v>0.19400000000000001</v>
      </c>
      <c r="L55" s="39">
        <v>39.768999999999998</v>
      </c>
      <c r="M55" s="39">
        <v>204.756</v>
      </c>
      <c r="N55" s="39">
        <v>1.4E-2</v>
      </c>
      <c r="O55" s="39">
        <v>51.996000000000002</v>
      </c>
      <c r="P55" s="39">
        <v>0.16300000000000001</v>
      </c>
      <c r="Q55" s="39">
        <v>38.396999999999998</v>
      </c>
      <c r="R55" s="40">
        <v>235.68199999999999</v>
      </c>
    </row>
    <row r="56" spans="1:18" x14ac:dyDescent="0.3">
      <c r="A56" s="41">
        <v>45856</v>
      </c>
      <c r="B56" s="166" t="s">
        <v>98</v>
      </c>
      <c r="C56" s="42" t="s">
        <v>97</v>
      </c>
      <c r="D56" s="42" t="s">
        <v>21</v>
      </c>
      <c r="E56" s="42" t="s">
        <v>19</v>
      </c>
      <c r="F56" s="42" t="str">
        <f t="shared" si="8"/>
        <v>PFOS+Carblownutrients</v>
      </c>
      <c r="G56" s="42">
        <v>0.53300000000000003</v>
      </c>
      <c r="H56" s="42">
        <v>0.54100000000000004</v>
      </c>
      <c r="I56" s="42">
        <v>0.53800000000000003</v>
      </c>
      <c r="J56" s="42">
        <f t="shared" si="7"/>
        <v>0.53733333333333333</v>
      </c>
      <c r="K56" s="42">
        <v>0.2</v>
      </c>
      <c r="L56" s="42">
        <v>40.353000000000002</v>
      </c>
      <c r="M56" s="42">
        <v>202.04900000000001</v>
      </c>
      <c r="N56" s="42">
        <v>2.5000000000000001E-2</v>
      </c>
      <c r="O56" s="42">
        <v>59.798999999999999</v>
      </c>
      <c r="P56" s="42">
        <v>0.17299999999999999</v>
      </c>
      <c r="Q56" s="42">
        <v>38.192</v>
      </c>
      <c r="R56" s="43">
        <v>220.24600000000001</v>
      </c>
    </row>
    <row r="57" spans="1:18" x14ac:dyDescent="0.3">
      <c r="A57" s="44">
        <v>45856</v>
      </c>
      <c r="B57" s="167" t="s">
        <v>98</v>
      </c>
      <c r="C57" s="45" t="s">
        <v>97</v>
      </c>
      <c r="D57" s="45" t="s">
        <v>22</v>
      </c>
      <c r="E57" s="45" t="s">
        <v>19</v>
      </c>
      <c r="F57" s="45" t="str">
        <f t="shared" si="8"/>
        <v>PFOS+Carbhighnutrients</v>
      </c>
      <c r="G57" s="45">
        <v>0.498</v>
      </c>
      <c r="H57" s="45">
        <v>0.51100000000000001</v>
      </c>
      <c r="I57" s="45">
        <v>0.52300000000000002</v>
      </c>
      <c r="J57" s="45">
        <f t="shared" si="7"/>
        <v>0.51066666666666671</v>
      </c>
      <c r="K57" s="45">
        <v>0.191</v>
      </c>
      <c r="L57" s="45">
        <v>47.262999999999998</v>
      </c>
      <c r="M57" s="45">
        <v>247.58600000000001</v>
      </c>
      <c r="N57" s="45">
        <v>5.4619999999999997</v>
      </c>
      <c r="O57" s="45">
        <v>3739.8449999999998</v>
      </c>
      <c r="P57" s="45">
        <v>0.17199999999999999</v>
      </c>
      <c r="Q57" s="45">
        <v>43.779000000000003</v>
      </c>
      <c r="R57" s="46">
        <v>254.29499999999999</v>
      </c>
    </row>
    <row r="58" spans="1:18" x14ac:dyDescent="0.3">
      <c r="A58" s="47">
        <v>45856</v>
      </c>
      <c r="B58" s="168" t="s">
        <v>98</v>
      </c>
      <c r="C58" s="48" t="s">
        <v>99</v>
      </c>
      <c r="D58" s="48" t="s">
        <v>21</v>
      </c>
      <c r="E58" s="48" t="s">
        <v>19</v>
      </c>
      <c r="F58" s="48" t="str">
        <f t="shared" si="8"/>
        <v>PFOS+Diclownutrients</v>
      </c>
      <c r="G58" s="48">
        <v>0.496</v>
      </c>
      <c r="H58" s="48">
        <v>0.50600000000000001</v>
      </c>
      <c r="I58" s="48">
        <v>0.504</v>
      </c>
      <c r="J58" s="48">
        <f t="shared" si="7"/>
        <v>0.502</v>
      </c>
      <c r="K58" s="48">
        <v>0.17799999999999999</v>
      </c>
      <c r="L58" s="48">
        <v>40.308</v>
      </c>
      <c r="M58" s="48">
        <v>226.274</v>
      </c>
      <c r="N58" s="48">
        <v>0.17299999999999999</v>
      </c>
      <c r="O58" s="48">
        <v>157.792</v>
      </c>
      <c r="P58" s="48">
        <v>0.16500000000000001</v>
      </c>
      <c r="Q58" s="48">
        <v>36.598999999999997</v>
      </c>
      <c r="R58" s="49">
        <v>221.18100000000001</v>
      </c>
    </row>
    <row r="59" spans="1:18" x14ac:dyDescent="0.3">
      <c r="A59" s="50">
        <v>45856</v>
      </c>
      <c r="B59" s="169" t="s">
        <v>98</v>
      </c>
      <c r="C59" s="51" t="s">
        <v>99</v>
      </c>
      <c r="D59" s="51" t="s">
        <v>22</v>
      </c>
      <c r="E59" s="51" t="s">
        <v>19</v>
      </c>
      <c r="F59" s="51" t="str">
        <f t="shared" si="8"/>
        <v>PFOS+Dichighnutrients</v>
      </c>
      <c r="G59" s="51">
        <v>0.48199999999999998</v>
      </c>
      <c r="H59" s="51">
        <v>0.49199999999999999</v>
      </c>
      <c r="I59" s="51">
        <v>0.48799999999999999</v>
      </c>
      <c r="J59" s="51">
        <f t="shared" si="7"/>
        <v>0.48733333333333334</v>
      </c>
      <c r="K59" s="51">
        <v>0.20799999999999999</v>
      </c>
      <c r="L59" s="51">
        <v>39.914999999999999</v>
      </c>
      <c r="M59" s="51">
        <v>191.55699999999999</v>
      </c>
      <c r="N59" s="51">
        <v>8.0000000000000002E-3</v>
      </c>
      <c r="O59" s="51">
        <v>47.027000000000001</v>
      </c>
      <c r="P59" s="51">
        <v>0.16700000000000001</v>
      </c>
      <c r="Q59" s="51">
        <v>39.131999999999998</v>
      </c>
      <c r="R59" s="52">
        <v>234.452</v>
      </c>
    </row>
    <row r="60" spans="1:18" x14ac:dyDescent="0.3">
      <c r="A60" s="53">
        <v>45856</v>
      </c>
      <c r="B60" s="170" t="s">
        <v>98</v>
      </c>
      <c r="C60" s="54" t="s">
        <v>100</v>
      </c>
      <c r="D60" s="54" t="s">
        <v>21</v>
      </c>
      <c r="E60" s="54" t="s">
        <v>19</v>
      </c>
      <c r="F60" s="54" t="str">
        <f t="shared" si="8"/>
        <v>PFOS+6ppdqlownutrients</v>
      </c>
      <c r="G60" s="54">
        <v>0.51300000000000001</v>
      </c>
      <c r="H60" s="54">
        <v>0.51300000000000001</v>
      </c>
      <c r="I60" s="54">
        <v>0.51300000000000001</v>
      </c>
      <c r="J60" s="54">
        <f t="shared" si="7"/>
        <v>0.51300000000000001</v>
      </c>
      <c r="K60" s="54">
        <v>0.18</v>
      </c>
      <c r="L60" s="54">
        <v>38.832999999999998</v>
      </c>
      <c r="M60" s="54">
        <v>216.10499999999999</v>
      </c>
      <c r="N60" s="54">
        <v>1.4E-2</v>
      </c>
      <c r="O60" s="54">
        <v>51.237000000000002</v>
      </c>
      <c r="P60" s="54">
        <v>0.15</v>
      </c>
      <c r="Q60" s="54">
        <v>37.673000000000002</v>
      </c>
      <c r="R60" s="55">
        <v>250.79900000000001</v>
      </c>
    </row>
    <row r="61" spans="1:18" ht="15" thickBot="1" x14ac:dyDescent="0.35">
      <c r="A61" s="56">
        <v>45856</v>
      </c>
      <c r="B61" s="171" t="s">
        <v>98</v>
      </c>
      <c r="C61" s="57" t="s">
        <v>100</v>
      </c>
      <c r="D61" s="57" t="s">
        <v>22</v>
      </c>
      <c r="E61" s="57" t="s">
        <v>19</v>
      </c>
      <c r="F61" s="57" t="str">
        <f t="shared" si="8"/>
        <v>PFOS+6ppdqhighnutrients</v>
      </c>
      <c r="G61" s="57">
        <v>0.53200000000000003</v>
      </c>
      <c r="H61" s="57">
        <v>0.52700000000000002</v>
      </c>
      <c r="I61" s="57">
        <v>0.52500000000000002</v>
      </c>
      <c r="J61" s="57">
        <f t="shared" si="7"/>
        <v>0.52800000000000002</v>
      </c>
      <c r="K61" s="57">
        <v>0.214</v>
      </c>
      <c r="L61" s="57">
        <v>47.826999999999998</v>
      </c>
      <c r="M61" s="57">
        <v>223.209</v>
      </c>
      <c r="N61" s="57">
        <v>2.1000000000000001E-2</v>
      </c>
      <c r="O61" s="57">
        <v>66.286000000000001</v>
      </c>
      <c r="P61" s="57">
        <v>0.17799999999999999</v>
      </c>
      <c r="Q61" s="57">
        <v>46.53</v>
      </c>
      <c r="R61" s="58">
        <v>260.92599999999999</v>
      </c>
    </row>
    <row r="62" spans="1:18" x14ac:dyDescent="0.3">
      <c r="A62" s="5">
        <v>45856</v>
      </c>
      <c r="B62" s="153" t="s">
        <v>181</v>
      </c>
      <c r="C62" s="2" t="s">
        <v>14</v>
      </c>
      <c r="D62" s="2"/>
      <c r="E62" s="2" t="s">
        <v>15</v>
      </c>
      <c r="F62" s="2" t="str">
        <f>C62&amp;D62</f>
        <v>control</v>
      </c>
      <c r="G62" s="2">
        <v>0.52500000000000002</v>
      </c>
      <c r="H62" s="2">
        <v>0.53700000000000003</v>
      </c>
      <c r="I62" s="2">
        <v>0.53500000000000003</v>
      </c>
      <c r="J62">
        <f>AVERAGE(G62:I62)</f>
        <v>0.53233333333333333</v>
      </c>
      <c r="K62" s="2">
        <v>0.19900000000000001</v>
      </c>
      <c r="L62" s="2">
        <v>37.063000000000002</v>
      </c>
      <c r="M62" s="2">
        <v>186.006</v>
      </c>
      <c r="N62" s="2">
        <v>4.4999999999999998E-2</v>
      </c>
      <c r="O62" s="2">
        <v>66.608000000000004</v>
      </c>
      <c r="P62" s="2">
        <v>0.17799999999999999</v>
      </c>
      <c r="Q62" s="2">
        <v>33.765000000000001</v>
      </c>
      <c r="R62" s="4">
        <v>190.048</v>
      </c>
    </row>
    <row r="63" spans="1:18" x14ac:dyDescent="0.3">
      <c r="A63" s="6">
        <v>45856</v>
      </c>
      <c r="B63" s="154" t="s">
        <v>181</v>
      </c>
      <c r="C63" t="s">
        <v>16</v>
      </c>
      <c r="E63" t="s">
        <v>15</v>
      </c>
      <c r="F63" t="str">
        <f t="shared" ref="F63:F73" si="9">C63&amp;D63</f>
        <v>solvent control</v>
      </c>
      <c r="G63">
        <v>0.54700000000000004</v>
      </c>
      <c r="H63">
        <v>0.55300000000000005</v>
      </c>
      <c r="I63">
        <v>0.56899999999999995</v>
      </c>
      <c r="J63">
        <f>AVERAGE(G63:I63)</f>
        <v>0.55633333333333335</v>
      </c>
      <c r="N63">
        <v>-1E-3</v>
      </c>
      <c r="O63">
        <v>43.173999999999999</v>
      </c>
      <c r="P63">
        <v>0.153</v>
      </c>
      <c r="Q63">
        <v>42.588999999999999</v>
      </c>
      <c r="R63" s="7">
        <v>279.09500000000003</v>
      </c>
    </row>
    <row r="64" spans="1:18" x14ac:dyDescent="0.3">
      <c r="A64" s="6">
        <v>45856</v>
      </c>
      <c r="B64" s="154" t="s">
        <v>181</v>
      </c>
      <c r="C64" t="s">
        <v>17</v>
      </c>
      <c r="F64" t="str">
        <f t="shared" si="9"/>
        <v>nutrient control</v>
      </c>
      <c r="G64">
        <v>0.60799999999999998</v>
      </c>
      <c r="H64">
        <v>0.59699999999999998</v>
      </c>
      <c r="I64">
        <v>0.60899999999999999</v>
      </c>
      <c r="J64">
        <f t="shared" ref="J64:J81" si="10">AVERAGE(G64:I64)</f>
        <v>0.60466666666666669</v>
      </c>
      <c r="K64">
        <v>0.22</v>
      </c>
      <c r="L64">
        <v>62.790999999999997</v>
      </c>
      <c r="M64">
        <v>285.18700000000001</v>
      </c>
      <c r="N64">
        <v>3.9809999999999999</v>
      </c>
      <c r="O64">
        <v>3171.25</v>
      </c>
      <c r="P64">
        <v>0.192</v>
      </c>
      <c r="Q64">
        <v>60.411000000000001</v>
      </c>
      <c r="R64" s="7">
        <v>314.58800000000002</v>
      </c>
    </row>
    <row r="65" spans="1:18" ht="15" thickBot="1" x14ac:dyDescent="0.35">
      <c r="A65" s="8">
        <v>45856</v>
      </c>
      <c r="B65" s="155" t="s">
        <v>181</v>
      </c>
      <c r="C65" s="9" t="s">
        <v>18</v>
      </c>
      <c r="D65" s="9"/>
      <c r="E65" s="9" t="s">
        <v>19</v>
      </c>
      <c r="F65" s="9" t="str">
        <f>C65&amp;D65</f>
        <v>nutrient control (with solvent)</v>
      </c>
      <c r="G65" s="9">
        <v>0.57599999999999996</v>
      </c>
      <c r="H65" s="9">
        <v>0.59499999999999997</v>
      </c>
      <c r="I65" s="9">
        <v>0.58599999999999997</v>
      </c>
      <c r="J65" s="9">
        <f t="shared" si="10"/>
        <v>0.58566666666666656</v>
      </c>
      <c r="K65" s="9">
        <v>0.19500000000000001</v>
      </c>
      <c r="L65" s="9">
        <v>47.701999999999998</v>
      </c>
      <c r="M65" s="9">
        <v>244.136</v>
      </c>
      <c r="N65" s="9">
        <v>0.13200000000000001</v>
      </c>
      <c r="O65" s="9">
        <v>147.39400000000001</v>
      </c>
      <c r="P65" s="9">
        <v>0.18</v>
      </c>
      <c r="Q65" s="9">
        <v>44.253</v>
      </c>
      <c r="R65" s="10">
        <v>245.434</v>
      </c>
    </row>
    <row r="66" spans="1:18" x14ac:dyDescent="0.3">
      <c r="A66" s="11">
        <v>45856</v>
      </c>
      <c r="B66" s="156" t="s">
        <v>181</v>
      </c>
      <c r="C66" s="12" t="s">
        <v>123</v>
      </c>
      <c r="D66" s="12" t="s">
        <v>21</v>
      </c>
      <c r="E66" s="12" t="s">
        <v>15</v>
      </c>
      <c r="F66" s="12" t="str">
        <f t="shared" si="9"/>
        <v>6ppdqlow</v>
      </c>
      <c r="G66" s="12">
        <v>0.502</v>
      </c>
      <c r="H66" s="12">
        <v>0.51400000000000001</v>
      </c>
      <c r="I66" s="12">
        <v>0.504</v>
      </c>
      <c r="J66" s="12">
        <f t="shared" si="10"/>
        <v>0.50666666666666671</v>
      </c>
      <c r="K66" s="12">
        <v>0.17199999999999999</v>
      </c>
      <c r="L66" s="12">
        <v>28.295000000000002</v>
      </c>
      <c r="M66" s="12">
        <v>164.93299999999999</v>
      </c>
      <c r="N66" s="12">
        <v>1.6E-2</v>
      </c>
      <c r="O66" s="12">
        <v>39.003999999999998</v>
      </c>
      <c r="P66" s="12">
        <v>0.14599999999999999</v>
      </c>
      <c r="Q66" s="12">
        <v>26.443000000000001</v>
      </c>
      <c r="R66" s="13">
        <v>181.32</v>
      </c>
    </row>
    <row r="67" spans="1:18" x14ac:dyDescent="0.3">
      <c r="A67" s="14">
        <v>45856</v>
      </c>
      <c r="B67" s="157" t="s">
        <v>181</v>
      </c>
      <c r="C67" s="15" t="s">
        <v>123</v>
      </c>
      <c r="D67" s="15" t="s">
        <v>22</v>
      </c>
      <c r="E67" s="15" t="s">
        <v>15</v>
      </c>
      <c r="F67" s="15" t="str">
        <f t="shared" si="9"/>
        <v>6ppdqhigh</v>
      </c>
      <c r="G67" s="15">
        <v>0.497</v>
      </c>
      <c r="H67" s="15">
        <v>0.48299999999999998</v>
      </c>
      <c r="I67" s="15">
        <v>0.49</v>
      </c>
      <c r="J67" s="15">
        <f t="shared" si="10"/>
        <v>0.49</v>
      </c>
      <c r="K67" s="15">
        <v>0.18</v>
      </c>
      <c r="L67" s="15">
        <v>30.67</v>
      </c>
      <c r="M67" s="15">
        <v>170.024</v>
      </c>
      <c r="N67" s="15">
        <v>6.0000000000000001E-3</v>
      </c>
      <c r="O67" s="15">
        <v>35.805999999999997</v>
      </c>
      <c r="P67" s="15">
        <v>0.14299999999999999</v>
      </c>
      <c r="Q67" s="15">
        <v>29.931000000000001</v>
      </c>
      <c r="R67" s="16">
        <v>208.75899999999999</v>
      </c>
    </row>
    <row r="68" spans="1:18" x14ac:dyDescent="0.3">
      <c r="A68" s="17">
        <v>45856</v>
      </c>
      <c r="B68" s="158" t="s">
        <v>181</v>
      </c>
      <c r="C68" s="18" t="s">
        <v>124</v>
      </c>
      <c r="D68" s="18" t="s">
        <v>21</v>
      </c>
      <c r="E68" s="18" t="s">
        <v>15</v>
      </c>
      <c r="F68" s="18" t="str">
        <f t="shared" si="9"/>
        <v>6ppdq+Carblow</v>
      </c>
      <c r="G68" s="18">
        <v>0.48899999999999999</v>
      </c>
      <c r="H68" s="18">
        <v>0.47799999999999998</v>
      </c>
      <c r="I68" s="18">
        <v>0.48899999999999999</v>
      </c>
      <c r="J68" s="18">
        <f t="shared" si="10"/>
        <v>0.48533333333333334</v>
      </c>
      <c r="K68" s="18">
        <v>0.16900000000000001</v>
      </c>
      <c r="L68" s="18">
        <v>27.341000000000001</v>
      </c>
      <c r="M68" s="18">
        <v>161.58000000000001</v>
      </c>
      <c r="N68" s="18">
        <v>1.4E-2</v>
      </c>
      <c r="O68" s="18">
        <v>36.512</v>
      </c>
      <c r="P68" s="18">
        <v>0.14599999999999999</v>
      </c>
      <c r="Q68" s="18">
        <v>25.542000000000002</v>
      </c>
      <c r="R68" s="19">
        <v>174.994</v>
      </c>
    </row>
    <row r="69" spans="1:18" x14ac:dyDescent="0.3">
      <c r="A69" s="20">
        <v>45856</v>
      </c>
      <c r="B69" s="159" t="s">
        <v>181</v>
      </c>
      <c r="C69" s="21" t="s">
        <v>124</v>
      </c>
      <c r="D69" s="21" t="s">
        <v>22</v>
      </c>
      <c r="E69" s="21" t="s">
        <v>15</v>
      </c>
      <c r="F69" s="21" t="str">
        <f t="shared" si="9"/>
        <v>6ppdq+Carbhigh</v>
      </c>
      <c r="G69" s="21">
        <v>0.49299999999999999</v>
      </c>
      <c r="H69" s="21">
        <v>0.51300000000000001</v>
      </c>
      <c r="I69" s="21">
        <v>0.49399999999999999</v>
      </c>
      <c r="J69" s="21">
        <f t="shared" si="10"/>
        <v>0.5</v>
      </c>
      <c r="K69" s="21">
        <v>0.16600000000000001</v>
      </c>
      <c r="L69" s="21">
        <v>31.626000000000001</v>
      </c>
      <c r="M69" s="21">
        <v>190.303</v>
      </c>
      <c r="N69" s="21">
        <v>4.2000000000000003E-2</v>
      </c>
      <c r="O69" s="21">
        <v>59.658000000000001</v>
      </c>
      <c r="P69" s="21">
        <v>0.154</v>
      </c>
      <c r="Q69" s="21">
        <v>28.54</v>
      </c>
      <c r="R69" s="22">
        <v>185.119</v>
      </c>
    </row>
    <row r="70" spans="1:18" x14ac:dyDescent="0.3">
      <c r="A70" s="23">
        <v>45856</v>
      </c>
      <c r="B70" s="160" t="s">
        <v>181</v>
      </c>
      <c r="C70" s="24" t="s">
        <v>125</v>
      </c>
      <c r="D70" s="24" t="s">
        <v>21</v>
      </c>
      <c r="E70" s="24" t="s">
        <v>15</v>
      </c>
      <c r="F70" s="24" t="str">
        <f t="shared" si="9"/>
        <v>6ppdq+Diclow</v>
      </c>
      <c r="G70" s="24">
        <v>0.499</v>
      </c>
      <c r="H70" s="24">
        <v>0.46899999999999997</v>
      </c>
      <c r="I70" s="24">
        <v>0.51100000000000001</v>
      </c>
      <c r="J70" s="24">
        <f t="shared" si="10"/>
        <v>0.49300000000000005</v>
      </c>
      <c r="K70" s="24">
        <v>0.16600000000000001</v>
      </c>
      <c r="L70" s="24">
        <v>30.79</v>
      </c>
      <c r="M70" s="24">
        <v>185.77500000000001</v>
      </c>
      <c r="N70" s="24">
        <v>1.7999999999999999E-2</v>
      </c>
      <c r="O70" s="24">
        <v>43.814</v>
      </c>
      <c r="P70" s="24">
        <v>0.14099999999999999</v>
      </c>
      <c r="Q70" s="24">
        <v>29.074999999999999</v>
      </c>
      <c r="R70" s="25">
        <v>205.5</v>
      </c>
    </row>
    <row r="71" spans="1:18" x14ac:dyDescent="0.3">
      <c r="A71" s="26">
        <v>45856</v>
      </c>
      <c r="B71" s="161" t="s">
        <v>181</v>
      </c>
      <c r="C71" s="27" t="s">
        <v>125</v>
      </c>
      <c r="D71" s="27" t="s">
        <v>22</v>
      </c>
      <c r="E71" s="27" t="s">
        <v>15</v>
      </c>
      <c r="F71" s="27" t="str">
        <f t="shared" si="9"/>
        <v>6ppdq+Dichigh</v>
      </c>
      <c r="G71" s="27">
        <v>0.54500000000000004</v>
      </c>
      <c r="H71" s="27">
        <v>0.52</v>
      </c>
      <c r="I71" s="27">
        <v>0.51900000000000002</v>
      </c>
      <c r="J71" s="27">
        <f t="shared" si="10"/>
        <v>0.52800000000000002</v>
      </c>
      <c r="K71" s="27">
        <v>0.187</v>
      </c>
      <c r="L71" s="27">
        <v>30.716000000000001</v>
      </c>
      <c r="M71" s="27">
        <v>164.071</v>
      </c>
      <c r="N71" s="27">
        <v>7.0000000000000001E-3</v>
      </c>
      <c r="O71" s="27">
        <v>36.01</v>
      </c>
      <c r="P71" s="27">
        <v>0.152</v>
      </c>
      <c r="Q71" s="27">
        <v>29.696000000000002</v>
      </c>
      <c r="R71" s="28">
        <v>194.791</v>
      </c>
    </row>
    <row r="72" spans="1:18" x14ac:dyDescent="0.3">
      <c r="A72" s="29">
        <v>45856</v>
      </c>
      <c r="B72" s="162" t="s">
        <v>181</v>
      </c>
      <c r="C72" s="30" t="s">
        <v>126</v>
      </c>
      <c r="D72" s="30" t="s">
        <v>21</v>
      </c>
      <c r="E72" s="30" t="s">
        <v>15</v>
      </c>
      <c r="F72" s="30" t="str">
        <f t="shared" si="9"/>
        <v>6ppdq+PFOSlow</v>
      </c>
      <c r="G72" s="30">
        <v>0.49099999999999999</v>
      </c>
      <c r="H72" s="30">
        <v>0.47099999999999997</v>
      </c>
      <c r="I72" s="30">
        <v>0.47699999999999998</v>
      </c>
      <c r="J72" s="30">
        <f t="shared" si="10"/>
        <v>0.47966666666666669</v>
      </c>
      <c r="K72" s="30">
        <v>0.19</v>
      </c>
      <c r="L72" s="30">
        <v>32.838999999999999</v>
      </c>
      <c r="M72" s="30">
        <v>172.601</v>
      </c>
      <c r="N72" s="30">
        <v>2.1999999999999999E-2</v>
      </c>
      <c r="O72" s="30">
        <v>47.631999999999998</v>
      </c>
      <c r="P72" s="30">
        <v>0.16300000000000001</v>
      </c>
      <c r="Q72" s="30">
        <v>30.61</v>
      </c>
      <c r="R72" s="31">
        <v>188.17699999999999</v>
      </c>
    </row>
    <row r="73" spans="1:18" ht="15" thickBot="1" x14ac:dyDescent="0.35">
      <c r="A73" s="32">
        <v>45856</v>
      </c>
      <c r="B73" s="163" t="s">
        <v>181</v>
      </c>
      <c r="C73" s="33" t="s">
        <v>126</v>
      </c>
      <c r="D73" s="33" t="s">
        <v>22</v>
      </c>
      <c r="E73" s="33" t="s">
        <v>15</v>
      </c>
      <c r="F73" s="33" t="str">
        <f t="shared" si="9"/>
        <v>6ppdq+PFOShigh</v>
      </c>
      <c r="G73" s="33">
        <v>0.48</v>
      </c>
      <c r="H73" s="33">
        <v>0.47699999999999998</v>
      </c>
      <c r="I73" s="33">
        <v>0.49099999999999999</v>
      </c>
      <c r="J73" s="33">
        <f t="shared" si="10"/>
        <v>0.48266666666666663</v>
      </c>
      <c r="K73" s="33">
        <v>0.16300000000000001</v>
      </c>
      <c r="L73" s="33">
        <v>29.972000000000001</v>
      </c>
      <c r="M73" s="33">
        <v>183.48699999999999</v>
      </c>
      <c r="N73" s="33">
        <v>2E-3</v>
      </c>
      <c r="O73" s="33">
        <v>32.042999999999999</v>
      </c>
      <c r="P73" s="33">
        <v>0.128</v>
      </c>
      <c r="Q73" s="33">
        <v>29.478000000000002</v>
      </c>
      <c r="R73" s="34">
        <v>229.64400000000001</v>
      </c>
    </row>
    <row r="74" spans="1:18" x14ac:dyDescent="0.3">
      <c r="A74" s="35">
        <v>45856</v>
      </c>
      <c r="B74" s="164" t="s">
        <v>181</v>
      </c>
      <c r="C74" s="36" t="s">
        <v>123</v>
      </c>
      <c r="D74" s="36" t="s">
        <v>21</v>
      </c>
      <c r="E74" s="36" t="s">
        <v>19</v>
      </c>
      <c r="F74" s="36" t="str">
        <f>C74&amp;D74&amp;E74</f>
        <v>6ppdqlownutrients</v>
      </c>
      <c r="G74" s="36">
        <v>0.58399999999999996</v>
      </c>
      <c r="H74" s="36">
        <v>0.57999999999999996</v>
      </c>
      <c r="I74" s="36">
        <v>0.58699999999999997</v>
      </c>
      <c r="J74" s="36">
        <f t="shared" si="10"/>
        <v>0.58366666666666667</v>
      </c>
      <c r="K74" s="36">
        <v>0.24399999999999999</v>
      </c>
      <c r="L74" s="36">
        <v>41.548000000000002</v>
      </c>
      <c r="M74" s="36">
        <v>170.43299999999999</v>
      </c>
      <c r="N74" s="36">
        <v>1.2999999999999999E-2</v>
      </c>
      <c r="O74" s="36">
        <v>51.594000000000001</v>
      </c>
      <c r="P74" s="36">
        <v>0.19800000000000001</v>
      </c>
      <c r="Q74" s="36">
        <v>40.036000000000001</v>
      </c>
      <c r="R74" s="37">
        <v>202.29900000000001</v>
      </c>
    </row>
    <row r="75" spans="1:18" x14ac:dyDescent="0.3">
      <c r="A75" s="38">
        <v>45856</v>
      </c>
      <c r="B75" s="165" t="s">
        <v>181</v>
      </c>
      <c r="C75" s="39" t="s">
        <v>123</v>
      </c>
      <c r="D75" s="39" t="s">
        <v>22</v>
      </c>
      <c r="E75" s="39" t="s">
        <v>19</v>
      </c>
      <c r="F75" s="39" t="str">
        <f t="shared" ref="F75:F81" si="11">C75&amp;D75&amp;E75</f>
        <v>6ppdqhighnutrients</v>
      </c>
      <c r="G75" s="39">
        <v>0.59699999999999998</v>
      </c>
      <c r="H75" s="39">
        <v>0.59399999999999997</v>
      </c>
      <c r="I75" s="39">
        <v>0.60299999999999998</v>
      </c>
      <c r="J75" s="39">
        <f t="shared" si="10"/>
        <v>0.59799999999999998</v>
      </c>
      <c r="K75" s="39">
        <v>0.222</v>
      </c>
      <c r="L75" s="39">
        <v>49.713000000000001</v>
      </c>
      <c r="M75" s="39">
        <v>223.79499999999999</v>
      </c>
      <c r="N75" s="39">
        <v>2E-3</v>
      </c>
      <c r="O75" s="39">
        <v>52.17</v>
      </c>
      <c r="P75" s="39">
        <v>0.17299999999999999</v>
      </c>
      <c r="Q75" s="39">
        <v>48.926000000000002</v>
      </c>
      <c r="R75" s="40">
        <v>282.18200000000002</v>
      </c>
    </row>
    <row r="76" spans="1:18" x14ac:dyDescent="0.3">
      <c r="A76" s="41">
        <v>45856</v>
      </c>
      <c r="B76" s="166" t="s">
        <v>181</v>
      </c>
      <c r="C76" s="42" t="s">
        <v>124</v>
      </c>
      <c r="D76" s="42" t="s">
        <v>21</v>
      </c>
      <c r="E76" s="42" t="s">
        <v>19</v>
      </c>
      <c r="F76" s="42" t="str">
        <f t="shared" si="11"/>
        <v>6ppdq+Carblownutrients</v>
      </c>
      <c r="G76" s="42">
        <v>0.61299999999999999</v>
      </c>
      <c r="H76" s="42">
        <v>0.61</v>
      </c>
      <c r="I76" s="42">
        <v>0.59899999999999998</v>
      </c>
      <c r="J76" s="42">
        <f t="shared" si="10"/>
        <v>0.60733333333333328</v>
      </c>
      <c r="K76" s="42">
        <v>0.215</v>
      </c>
      <c r="L76" s="42">
        <v>49.014000000000003</v>
      </c>
      <c r="M76" s="42">
        <v>228.238</v>
      </c>
      <c r="N76" s="42">
        <v>1.9E-2</v>
      </c>
      <c r="O76" s="42">
        <v>66.635000000000005</v>
      </c>
      <c r="P76" s="42">
        <v>0.17899999999999999</v>
      </c>
      <c r="Q76" s="42">
        <v>47.802</v>
      </c>
      <c r="R76" s="43">
        <v>267.64499999999998</v>
      </c>
    </row>
    <row r="77" spans="1:18" x14ac:dyDescent="0.3">
      <c r="A77" s="44">
        <v>45856</v>
      </c>
      <c r="B77" s="167" t="s">
        <v>181</v>
      </c>
      <c r="C77" s="45" t="s">
        <v>124</v>
      </c>
      <c r="D77" s="45" t="s">
        <v>22</v>
      </c>
      <c r="E77" s="45" t="s">
        <v>19</v>
      </c>
      <c r="F77" s="45" t="str">
        <f t="shared" si="11"/>
        <v>6ppdq+Carbhighnutrients</v>
      </c>
      <c r="G77" s="45">
        <v>0.59799999999999998</v>
      </c>
      <c r="H77" s="45">
        <v>0.60299999999999998</v>
      </c>
      <c r="I77" s="45">
        <v>0.59599999999999997</v>
      </c>
      <c r="J77" s="45">
        <f t="shared" si="10"/>
        <v>0.59900000000000009</v>
      </c>
      <c r="K77" s="45">
        <v>0.21</v>
      </c>
      <c r="L77" s="45">
        <v>56.66</v>
      </c>
      <c r="M77" s="45">
        <v>270.39299999999997</v>
      </c>
      <c r="N77" s="45">
        <v>0.11700000000000001</v>
      </c>
      <c r="O77" s="45">
        <v>156.47499999999999</v>
      </c>
      <c r="P77" s="45">
        <v>0.188</v>
      </c>
      <c r="Q77" s="45">
        <v>54.08</v>
      </c>
      <c r="R77" s="46">
        <v>287.983</v>
      </c>
    </row>
    <row r="78" spans="1:18" x14ac:dyDescent="0.3">
      <c r="A78" s="47">
        <v>45856</v>
      </c>
      <c r="B78" s="168" t="s">
        <v>181</v>
      </c>
      <c r="C78" s="48" t="s">
        <v>125</v>
      </c>
      <c r="D78" s="48" t="s">
        <v>21</v>
      </c>
      <c r="E78" s="48" t="s">
        <v>19</v>
      </c>
      <c r="F78" s="48" t="str">
        <f t="shared" si="11"/>
        <v>6ppdq+Diclownutrients</v>
      </c>
      <c r="G78" s="48">
        <v>0.57999999999999996</v>
      </c>
      <c r="H78" s="48">
        <v>0.57599999999999996</v>
      </c>
      <c r="I78" s="48">
        <v>0.58899999999999997</v>
      </c>
      <c r="J78" s="48">
        <f t="shared" si="10"/>
        <v>0.58166666666666667</v>
      </c>
      <c r="K78" s="48">
        <v>0.21299999999999999</v>
      </c>
      <c r="L78" s="48">
        <v>49.594999999999999</v>
      </c>
      <c r="M78" s="48">
        <v>232.43799999999999</v>
      </c>
      <c r="N78" s="48">
        <v>1.6E-2</v>
      </c>
      <c r="O78" s="48">
        <v>65.477999999999994</v>
      </c>
      <c r="P78" s="48">
        <v>0.17799999999999999</v>
      </c>
      <c r="Q78" s="48">
        <v>48.41</v>
      </c>
      <c r="R78" s="49">
        <v>271.86799999999999</v>
      </c>
    </row>
    <row r="79" spans="1:18" x14ac:dyDescent="0.3">
      <c r="A79" s="50">
        <v>45856</v>
      </c>
      <c r="B79" s="169" t="s">
        <v>181</v>
      </c>
      <c r="C79" s="51" t="s">
        <v>125</v>
      </c>
      <c r="D79" s="51" t="s">
        <v>22</v>
      </c>
      <c r="E79" s="51" t="s">
        <v>19</v>
      </c>
      <c r="F79" s="51" t="str">
        <f t="shared" si="11"/>
        <v>6ppdq+Dichighnutrients</v>
      </c>
      <c r="G79" s="51">
        <v>0.57699999999999996</v>
      </c>
      <c r="H79" s="51">
        <v>0.57299999999999995</v>
      </c>
      <c r="I79" s="51">
        <v>0.55800000000000005</v>
      </c>
      <c r="J79" s="51">
        <f t="shared" si="10"/>
        <v>0.56933333333333336</v>
      </c>
      <c r="K79" s="51">
        <v>0.223</v>
      </c>
      <c r="L79" s="51">
        <v>50.77</v>
      </c>
      <c r="M79" s="51">
        <v>227.24199999999999</v>
      </c>
      <c r="N79" s="51">
        <v>2.5000000000000001E-2</v>
      </c>
      <c r="O79" s="51">
        <v>73.087999999999994</v>
      </c>
      <c r="P79" s="51">
        <v>0.188</v>
      </c>
      <c r="Q79" s="51">
        <v>49.25</v>
      </c>
      <c r="R79" s="52">
        <v>262.255</v>
      </c>
    </row>
    <row r="80" spans="1:18" x14ac:dyDescent="0.3">
      <c r="A80" s="53">
        <v>45856</v>
      </c>
      <c r="B80" s="170" t="s">
        <v>181</v>
      </c>
      <c r="C80" s="54" t="s">
        <v>126</v>
      </c>
      <c r="D80" s="54" t="s">
        <v>21</v>
      </c>
      <c r="E80" s="54" t="s">
        <v>19</v>
      </c>
      <c r="F80" s="54" t="str">
        <f t="shared" si="11"/>
        <v>6ppdq+PFOSlownutrients</v>
      </c>
      <c r="G80" s="54">
        <v>0.57599999999999996</v>
      </c>
      <c r="H80" s="54">
        <v>0.57899999999999996</v>
      </c>
      <c r="I80" s="54">
        <v>0.59799999999999998</v>
      </c>
      <c r="J80" s="54">
        <f t="shared" si="10"/>
        <v>0.58433333333333326</v>
      </c>
      <c r="K80" s="54">
        <v>0.23499999999999999</v>
      </c>
      <c r="L80" s="54">
        <v>67.412999999999997</v>
      </c>
      <c r="M80" s="54">
        <v>286.87799999999999</v>
      </c>
      <c r="N80" s="54">
        <v>6.4889999999999999</v>
      </c>
      <c r="O80" s="54">
        <v>5151.57</v>
      </c>
      <c r="P80" s="54">
        <v>0.20300000000000001</v>
      </c>
      <c r="Q80" s="54">
        <v>65.191999999999993</v>
      </c>
      <c r="R80" s="55">
        <v>320.65899999999999</v>
      </c>
    </row>
    <row r="81" spans="1:18" ht="15" thickBot="1" x14ac:dyDescent="0.35">
      <c r="A81" s="56">
        <v>45856</v>
      </c>
      <c r="B81" s="171" t="s">
        <v>181</v>
      </c>
      <c r="C81" s="57" t="s">
        <v>126</v>
      </c>
      <c r="D81" s="57" t="s">
        <v>22</v>
      </c>
      <c r="E81" s="57" t="s">
        <v>19</v>
      </c>
      <c r="F81" s="57" t="str">
        <f t="shared" si="11"/>
        <v>6ppdq+PFOShighnutrients</v>
      </c>
      <c r="G81" s="57">
        <v>0.60799999999999998</v>
      </c>
      <c r="H81" s="57">
        <v>0.6</v>
      </c>
      <c r="I81" s="57">
        <v>0.60299999999999998</v>
      </c>
      <c r="J81" s="57">
        <f t="shared" si="10"/>
        <v>0.60366666666666668</v>
      </c>
      <c r="K81" s="57">
        <v>0.25</v>
      </c>
      <c r="L81" s="57">
        <v>49.423999999999999</v>
      </c>
      <c r="M81" s="57">
        <v>197.39500000000001</v>
      </c>
      <c r="N81" s="57">
        <v>1.7999999999999999E-2</v>
      </c>
      <c r="O81" s="57">
        <v>64.679000000000002</v>
      </c>
      <c r="P81" s="57">
        <v>0.20599999999999999</v>
      </c>
      <c r="Q81" s="57">
        <v>47.819000000000003</v>
      </c>
      <c r="R81" s="58">
        <v>231.571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Carb_RFU</vt:lpstr>
      <vt:lpstr>Carb_standardcurve</vt:lpstr>
      <vt:lpstr>Carb_Biomass</vt:lpstr>
      <vt:lpstr>Carb_PAM</vt:lpstr>
      <vt:lpstr>Dic_RFU</vt:lpstr>
      <vt:lpstr>Dic_standardcurve</vt:lpstr>
      <vt:lpstr>Dic_Biomass</vt:lpstr>
      <vt:lpstr>Dic_PAM</vt:lpstr>
      <vt:lpstr>PFOS_RFU</vt:lpstr>
      <vt:lpstr>PFOS_standardcurve</vt:lpstr>
      <vt:lpstr>PFOS_Biomass</vt:lpstr>
      <vt:lpstr>PFOS_PAM</vt:lpstr>
      <vt:lpstr>Q_RFU</vt:lpstr>
      <vt:lpstr>Q_standardcurve</vt:lpstr>
      <vt:lpstr>Q_biomass</vt:lpstr>
      <vt:lpstr>Q_PAM</vt:lpstr>
      <vt:lpstr>all_FvFm</vt:lpstr>
      <vt:lpstr>all_pd</vt:lpstr>
      <vt:lpstr>all_delta</vt:lpstr>
      <vt:lpstr>all_pd_delta</vt:lpstr>
      <vt:lpstr>all_PAM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 Schlenker</dc:creator>
  <cp:lastModifiedBy>Cat Schlenker</cp:lastModifiedBy>
  <dcterms:created xsi:type="dcterms:W3CDTF">2025-07-28T14:34:05Z</dcterms:created>
  <dcterms:modified xsi:type="dcterms:W3CDTF">2026-03-13T15:46:24Z</dcterms:modified>
</cp:coreProperties>
</file>